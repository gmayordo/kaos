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verisgroup.sharepoint.com/sites/ehcos/Documentos compartidos/02 Suite/10_Organización equipo/CAR Temuco/"/>
    </mc:Choice>
  </mc:AlternateContent>
  <xr:revisionPtr revIDLastSave="0" documentId="8_{C01CB7E9-DD9B-4A52-B1C1-5207E3591F3E}" xr6:coauthVersionLast="47" xr6:coauthVersionMax="47" xr10:uidLastSave="{00000000-0000-0000-0000-000000000000}"/>
  <bookViews>
    <workbookView xWindow="45" yWindow="1620" windowWidth="28635" windowHeight="12705" firstSheet="6" activeTab="6" xr2:uid="{00000000-000D-0000-FFFF-FFFF00000000}"/>
  </bookViews>
  <sheets>
    <sheet name="plantilla" sheetId="3" r:id="rId1"/>
    <sheet name="FY2020" sheetId="1" r:id="rId2"/>
    <sheet name="FY2021" sheetId="2" r:id="rId3"/>
    <sheet name="FY2022" sheetId="4" r:id="rId4"/>
    <sheet name="FY2023" sheetId="6" r:id="rId5"/>
    <sheet name="FY2024" sheetId="7" r:id="rId6"/>
    <sheet name="FY2025" sheetId="8" r:id="rId7"/>
  </sheets>
  <definedNames>
    <definedName name="_xlnm._FilterDatabase" localSheetId="1" hidden="1">'FY2020'!$B$8:$D$37</definedName>
    <definedName name="_xlnm._FilterDatabase" localSheetId="2" hidden="1">'FY2021'!$B$8:$D$13</definedName>
    <definedName name="_xlnm._FilterDatabase" localSheetId="3" hidden="1">'FY2022'!$B$9:$D$47</definedName>
    <definedName name="_xlnm._FilterDatabase" localSheetId="4" hidden="1">'FY2023'!$B$9:$D$44</definedName>
    <definedName name="_xlnm._FilterDatabase" localSheetId="5" hidden="1">'FY2024'!$B$9:$D$38</definedName>
    <definedName name="_xlnm._FilterDatabase" localSheetId="6" hidden="1">'FY2025'!$B$9:$D$38</definedName>
    <definedName name="_xlnm._FilterDatabase" localSheetId="0" hidden="1">plantilla!$B$8:$D$32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8" l="1"/>
  <c r="J34" i="8"/>
  <c r="I34" i="8"/>
  <c r="H34" i="8"/>
  <c r="NL9" i="8"/>
  <c r="NK9" i="8"/>
  <c r="NJ9" i="8"/>
  <c r="NI9" i="8"/>
  <c r="NH9" i="8"/>
  <c r="NG9" i="8"/>
  <c r="NF9" i="8"/>
  <c r="NE9" i="8"/>
  <c r="ND9" i="8"/>
  <c r="NC9" i="8"/>
  <c r="NB9" i="8"/>
  <c r="NA9" i="8"/>
  <c r="MZ9" i="8"/>
  <c r="MY9" i="8"/>
  <c r="MX9" i="8"/>
  <c r="MW9" i="8"/>
  <c r="MV9" i="8"/>
  <c r="MU9" i="8"/>
  <c r="MT9" i="8"/>
  <c r="MS9" i="8"/>
  <c r="MR9" i="8"/>
  <c r="MQ9" i="8"/>
  <c r="MP9" i="8"/>
  <c r="MO9" i="8"/>
  <c r="MN9" i="8"/>
  <c r="MM9" i="8"/>
  <c r="ML9" i="8"/>
  <c r="MK9" i="8"/>
  <c r="MJ9" i="8"/>
  <c r="MI9" i="8"/>
  <c r="MH9" i="8"/>
  <c r="MG9" i="8"/>
  <c r="MF9" i="8"/>
  <c r="ME9" i="8"/>
  <c r="MD9" i="8"/>
  <c r="MC9" i="8"/>
  <c r="MB9" i="8"/>
  <c r="MA9" i="8"/>
  <c r="LZ9" i="8"/>
  <c r="LY9" i="8"/>
  <c r="LX9" i="8"/>
  <c r="LW9" i="8"/>
  <c r="LV9" i="8"/>
  <c r="LU9" i="8"/>
  <c r="LT9" i="8"/>
  <c r="LS9" i="8"/>
  <c r="LR9" i="8"/>
  <c r="LQ9" i="8"/>
  <c r="LP9" i="8"/>
  <c r="LO9" i="8"/>
  <c r="LN9" i="8"/>
  <c r="LM9" i="8"/>
  <c r="LL9" i="8"/>
  <c r="LK9" i="8"/>
  <c r="LJ9" i="8"/>
  <c r="LI9" i="8"/>
  <c r="LH9" i="8"/>
  <c r="LG9" i="8"/>
  <c r="LF9" i="8"/>
  <c r="LE9" i="8"/>
  <c r="LD9" i="8"/>
  <c r="LC9" i="8"/>
  <c r="LB9" i="8"/>
  <c r="LA9" i="8"/>
  <c r="KZ9" i="8"/>
  <c r="KY9" i="8"/>
  <c r="KX9" i="8"/>
  <c r="KW9" i="8"/>
  <c r="KV9" i="8"/>
  <c r="KU9" i="8"/>
  <c r="KT9" i="8"/>
  <c r="KS9" i="8"/>
  <c r="KR9" i="8"/>
  <c r="KQ9" i="8"/>
  <c r="KP9" i="8"/>
  <c r="KO9" i="8"/>
  <c r="KN9" i="8"/>
  <c r="KM9" i="8"/>
  <c r="KL9" i="8"/>
  <c r="KK9" i="8"/>
  <c r="KJ9" i="8"/>
  <c r="KI9" i="8"/>
  <c r="KH9" i="8"/>
  <c r="KG9" i="8"/>
  <c r="KF9" i="8"/>
  <c r="KE9" i="8"/>
  <c r="KD9" i="8"/>
  <c r="KC9" i="8"/>
  <c r="KB9" i="8"/>
  <c r="KA9" i="8"/>
  <c r="JZ9" i="8"/>
  <c r="JY9" i="8"/>
  <c r="JX9" i="8"/>
  <c r="JW9" i="8"/>
  <c r="JV9" i="8"/>
  <c r="JU9" i="8"/>
  <c r="JT9" i="8"/>
  <c r="JS9" i="8"/>
  <c r="JR9" i="8"/>
  <c r="JQ9" i="8"/>
  <c r="JP9" i="8"/>
  <c r="JO9" i="8"/>
  <c r="JN9" i="8"/>
  <c r="JM9" i="8"/>
  <c r="JL9" i="8"/>
  <c r="JK9" i="8"/>
  <c r="JJ9" i="8"/>
  <c r="JI9" i="8"/>
  <c r="JH9" i="8"/>
  <c r="JG9" i="8"/>
  <c r="JF9" i="8"/>
  <c r="JE9" i="8"/>
  <c r="JD9" i="8"/>
  <c r="JC9" i="8"/>
  <c r="JB9" i="8"/>
  <c r="JA9" i="8"/>
  <c r="IZ9" i="8"/>
  <c r="IY9" i="8"/>
  <c r="IX9" i="8"/>
  <c r="IW9" i="8"/>
  <c r="IV9" i="8"/>
  <c r="IU9" i="8"/>
  <c r="IT9" i="8"/>
  <c r="IS9" i="8"/>
  <c r="IR9" i="8"/>
  <c r="IQ9" i="8"/>
  <c r="IP9" i="8"/>
  <c r="IO9" i="8"/>
  <c r="IN9" i="8"/>
  <c r="IM9" i="8"/>
  <c r="IL9" i="8"/>
  <c r="IK9" i="8"/>
  <c r="IJ9" i="8"/>
  <c r="II9" i="8"/>
  <c r="IH9" i="8"/>
  <c r="IG9" i="8"/>
  <c r="IF9" i="8"/>
  <c r="IE9" i="8"/>
  <c r="ID9" i="8"/>
  <c r="IC9" i="8"/>
  <c r="IB9" i="8"/>
  <c r="IA9" i="8"/>
  <c r="HZ9" i="8"/>
  <c r="HY9" i="8"/>
  <c r="HX9" i="8"/>
  <c r="HW9" i="8"/>
  <c r="HV9" i="8"/>
  <c r="HU9" i="8"/>
  <c r="HT9" i="8"/>
  <c r="HS9" i="8"/>
  <c r="HR9" i="8"/>
  <c r="HQ9" i="8"/>
  <c r="HP9" i="8"/>
  <c r="HO9" i="8"/>
  <c r="HN9" i="8"/>
  <c r="HM9" i="8"/>
  <c r="HL9" i="8"/>
  <c r="HK9" i="8"/>
  <c r="HJ9" i="8"/>
  <c r="HI9" i="8"/>
  <c r="HH9" i="8"/>
  <c r="HG9" i="8"/>
  <c r="HF9" i="8"/>
  <c r="HE9" i="8"/>
  <c r="HD9" i="8"/>
  <c r="HC9" i="8"/>
  <c r="HB9" i="8"/>
  <c r="HA9" i="8"/>
  <c r="GZ9" i="8"/>
  <c r="GY9" i="8"/>
  <c r="GX9" i="8"/>
  <c r="GW9" i="8"/>
  <c r="GV9" i="8"/>
  <c r="GU9" i="8"/>
  <c r="GT9" i="8"/>
  <c r="GS9" i="8"/>
  <c r="GR9" i="8"/>
  <c r="GQ9" i="8"/>
  <c r="GP9" i="8"/>
  <c r="GO9" i="8"/>
  <c r="GN9" i="8"/>
  <c r="GM9" i="8"/>
  <c r="GL9" i="8"/>
  <c r="GK9" i="8"/>
  <c r="GJ9" i="8"/>
  <c r="GI9" i="8"/>
  <c r="GH9" i="8"/>
  <c r="GG9" i="8"/>
  <c r="GF9" i="8"/>
  <c r="GE9" i="8"/>
  <c r="GD9" i="8"/>
  <c r="GC9" i="8"/>
  <c r="GB9" i="8"/>
  <c r="GA9" i="8"/>
  <c r="FZ9" i="8"/>
  <c r="FY9" i="8"/>
  <c r="FX9" i="8"/>
  <c r="FW9" i="8"/>
  <c r="FV9" i="8"/>
  <c r="FU9" i="8"/>
  <c r="FT9" i="8"/>
  <c r="FS9" i="8"/>
  <c r="FR9" i="8"/>
  <c r="FQ9" i="8"/>
  <c r="FP9" i="8"/>
  <c r="FO9" i="8"/>
  <c r="FN9" i="8"/>
  <c r="FM9" i="8"/>
  <c r="FL9" i="8"/>
  <c r="FK9" i="8"/>
  <c r="FJ9" i="8"/>
  <c r="FI9" i="8"/>
  <c r="FH9" i="8"/>
  <c r="FG9" i="8"/>
  <c r="FF9" i="8"/>
  <c r="FE9" i="8"/>
  <c r="FD9" i="8"/>
  <c r="FC9" i="8"/>
  <c r="FB9" i="8"/>
  <c r="FA9" i="8"/>
  <c r="EZ9" i="8"/>
  <c r="EY9" i="8"/>
  <c r="EX9" i="8"/>
  <c r="EW9" i="8"/>
  <c r="EV9" i="8"/>
  <c r="EU9" i="8"/>
  <c r="ET9" i="8"/>
  <c r="ES9" i="8"/>
  <c r="ER9" i="8"/>
  <c r="EQ9" i="8"/>
  <c r="EP9" i="8"/>
  <c r="EO9" i="8"/>
  <c r="EN9" i="8"/>
  <c r="EM9" i="8"/>
  <c r="EL9" i="8"/>
  <c r="EK9" i="8"/>
  <c r="EJ9" i="8"/>
  <c r="EI9" i="8"/>
  <c r="EH9" i="8"/>
  <c r="EG9" i="8"/>
  <c r="EF9" i="8"/>
  <c r="EE9" i="8"/>
  <c r="ED9" i="8"/>
  <c r="EC9" i="8"/>
  <c r="EB9" i="8"/>
  <c r="EA9" i="8"/>
  <c r="DZ9" i="8"/>
  <c r="DY9" i="8"/>
  <c r="DX9" i="8"/>
  <c r="DW9" i="8"/>
  <c r="DV9" i="8"/>
  <c r="DU9" i="8"/>
  <c r="DT9" i="8"/>
  <c r="DS9" i="8"/>
  <c r="DR9" i="8"/>
  <c r="DQ9" i="8"/>
  <c r="DP9" i="8"/>
  <c r="DO9" i="8"/>
  <c r="DN9" i="8"/>
  <c r="DM9" i="8"/>
  <c r="DL9" i="8"/>
  <c r="DK9" i="8"/>
  <c r="DJ9" i="8"/>
  <c r="DI9" i="8"/>
  <c r="DH9" i="8"/>
  <c r="DG9" i="8"/>
  <c r="DF9" i="8"/>
  <c r="DE9" i="8"/>
  <c r="DD9" i="8"/>
  <c r="DC9" i="8"/>
  <c r="DB9" i="8"/>
  <c r="DA9" i="8"/>
  <c r="CZ9" i="8"/>
  <c r="CY9" i="8"/>
  <c r="CX9" i="8"/>
  <c r="CW9" i="8"/>
  <c r="CV9" i="8"/>
  <c r="CU9" i="8"/>
  <c r="CT9" i="8"/>
  <c r="CS9" i="8"/>
  <c r="CR9" i="8"/>
  <c r="CQ9" i="8"/>
  <c r="CP9" i="8"/>
  <c r="CO9" i="8"/>
  <c r="CN9" i="8"/>
  <c r="CM9" i="8"/>
  <c r="CL9" i="8"/>
  <c r="CK9" i="8"/>
  <c r="CJ9" i="8"/>
  <c r="CI9" i="8"/>
  <c r="CH9" i="8"/>
  <c r="CG9" i="8"/>
  <c r="CF9" i="8"/>
  <c r="CE9" i="8"/>
  <c r="CD9" i="8"/>
  <c r="CC9" i="8"/>
  <c r="CB9" i="8"/>
  <c r="CA9" i="8"/>
  <c r="BZ9" i="8"/>
  <c r="BY9" i="8"/>
  <c r="BX9" i="8"/>
  <c r="BW9" i="8"/>
  <c r="BV9" i="8"/>
  <c r="BU9" i="8"/>
  <c r="BT9" i="8"/>
  <c r="BS9" i="8"/>
  <c r="BR9" i="8"/>
  <c r="BQ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L9" i="8"/>
  <c r="K38" i="8"/>
  <c r="J38" i="8"/>
  <c r="I38" i="8"/>
  <c r="H38" i="8"/>
  <c r="K37" i="8"/>
  <c r="J37" i="8"/>
  <c r="I37" i="8"/>
  <c r="H37" i="8"/>
  <c r="K36" i="8"/>
  <c r="J36" i="8"/>
  <c r="I36" i="8"/>
  <c r="H36" i="8"/>
  <c r="K35" i="8"/>
  <c r="J35" i="8"/>
  <c r="I35" i="8"/>
  <c r="H35" i="8"/>
  <c r="K33" i="8"/>
  <c r="J33" i="8"/>
  <c r="I33" i="8"/>
  <c r="H33" i="8"/>
  <c r="K32" i="8"/>
  <c r="J32" i="8"/>
  <c r="I32" i="8"/>
  <c r="H32" i="8"/>
  <c r="K31" i="8"/>
  <c r="J31" i="8"/>
  <c r="I31" i="8"/>
  <c r="H31" i="8"/>
  <c r="K30" i="8"/>
  <c r="J30" i="8"/>
  <c r="I30" i="8"/>
  <c r="H30" i="8"/>
  <c r="K29" i="8"/>
  <c r="J29" i="8"/>
  <c r="I29" i="8"/>
  <c r="H29" i="8"/>
  <c r="K28" i="8"/>
  <c r="J28" i="8"/>
  <c r="I28" i="8"/>
  <c r="H28" i="8"/>
  <c r="K27" i="8"/>
  <c r="J27" i="8"/>
  <c r="I27" i="8"/>
  <c r="H27" i="8"/>
  <c r="K26" i="8"/>
  <c r="J26" i="8"/>
  <c r="I26" i="8"/>
  <c r="H26" i="8"/>
  <c r="K25" i="8"/>
  <c r="J25" i="8"/>
  <c r="I25" i="8"/>
  <c r="H25" i="8"/>
  <c r="K24" i="8"/>
  <c r="J24" i="8"/>
  <c r="I24" i="8"/>
  <c r="H24" i="8"/>
  <c r="K23" i="8"/>
  <c r="J23" i="8"/>
  <c r="I23" i="8"/>
  <c r="H23" i="8"/>
  <c r="K22" i="8"/>
  <c r="J22" i="8"/>
  <c r="I22" i="8"/>
  <c r="H22" i="8"/>
  <c r="K21" i="8"/>
  <c r="J21" i="8" s="1"/>
  <c r="I21" i="8"/>
  <c r="H21" i="8"/>
  <c r="K20" i="8"/>
  <c r="J20" i="8"/>
  <c r="I20" i="8"/>
  <c r="H20" i="8"/>
  <c r="K19" i="8"/>
  <c r="J19" i="8"/>
  <c r="I19" i="8"/>
  <c r="H19" i="8"/>
  <c r="K18" i="8"/>
  <c r="J18" i="8"/>
  <c r="I18" i="8"/>
  <c r="H18" i="8"/>
  <c r="K17" i="8"/>
  <c r="J17" i="8"/>
  <c r="I17" i="8"/>
  <c r="H17" i="8"/>
  <c r="K16" i="8"/>
  <c r="J16" i="8"/>
  <c r="I16" i="8"/>
  <c r="H16" i="8"/>
  <c r="K15" i="8"/>
  <c r="J15" i="8" s="1"/>
  <c r="I15" i="8"/>
  <c r="H15" i="8"/>
  <c r="K14" i="8"/>
  <c r="J14" i="8"/>
  <c r="I14" i="8"/>
  <c r="H14" i="8"/>
  <c r="K13" i="8"/>
  <c r="J13" i="8"/>
  <c r="I13" i="8"/>
  <c r="H13" i="8"/>
  <c r="K12" i="8"/>
  <c r="J12" i="8"/>
  <c r="I12" i="8"/>
  <c r="H12" i="8"/>
  <c r="K11" i="8"/>
  <c r="J11" i="8"/>
  <c r="I11" i="8"/>
  <c r="H11" i="8"/>
  <c r="K10" i="8"/>
  <c r="J10" i="8"/>
  <c r="I10" i="8"/>
  <c r="H10" i="8"/>
  <c r="K20" i="7"/>
  <c r="J20" i="7"/>
  <c r="I20" i="7"/>
  <c r="H20" i="7"/>
  <c r="K35" i="7"/>
  <c r="J35" i="7"/>
  <c r="I35" i="7"/>
  <c r="H35" i="7"/>
  <c r="K27" i="7"/>
  <c r="J27" i="7"/>
  <c r="I27" i="7"/>
  <c r="H27" i="7"/>
  <c r="K32" i="7"/>
  <c r="J32" i="7"/>
  <c r="I32" i="7"/>
  <c r="H32" i="7"/>
  <c r="K38" i="7"/>
  <c r="J38" i="7"/>
  <c r="I38" i="7"/>
  <c r="H38" i="7"/>
  <c r="K37" i="7"/>
  <c r="J37" i="7"/>
  <c r="I37" i="7"/>
  <c r="H37" i="7"/>
  <c r="K36" i="7"/>
  <c r="J36" i="7"/>
  <c r="I36" i="7"/>
  <c r="H36" i="7"/>
  <c r="K33" i="7"/>
  <c r="J33" i="7"/>
  <c r="I33" i="7"/>
  <c r="H33" i="7"/>
  <c r="I31" i="7"/>
  <c r="K31" i="7"/>
  <c r="J31" i="7"/>
  <c r="H31" i="7"/>
  <c r="K30" i="7"/>
  <c r="J30" i="7"/>
  <c r="I30" i="7"/>
  <c r="H30" i="7"/>
  <c r="K29" i="7"/>
  <c r="J29" i="7"/>
  <c r="I29" i="7"/>
  <c r="H29" i="7"/>
  <c r="K44" i="6"/>
  <c r="J44" i="6"/>
  <c r="I44" i="6"/>
  <c r="H44" i="6"/>
  <c r="K43" i="6"/>
  <c r="J43" i="6"/>
  <c r="I43" i="6"/>
  <c r="H43" i="6"/>
  <c r="K42" i="6"/>
  <c r="J42" i="6"/>
  <c r="I42" i="6"/>
  <c r="H42" i="6"/>
  <c r="K28" i="7"/>
  <c r="J28" i="7"/>
  <c r="I28" i="7"/>
  <c r="H28" i="7"/>
  <c r="K26" i="7"/>
  <c r="J26" i="7"/>
  <c r="I26" i="7"/>
  <c r="H26" i="7"/>
  <c r="K25" i="7"/>
  <c r="J25" i="7"/>
  <c r="I25" i="7"/>
  <c r="H25" i="7"/>
  <c r="K24" i="7"/>
  <c r="J24" i="7"/>
  <c r="I24" i="7"/>
  <c r="H24" i="7"/>
  <c r="K23" i="7"/>
  <c r="J23" i="7"/>
  <c r="I23" i="7"/>
  <c r="H23" i="7"/>
  <c r="K22" i="7"/>
  <c r="J22" i="7"/>
  <c r="I22" i="7"/>
  <c r="H22" i="7"/>
  <c r="K21" i="7"/>
  <c r="J21" i="7"/>
  <c r="I21" i="7"/>
  <c r="H21" i="7"/>
  <c r="K19" i="7"/>
  <c r="J19" i="7"/>
  <c r="I19" i="7"/>
  <c r="H19" i="7"/>
  <c r="K18" i="7"/>
  <c r="J18" i="7"/>
  <c r="I18" i="7"/>
  <c r="H18" i="7"/>
  <c r="K17" i="7"/>
  <c r="J17" i="7"/>
  <c r="I17" i="7"/>
  <c r="H17" i="7"/>
  <c r="K16" i="7"/>
  <c r="J16" i="7"/>
  <c r="I16" i="7"/>
  <c r="H16" i="7"/>
  <c r="K15" i="7"/>
  <c r="J15" i="7"/>
  <c r="I15" i="7"/>
  <c r="H15" i="7"/>
  <c r="K14" i="7"/>
  <c r="J14" i="7"/>
  <c r="I14" i="7"/>
  <c r="H14" i="7"/>
  <c r="K13" i="7"/>
  <c r="J13" i="7"/>
  <c r="I13" i="7"/>
  <c r="H13" i="7"/>
  <c r="K12" i="7"/>
  <c r="J12" i="7"/>
  <c r="I12" i="7"/>
  <c r="H12" i="7"/>
  <c r="K11" i="7"/>
  <c r="J11" i="7"/>
  <c r="I11" i="7"/>
  <c r="H11" i="7"/>
  <c r="K10" i="7"/>
  <c r="J10" i="7"/>
  <c r="I10" i="7"/>
  <c r="H10" i="7"/>
  <c r="K35" i="6"/>
  <c r="J35" i="6"/>
  <c r="I35" i="6"/>
  <c r="H35" i="6"/>
  <c r="H24" i="6"/>
  <c r="I24" i="6"/>
  <c r="K24" i="6"/>
  <c r="J24" i="6"/>
  <c r="H25" i="6"/>
  <c r="I25" i="6"/>
  <c r="K25" i="6"/>
  <c r="J25" i="6"/>
  <c r="K32" i="6"/>
  <c r="J32" i="6"/>
  <c r="I32" i="6"/>
  <c r="H32" i="6"/>
  <c r="K33" i="6"/>
  <c r="J33" i="6"/>
  <c r="I33" i="6"/>
  <c r="H33" i="6"/>
  <c r="K34" i="6"/>
  <c r="J34" i="6"/>
  <c r="I34" i="6"/>
  <c r="H34" i="6"/>
  <c r="K41" i="6"/>
  <c r="J41" i="6"/>
  <c r="I41" i="6"/>
  <c r="H41" i="6"/>
  <c r="K40" i="6"/>
  <c r="J40" i="6"/>
  <c r="I40" i="6"/>
  <c r="H40" i="6"/>
  <c r="K39" i="6"/>
  <c r="J39" i="6"/>
  <c r="I39" i="6"/>
  <c r="H39" i="6"/>
  <c r="K38" i="6"/>
  <c r="J38" i="6"/>
  <c r="I38" i="6"/>
  <c r="H38" i="6"/>
  <c r="K37" i="6"/>
  <c r="J37" i="6"/>
  <c r="I37" i="6"/>
  <c r="H37" i="6"/>
  <c r="K36" i="6"/>
  <c r="J36" i="6"/>
  <c r="I36" i="6"/>
  <c r="H36" i="6"/>
  <c r="K31" i="6"/>
  <c r="J31" i="6"/>
  <c r="I31" i="6"/>
  <c r="H31" i="6"/>
  <c r="K30" i="6"/>
  <c r="J30" i="6"/>
  <c r="I30" i="6"/>
  <c r="H30" i="6"/>
  <c r="K29" i="6"/>
  <c r="J29" i="6"/>
  <c r="I29" i="6"/>
  <c r="H29" i="6"/>
  <c r="K28" i="6"/>
  <c r="J28" i="6"/>
  <c r="I28" i="6"/>
  <c r="H28" i="6"/>
  <c r="K27" i="6"/>
  <c r="J27" i="6"/>
  <c r="I27" i="6"/>
  <c r="H27" i="6"/>
  <c r="K26" i="6"/>
  <c r="J26" i="6"/>
  <c r="I26" i="6"/>
  <c r="H26" i="6"/>
  <c r="K23" i="6"/>
  <c r="J23" i="6"/>
  <c r="I23" i="6"/>
  <c r="H23" i="6"/>
  <c r="K22" i="6"/>
  <c r="J22" i="6"/>
  <c r="I22" i="6"/>
  <c r="H22" i="6"/>
  <c r="K21" i="6"/>
  <c r="J21" i="6"/>
  <c r="I21" i="6"/>
  <c r="H21" i="6"/>
  <c r="K20" i="6"/>
  <c r="J20" i="6"/>
  <c r="I20" i="6"/>
  <c r="H20" i="6"/>
  <c r="K19" i="6"/>
  <c r="J19" i="6"/>
  <c r="I19" i="6"/>
  <c r="H19" i="6"/>
  <c r="K18" i="6"/>
  <c r="J18" i="6"/>
  <c r="I18" i="6"/>
  <c r="H18" i="6"/>
  <c r="K17" i="6"/>
  <c r="J17" i="6"/>
  <c r="I17" i="6"/>
  <c r="H17" i="6"/>
  <c r="K16" i="6"/>
  <c r="J16" i="6"/>
  <c r="I16" i="6"/>
  <c r="H16" i="6"/>
  <c r="K15" i="6"/>
  <c r="J15" i="6"/>
  <c r="I15" i="6"/>
  <c r="H15" i="6"/>
  <c r="K14" i="6"/>
  <c r="J14" i="6"/>
  <c r="I14" i="6"/>
  <c r="H14" i="6"/>
  <c r="K13" i="6"/>
  <c r="J13" i="6"/>
  <c r="I13" i="6"/>
  <c r="H13" i="6"/>
  <c r="K12" i="6"/>
  <c r="J12" i="6"/>
  <c r="I12" i="6"/>
  <c r="H12" i="6"/>
  <c r="K11" i="6"/>
  <c r="J11" i="6"/>
  <c r="I11" i="6"/>
  <c r="H11" i="6"/>
  <c r="K10" i="6"/>
  <c r="J10" i="6"/>
  <c r="I10" i="6"/>
  <c r="H10" i="6"/>
  <c r="K47" i="4"/>
  <c r="J47" i="4"/>
  <c r="I47" i="4"/>
  <c r="H47" i="4"/>
  <c r="K46" i="4"/>
  <c r="J46" i="4"/>
  <c r="I46" i="4"/>
  <c r="H46" i="4"/>
  <c r="K45" i="4"/>
  <c r="J45" i="4"/>
  <c r="I45" i="4"/>
  <c r="H45" i="4"/>
  <c r="K24" i="4"/>
  <c r="J24" i="4"/>
  <c r="I24" i="4"/>
  <c r="H24" i="4"/>
  <c r="K32" i="4"/>
  <c r="J32" i="4"/>
  <c r="I32" i="4"/>
  <c r="H32" i="4"/>
  <c r="K44" i="4"/>
  <c r="J44" i="4"/>
  <c r="I44" i="4"/>
  <c r="H44" i="4"/>
  <c r="K43" i="4"/>
  <c r="J43" i="4"/>
  <c r="I43" i="4"/>
  <c r="H43" i="4"/>
  <c r="K42" i="4"/>
  <c r="J42" i="4"/>
  <c r="I42" i="4"/>
  <c r="H42" i="4"/>
  <c r="K29" i="4"/>
  <c r="J29" i="4"/>
  <c r="I29" i="4"/>
  <c r="H29" i="4"/>
  <c r="K32" i="2"/>
  <c r="J32" i="2"/>
  <c r="I32" i="2"/>
  <c r="H32" i="2"/>
  <c r="K30" i="4"/>
  <c r="J30" i="4"/>
  <c r="I30" i="4"/>
  <c r="H30" i="4"/>
  <c r="H34" i="2"/>
  <c r="I34" i="2"/>
  <c r="K34" i="2"/>
  <c r="J34" i="2"/>
  <c r="H27" i="4"/>
  <c r="I27" i="4"/>
  <c r="K27" i="4"/>
  <c r="J27" i="4"/>
  <c r="H28" i="4"/>
  <c r="I28" i="4"/>
  <c r="K28" i="4"/>
  <c r="J28" i="4"/>
  <c r="H30" i="2"/>
  <c r="I30" i="2"/>
  <c r="K30" i="2"/>
  <c r="J30" i="2"/>
  <c r="H31" i="2"/>
  <c r="I31" i="2"/>
  <c r="K31" i="2"/>
  <c r="J31" i="2"/>
  <c r="H9" i="2"/>
  <c r="I9" i="2"/>
  <c r="K9" i="2"/>
  <c r="J9" i="2"/>
  <c r="H10" i="2"/>
  <c r="I10" i="2"/>
  <c r="K10" i="2"/>
  <c r="J10" i="2"/>
  <c r="H11" i="2"/>
  <c r="I11" i="2"/>
  <c r="K11" i="2"/>
  <c r="J11" i="2"/>
  <c r="H12" i="2"/>
  <c r="I12" i="2"/>
  <c r="K12" i="2"/>
  <c r="J12" i="2"/>
  <c r="H13" i="2"/>
  <c r="I13" i="2"/>
  <c r="K13" i="2"/>
  <c r="J13" i="2"/>
  <c r="H14" i="2"/>
  <c r="I14" i="2"/>
  <c r="K14" i="2"/>
  <c r="J14" i="2"/>
  <c r="H15" i="2"/>
  <c r="I15" i="2"/>
  <c r="K15" i="2"/>
  <c r="J15" i="2"/>
  <c r="H16" i="2"/>
  <c r="I16" i="2"/>
  <c r="K16" i="2"/>
  <c r="J16" i="2"/>
  <c r="H17" i="2"/>
  <c r="I17" i="2"/>
  <c r="K17" i="2"/>
  <c r="J17" i="2"/>
  <c r="H18" i="2"/>
  <c r="I18" i="2"/>
  <c r="K18" i="2"/>
  <c r="J18" i="2"/>
  <c r="H19" i="2"/>
  <c r="I19" i="2"/>
  <c r="K19" i="2"/>
  <c r="J19" i="2"/>
  <c r="H20" i="2"/>
  <c r="I20" i="2"/>
  <c r="K20" i="2"/>
  <c r="J20" i="2"/>
  <c r="H21" i="2"/>
  <c r="I21" i="2"/>
  <c r="K21" i="2"/>
  <c r="J21" i="2"/>
  <c r="H22" i="2"/>
  <c r="I22" i="2"/>
  <c r="K22" i="2"/>
  <c r="J22" i="2"/>
  <c r="H23" i="2"/>
  <c r="I23" i="2"/>
  <c r="K23" i="2"/>
  <c r="J23" i="2"/>
  <c r="H24" i="2"/>
  <c r="I24" i="2"/>
  <c r="K24" i="2"/>
  <c r="J24" i="2"/>
  <c r="H25" i="2"/>
  <c r="I25" i="2"/>
  <c r="K25" i="2"/>
  <c r="J25" i="2"/>
  <c r="H26" i="2"/>
  <c r="I26" i="2"/>
  <c r="K26" i="2"/>
  <c r="J26" i="2"/>
  <c r="H27" i="2"/>
  <c r="I27" i="2"/>
  <c r="K27" i="2"/>
  <c r="J27" i="2"/>
  <c r="H28" i="2"/>
  <c r="I28" i="2"/>
  <c r="K28" i="2"/>
  <c r="J28" i="2"/>
  <c r="H29" i="2"/>
  <c r="I29" i="2"/>
  <c r="K29" i="2"/>
  <c r="J29" i="2"/>
  <c r="H33" i="2"/>
  <c r="I33" i="2"/>
  <c r="K33" i="2"/>
  <c r="J33" i="2"/>
  <c r="H35" i="2"/>
  <c r="I35" i="2"/>
  <c r="K35" i="2"/>
  <c r="J35" i="2"/>
  <c r="H36" i="2"/>
  <c r="I36" i="2"/>
  <c r="K36" i="2"/>
  <c r="J36" i="2"/>
  <c r="H37" i="2"/>
  <c r="I37" i="2"/>
  <c r="K37" i="2"/>
  <c r="J37" i="2"/>
  <c r="H38" i="2"/>
  <c r="I38" i="2"/>
  <c r="K38" i="2"/>
  <c r="J38" i="2"/>
  <c r="H39" i="2"/>
  <c r="I39" i="2"/>
  <c r="K39" i="2"/>
  <c r="J39" i="2"/>
  <c r="H40" i="2"/>
  <c r="I40" i="2"/>
  <c r="K40" i="2"/>
  <c r="J40" i="2"/>
  <c r="H41" i="2"/>
  <c r="I41" i="2"/>
  <c r="K41" i="2"/>
  <c r="J41" i="2"/>
  <c r="H42" i="2"/>
  <c r="I42" i="2"/>
  <c r="K42" i="2"/>
  <c r="J42" i="2"/>
  <c r="H44" i="2"/>
  <c r="I44" i="2"/>
  <c r="K44" i="2"/>
  <c r="J44" i="2"/>
  <c r="H45" i="2"/>
  <c r="I45" i="2"/>
  <c r="K45" i="2"/>
  <c r="J45" i="2"/>
  <c r="H46" i="2"/>
  <c r="I46" i="2"/>
  <c r="K46" i="2"/>
  <c r="J46" i="2"/>
  <c r="K40" i="4"/>
  <c r="J40" i="4"/>
  <c r="I40" i="4"/>
  <c r="H40" i="4"/>
  <c r="K41" i="4"/>
  <c r="J41" i="4"/>
  <c r="I41" i="4"/>
  <c r="H41" i="4"/>
  <c r="K39" i="4"/>
  <c r="J39" i="4"/>
  <c r="I39" i="4"/>
  <c r="H39" i="4"/>
  <c r="K38" i="4"/>
  <c r="J38" i="4"/>
  <c r="I38" i="4"/>
  <c r="H38" i="4"/>
  <c r="K37" i="4"/>
  <c r="J37" i="4"/>
  <c r="I37" i="4"/>
  <c r="H37" i="4"/>
  <c r="K36" i="4"/>
  <c r="J36" i="4"/>
  <c r="I36" i="4"/>
  <c r="H36" i="4"/>
  <c r="K35" i="4"/>
  <c r="J35" i="4"/>
  <c r="I35" i="4"/>
  <c r="H35" i="4"/>
  <c r="K34" i="4"/>
  <c r="J34" i="4"/>
  <c r="I34" i="4"/>
  <c r="H34" i="4"/>
  <c r="K33" i="4"/>
  <c r="J33" i="4"/>
  <c r="I33" i="4"/>
  <c r="H33" i="4"/>
  <c r="K31" i="4"/>
  <c r="J31" i="4"/>
  <c r="I31" i="4"/>
  <c r="H31" i="4"/>
  <c r="K26" i="4"/>
  <c r="J26" i="4"/>
  <c r="I26" i="4"/>
  <c r="H26" i="4"/>
  <c r="K25" i="4"/>
  <c r="J25" i="4"/>
  <c r="I25" i="4"/>
  <c r="H25" i="4"/>
  <c r="K23" i="4"/>
  <c r="J23" i="4"/>
  <c r="I23" i="4"/>
  <c r="H23" i="4"/>
  <c r="K22" i="4"/>
  <c r="J22" i="4"/>
  <c r="I22" i="4"/>
  <c r="H22" i="4"/>
  <c r="K21" i="4"/>
  <c r="J21" i="4"/>
  <c r="I21" i="4"/>
  <c r="H21" i="4"/>
  <c r="K20" i="4"/>
  <c r="J20" i="4"/>
  <c r="I20" i="4"/>
  <c r="H20" i="4"/>
  <c r="K19" i="4"/>
  <c r="J19" i="4"/>
  <c r="I19" i="4"/>
  <c r="H19" i="4"/>
  <c r="K18" i="4"/>
  <c r="J18" i="4"/>
  <c r="I18" i="4"/>
  <c r="H18" i="4"/>
  <c r="K17" i="4"/>
  <c r="J17" i="4"/>
  <c r="I17" i="4"/>
  <c r="H17" i="4"/>
  <c r="K16" i="4"/>
  <c r="J16" i="4"/>
  <c r="I16" i="4"/>
  <c r="H16" i="4"/>
  <c r="K15" i="4"/>
  <c r="J15" i="4"/>
  <c r="I15" i="4"/>
  <c r="H15" i="4"/>
  <c r="K14" i="4"/>
  <c r="J14" i="4"/>
  <c r="I14" i="4"/>
  <c r="H14" i="4"/>
  <c r="K13" i="4"/>
  <c r="J13" i="4"/>
  <c r="I13" i="4"/>
  <c r="H13" i="4"/>
  <c r="K12" i="4"/>
  <c r="J12" i="4"/>
  <c r="I12" i="4"/>
  <c r="H12" i="4"/>
  <c r="K11" i="4"/>
  <c r="J11" i="4"/>
  <c r="I11" i="4"/>
  <c r="H11" i="4"/>
  <c r="K10" i="4"/>
  <c r="J10" i="4"/>
  <c r="I10" i="4"/>
  <c r="H10" i="4"/>
  <c r="K32" i="3"/>
  <c r="J32" i="3"/>
  <c r="I32" i="3"/>
  <c r="H32" i="3"/>
  <c r="K31" i="3"/>
  <c r="J31" i="3"/>
  <c r="I31" i="3"/>
  <c r="H31" i="3"/>
  <c r="K30" i="3"/>
  <c r="J30" i="3"/>
  <c r="I30" i="3"/>
  <c r="H30" i="3"/>
  <c r="K29" i="3"/>
  <c r="J29" i="3"/>
  <c r="I29" i="3"/>
  <c r="H29" i="3"/>
  <c r="K28" i="3"/>
  <c r="J28" i="3"/>
  <c r="I28" i="3"/>
  <c r="H28" i="3"/>
  <c r="K27" i="3"/>
  <c r="J27" i="3"/>
  <c r="I27" i="3"/>
  <c r="H27" i="3"/>
  <c r="K26" i="3"/>
  <c r="J26" i="3"/>
  <c r="I26" i="3"/>
  <c r="H26" i="3"/>
  <c r="K25" i="3"/>
  <c r="J25" i="3"/>
  <c r="I25" i="3"/>
  <c r="H25" i="3"/>
  <c r="K24" i="3"/>
  <c r="J24" i="3"/>
  <c r="I24" i="3"/>
  <c r="H24" i="3"/>
  <c r="K23" i="3"/>
  <c r="J23" i="3"/>
  <c r="I23" i="3"/>
  <c r="H23" i="3"/>
  <c r="K22" i="3"/>
  <c r="J22" i="3"/>
  <c r="I22" i="3"/>
  <c r="H22" i="3"/>
  <c r="K21" i="3"/>
  <c r="J21" i="3"/>
  <c r="I21" i="3"/>
  <c r="H21" i="3"/>
  <c r="K20" i="3"/>
  <c r="J20" i="3"/>
  <c r="I20" i="3"/>
  <c r="H20" i="3"/>
  <c r="K19" i="3"/>
  <c r="J19" i="3"/>
  <c r="I19" i="3"/>
  <c r="H19" i="3"/>
  <c r="K18" i="3"/>
  <c r="J18" i="3"/>
  <c r="I18" i="3"/>
  <c r="H18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3" i="3"/>
  <c r="J13" i="3"/>
  <c r="I13" i="3"/>
  <c r="H13" i="3"/>
  <c r="K12" i="3"/>
  <c r="J12" i="3"/>
  <c r="I12" i="3"/>
  <c r="H12" i="3"/>
  <c r="K11" i="3"/>
  <c r="J11" i="3"/>
  <c r="I11" i="3"/>
  <c r="H11" i="3"/>
  <c r="K10" i="3"/>
  <c r="J10" i="3"/>
  <c r="I10" i="3"/>
  <c r="H10" i="3"/>
  <c r="K9" i="3"/>
  <c r="J9" i="3"/>
  <c r="I9" i="3"/>
  <c r="H9" i="3"/>
  <c r="K37" i="1"/>
  <c r="J37" i="1"/>
  <c r="I37" i="1"/>
  <c r="H37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J30" i="1"/>
  <c r="I30" i="1"/>
  <c r="H30" i="1"/>
  <c r="K24" i="1"/>
  <c r="J24" i="1"/>
  <c r="I24" i="1"/>
  <c r="H24" i="1"/>
  <c r="K23" i="1"/>
  <c r="J23" i="1"/>
  <c r="I23" i="1"/>
  <c r="H23" i="1"/>
  <c r="K29" i="1"/>
  <c r="J29" i="1"/>
  <c r="I29" i="1"/>
  <c r="H29" i="1"/>
  <c r="K28" i="1"/>
  <c r="J28" i="1"/>
  <c r="I28" i="1"/>
  <c r="H28" i="1"/>
  <c r="K26" i="1"/>
  <c r="J26" i="1"/>
  <c r="I26" i="1"/>
  <c r="H26" i="1"/>
  <c r="K27" i="1"/>
  <c r="J27" i="1"/>
  <c r="I27" i="1"/>
  <c r="H27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Roberto Galvan Mena</author>
    <author>Administrator</author>
  </authors>
  <commentList>
    <comment ref="JB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Festivo en Zaragoza</t>
        </r>
      </text>
    </comment>
    <comment ref="JC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Festivo en España y Chile</t>
        </r>
      </text>
    </comment>
    <comment ref="JS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festivo en España
Temuco no trabajará para compensar sobresfuerzos</t>
        </r>
      </text>
    </comment>
    <comment ref="JT7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Festivo en España y Chile</t>
        </r>
      </text>
    </comment>
    <comment ref="JZ7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Festivo en España
Temuco trabaja medio día</t>
        </r>
      </text>
    </comment>
    <comment ref="KA7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Festivo en España y Chile</t>
        </r>
      </text>
    </comment>
    <comment ref="KF7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Festivo en España</t>
        </r>
      </text>
    </comment>
    <comment ref="KV7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Festivo en Valencia</t>
        </r>
      </text>
    </comment>
    <comment ref="MZ7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festivo en Valencia</t>
        </r>
      </text>
    </comment>
    <comment ref="LC21" authorId="1" shapeId="0" xr:uid="{00000000-0006-0000-0000-00000A000000}">
      <text>
        <r>
          <rPr>
            <sz val="9"/>
            <color indexed="81"/>
            <rFont val="Tahoma"/>
            <family val="2"/>
          </rPr>
          <t>Festivo en Zaragoza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Roberto Galvan Mena</author>
    <author>Administrator</author>
    <author>Marcela Alejandra Alvarado Jara</author>
    <author>tc={8904DBF2-FD46-4B3B-854E-0780CE601FD5}</author>
    <author>tc={8904DBF2-FD46-4B3C-854E-0780CE601FD5}</author>
    <author>tc={8904DBF2-FD46-4B3D-854E-0780CE601FD5}</author>
    <author>tc={1A31186D-32E0-403B-B9C1-6C72BC027290}</author>
    <author>tc={1A31186D-32E0-403C-B9C1-6C72BC027290}</author>
    <author>tc={1A31186D-32E0-403D-B9C1-6C72BC027290}</author>
    <author>tc={3486525F-0423-441B-BC83-A3793FEDE421}</author>
    <author>tc={3486525F-0423-441C-BC83-A3793FEDE421}</author>
    <author>tc={3486525F-0423-441D-BC83-A3793FEDE421}</author>
    <author>tc={E941C854-4141-4A21-A529-9A0C19391A10}</author>
    <author>tc={E941C854-4141-4A22-A529-9A0C19391A10}</author>
    <author>tc={E941C854-4141-4A23-A529-9A0C19391A10}</author>
    <author>tc={3620C8E7-AB8C-4C4F-BF16-E883859D032A}</author>
    <author>tc={3620C8E7-AB8C-4C50-BF16-E883859D032A}</author>
    <author>tc={3620C8E7-AB8C-4C51-BF16-E883859D032A}</author>
    <author>tc={F3692B9D-43F5-4EF3-B01A-921575501550}</author>
    <author>tc={F3692B9D-43F5-4EF4-B01A-921575501550}</author>
    <author>tc={F3692B9D-43F5-4EF5-B01A-921575501550}</author>
    <author>Marcos Suñen Lajusticia</author>
    <author>tc={2A20F6A6-F5E9-42C9-9108-E0D5E4918856}</author>
    <author>tc={213B020D-1E1E-49C3-AC05-AF03D638BC7D}</author>
    <author>tc={B095457F-DD03-45E6-B9BB-29929E15C924}</author>
    <author>tc={E3DDC50A-0AE4-4C6A-9B2C-C39B269959F6}</author>
    <author>tc={8F70B2C4-7C31-41AF-80DE-8D8241311926}</author>
    <author>tc={809E56C4-59A5-4CCD-B56C-9DA486FB96FB}</author>
    <author>tc={4D3568A2-635F-4EC8-8703-A8B8201E2031}</author>
    <author>tc={CCF6A328-C88E-4364-B569-43F95F4EFAB1}</author>
    <author>tc={AFF1E177-D6C8-41F3-B762-53B167F8DCD8}</author>
    <author>tc={5CCBFE41-560D-4BF9-ABEF-69562E9C9B18}</author>
    <author>tc={EEBE57F8-F3C0-4A31-9058-FBB0127F67A1}</author>
    <author>tc={B044675A-8B82-4A4A-859E-EFDDC06644DB}</author>
    <author>tc={94DE028A-5DEF-4FCD-B9AB-C1829D9C0A35}</author>
    <author>tc={B49EAB25-B61E-41E8-B76C-D0A3167686E9}</author>
    <author>tc={C99ED2EE-A9C4-4E3A-98E8-21AAE6CB0332}</author>
    <author>tc={80DB655C-AE23-4101-A48E-5BA08692712F}</author>
    <author>tc={F7BFFB88-DF8B-48B7-A308-8C3A03F9BEC8}</author>
    <author>tc={54F3B4E4-4CFE-4795-8CC0-977AAAEA7329}</author>
    <author>tc={2EF22309-2F7B-4843-A7AB-DDCA41092C3C}</author>
    <author>tc={79B4AE52-6D20-493F-8D88-2A89C73F1230}</author>
    <author>tc={C5F7D6C5-F7A2-4008-8690-3FAB030DB96C}</author>
    <author>tc={B58A18B6-233A-4769-A54B-65E6401CD416}</author>
    <author>tc={BDF92E37-39FF-494D-ADFE-DF0E4FD91F3A}</author>
    <author>tc={9950C992-98B7-420F-9614-2858AA257264}</author>
    <author>tc={76F14657-FFD8-4223-B935-CE9390F5F45A}</author>
    <author>tc={28AAE6E9-F138-4844-8A29-DAE32D135ACD}</author>
    <author>tc={B2ED0ECB-2E13-453B-8666-ABE0393D9879}</author>
    <author>tc={89AF1B04-1522-4A37-9024-2DF4C93A7BD7}</author>
    <author>tc={5297C6B4-7E63-4909-946F-A934861FAB69}</author>
    <author>tc={561C4751-F08F-4F07-AD89-EF4574DD057C}</author>
    <author>tc={93C0BC18-02AC-46AD-A050-AD4437DAEB21}</author>
    <author>tc={3221296B-1C75-4A5E-AB16-981214416EB6}</author>
    <author>tc={5C01DB10-C937-49C4-890D-AD471B1867AD}</author>
    <author>tc={A9B4374C-8EDB-4881-81F5-77CE023DE641}</author>
    <author>tc={240AC2A1-AF5F-45DD-A789-D10B255933EF}</author>
    <author>tc={7A36200B-3822-4B04-AE0C-EB42A678CFCA}</author>
    <author>tc={5820DA4E-FC5A-48F3-86DD-786418FBB6DB}</author>
    <author>tc={B7E9000A-7379-4A1C-9A83-5A0841A24325}</author>
    <author>tc={18B08261-8EE7-40B6-A0D7-F97F87C8AD63}</author>
    <author>tc={4AAC3693-4509-4654-985C-48363AB98033}</author>
    <author>tc={D48D48E8-8A0C-4C3C-A6AA-EA8AF7F90A79}</author>
    <author>tc={97282803-721F-458C-BC95-13322A34EEF2}</author>
    <author>tc={46002589-63E9-4041-839E-35FC795F5060}</author>
    <author>tc={198D8719-F5E9-4D5E-87E1-8EC979E82239}</author>
    <author>tc={BF46C99D-5F44-4ADA-9674-9780514DACDA}</author>
    <author>tc={A36E861D-7B17-48B4-B139-76B195B0510B}</author>
    <author>tc={9AFA3497-C711-433C-9687-927CAF3F40B0}</author>
    <author>tc={6690BECB-73FA-47B4-ABA4-F3FD2B60FB45}</author>
    <author>tc={0457A9C3-B971-425F-B6DC-B06D947A26C6}</author>
    <author>tc={63166735-B63A-4FD5-BBB9-41084B68EA28}</author>
    <author>tc={8ED08A0E-4A08-4205-A63E-E6B4A8034D82}</author>
    <author>tc={6C680472-2CB4-4D6A-9CF1-413006E52362}</author>
    <author>tc={6E032044-D119-440B-98E7-FD988027925D}</author>
    <author>tc={41D3ACDD-CF09-4CB6-9DD1-2EB6CA5FF22A}</author>
    <author>tc={73839977-35D4-4FA9-8DFE-09842ECFCBC5}</author>
    <author>tc={4E913088-42C4-4E54-87D7-BDAEDCD8DCFB}</author>
    <author>tc={886B6704-97FC-47B4-BC00-186EF9970200}</author>
    <author>tc={5396C0E8-49E0-4827-B951-E1E966D01CEE}</author>
    <author>tc={1402D37B-B414-49FB-8505-36C8617DA846}</author>
    <author>tc={39D49746-FFC1-432C-8CF9-42AD641D05EA}</author>
    <author>tc={D1CB812E-A951-4A73-A2BA-F8315E946D5D}</author>
    <author>tc={B1A92F17-05A3-4477-9FCB-175D3E4AE158}</author>
    <author>tc={7808F7FE-6476-479F-B828-7E4CFE90695E}</author>
    <author>tc={299D242B-D5B7-497B-9D56-3D1A3752E254}</author>
    <author>tc={682F5D90-E9AC-4FE2-9FB5-B873C9119BF0}</author>
    <author>tc={1122968F-FAD4-4153-A45E-3D1F9C3AFAB9}</author>
    <author>tc={80129B32-5CD5-498A-B19B-726F50D17366}</author>
    <author>tc={EE2EC431-B625-44D3-9C30-B16178827A21}</author>
    <author>tc={4BA51A19-219D-4082-98E5-857EB752B3E3}</author>
    <author>tc={BA31C057-A480-46B6-A8A4-D4218BD8F037}</author>
    <author>tc={38DDED04-1AF4-4806-AA66-DF650628F5EF}</author>
    <author>tc={910939FC-82B9-40EB-B16E-F7BAA3126FCE}</author>
    <author>tc={4B7F1978-9BE6-4C6A-9217-2A4380B7BAAE}</author>
    <author>tc={3C1050A7-8CA1-4FB5-B5E0-26857121D42F}</author>
    <author>tc={78EA818F-C5D1-406E-8388-2A6CA49A12C9}</author>
    <author>tc={F8094CC6-5087-4496-9244-7AC0452D6BA9}</author>
    <author>tc={298BE6D9-1A69-4729-9292-129DB16829A2}</author>
    <author>tc={298BE6D9-1A69-472A-9292-129DB16829A2}</author>
    <author>tc={298BE6D9-1A69-472B-9292-129DB16829A2}</author>
    <author>tc={A8D36C3B-E592-43AC-AD21-6453B1DD6FE4}</author>
    <author>tc={A8D36C3B-E592-43AD-AD21-6453B1DD6FE4}</author>
    <author>tc={A8D36C3B-E592-43AE-AD21-6453B1DD6FE4}</author>
    <author>tc={967802AD-ABAB-463D-B339-7605F8576963}</author>
    <author>tc={967802AD-ABAB-463E-B339-7605F8576963}</author>
    <author>tc={967802AD-ABAB-463F-B339-7605F8576963}</author>
    <author>tc={3873FED8-58F0-46AB-B466-D190B885415C}</author>
    <author>tc={5C55F055-B0BB-4D78-85A4-28E7C219CC28}</author>
    <author>tc={C349F512-4468-46C6-ADDA-87FB5157F73D}</author>
    <author>tc={284504A4-44A8-4AE0-9116-4C6E550CF13F}</author>
    <author>tc={4616574B-DC8C-4BFD-9C86-D552198F1F33}</author>
    <author>tc={6D1160C1-3AF5-4E66-AB4F-298AE2BAF316}</author>
    <author>tc={3E4F4E38-465A-4471-9ADC-644910FE80F4}</author>
    <author>tc={11A2352E-D3A8-41B9-9D3D-1A5F7952AD40}</author>
    <author>tc={9E778643-0D93-435E-A6F2-523B40FE5F0E}</author>
    <author>tc={330A28CF-E024-4338-B989-8FE0EDB3FB72}</author>
    <author>tc={05FDB2F2-D0F5-4453-91BB-4691DDF9C335}</author>
    <author>tc={B8524DA9-E0CC-4CE7-B762-E27F238A053E}</author>
    <author>tc={839EDE0C-6BDC-4706-9EF5-9C61F14F5A05}</author>
    <author>tc={2F91E084-A9F1-4E01-8E4A-D012FAE66DD3}</author>
    <author>tc={2F50779A-ACDF-4CD1-B165-9B5A011DDAC6}</author>
    <author>tc={48E90C49-39AD-4E96-A9F4-D4DF1BA561D6}</author>
    <author>tc={FDE4CD30-1601-4690-B62D-6C798AD1B086}</author>
    <author>tc={91C34527-0070-4B5C-BB34-463513AD1575}</author>
    <author>tc={0D7C4A2E-4877-4DAD-9903-8B4F5C5347F2}</author>
    <author>tc={AC8BC2B4-8E59-47F0-96B1-53688374B496}</author>
    <author>tc={9446C54A-FEF0-47DF-AF69-ABD098F5095F}</author>
    <author>tc={62846A50-8647-4597-BEAF-C7B434EB234B}</author>
    <author>tc={1A182A82-DCF7-4F23-843B-823E8424C2CE}</author>
    <author>tc={73244B93-AFD8-4320-A746-B3227088FD0D}</author>
    <author>tc={BDCD572F-435B-44B8-AB12-FB3364AE8C6A}</author>
    <author>tc={CA7EF724-8DD0-4ADC-B5D4-A6EE263113F4}</author>
    <author>tc={0BC5508C-DEB8-4E0A-AC30-A446E72F8F1C}</author>
    <author>tc={06822710-6E3F-4145-9611-87AE4E795058}</author>
    <author>tc={38865AC9-7F57-4C0A-AA7B-16EA390F0594}</author>
    <author>tc={DB66DC91-F41D-4BE5-9A92-3694FDE57ED0}</author>
    <author>tc={65A36CE5-19D8-4F21-B912-806665172441}</author>
    <author>tc={8F00DC8B-3820-4EC6-BF4F-8C8C3E2EA63F}</author>
    <author>tc={0BE6CD83-A4F0-416D-A28A-C39453010412}</author>
    <author>tc={DA4B75E6-EC7B-45E3-B8A8-BD729EBFC2C9}</author>
    <author>tc={4C46B41D-C03B-4614-A786-4CCFCC30BA77}</author>
    <author>tc={E1748539-B302-43DB-A5CE-BDFE242C7009}</author>
    <author>tc={5965254B-8021-4D9E-9FC8-14C837C5FDF8}</author>
    <author>tc={CEE84F8F-5567-4584-973B-AF8441853F28}</author>
    <author>tc={D867B907-0F96-4EFA-9D8F-41CFA3F597AA}</author>
    <author>tc={464B96FE-15D0-4F40-96E7-68B60B66C3CE}</author>
    <author>tc={E642F8FB-59B6-4659-B0C6-050DD417141C}</author>
    <author>tc={2934764D-E506-4F4F-A7CE-ED3420165C02}</author>
    <author>tc={6B0B8652-3C7C-4BA9-9401-EC75FD75D650}</author>
    <author>tc={A6BFF39A-3C15-4F93-92B9-06F101CBEB7A}</author>
    <author>tc={599A042B-5FD4-45DB-8727-89C606D52874}</author>
    <author>tc={E58C1D70-C01C-48AA-AF47-DF8A349EFABD}</author>
    <author>tc={B90A7CC6-2890-4E09-833C-2730A83F338B}</author>
    <author>tc={2163C8C8-6890-40F0-9AA1-6EA93677D538}</author>
    <author>tc={015FC8DC-C0C2-42D7-8404-058D97C6DE75}</author>
    <author>tc={C4C1266E-98FC-4ACB-AAE4-B99B6FCAA346}</author>
    <author>tc={D6679A01-9994-4102-ABD9-F76A565CF165}</author>
    <author>tc={38FA4DFE-688D-4F54-9A74-2B30FC49CCFA}</author>
    <author>tc={EDA80D48-6615-4BC4-819B-FF1D886EB9BE}</author>
    <author>tc={3A364557-6D4B-49F9-86B7-96596E3F1082}</author>
    <author>tc={B0E1B281-6B9B-4BC3-AA1C-1A30D948A940}</author>
    <author>tc={9FEF918A-B346-465F-9E34-140462F91CC6}</author>
    <author>tc={04CDF112-223C-4DFB-BEF2-FB01D45495DD}</author>
    <author>tc={24DDFC30-F18D-41E6-9459-38DA66A6B869}</author>
    <author>tc={CD2F2B04-26FD-4270-A99C-CAB43A0F9312}</author>
    <author>tc={B9CB18FF-17D0-4241-9C40-8E44938DC483}</author>
    <author>tc={FDF057E8-68DF-425D-8FAD-776018ADC65D}</author>
    <author>tc={3306AE92-BDEB-4995-A7B6-6B5C88FDB222}</author>
    <author>tc={FC8262E9-4894-4298-BE21-15DB2AC5D2C1}</author>
    <author>tc={5D373AD2-2BB3-4EE6-AD86-58383CC88D60}</author>
    <author>tc={FB235F42-3C56-44C4-B1D9-25A9F6CCFE28}</author>
    <author>tc={338C0AAB-1733-45E5-85E3-0BC2A3DE95B1}</author>
    <author>tc={230FF52E-20B3-49DE-A252-923B4552A31D}</author>
    <author>tc={B56B4CE2-984D-4A05-BA23-7C2B995B3D10}</author>
    <author>tc={3181044A-DB15-4F72-8163-428200FE171E}</author>
    <author>tc={F803C14B-0D49-44F8-9EFD-1F31E1BD114C}</author>
    <author>tc={D9CA4E70-E309-4E4C-A33F-576D04196971}</author>
    <author>tc={C92CF135-B241-4712-91F7-8ED8C5608642}</author>
    <author>tc={FD35AC96-98D2-473C-8506-AFC116C06E3E}</author>
    <author>tc={0BBBF009-DC7E-455A-AFED-768262C10450}</author>
    <author>tc={D666E192-7068-4D4D-AD68-8976EBC19B7B}</author>
    <author>tc={02A1D048-6517-4F47-8A68-083AF73A96E6}</author>
    <author>tc={205DFD91-1AB6-4D00-AEFA-AD87D41F9C34}</author>
  </authors>
  <commentList>
    <comment ref="JB7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Festivo en Zaragoza</t>
        </r>
      </text>
    </comment>
    <comment ref="JC7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Festivo en España y Chile</t>
        </r>
      </text>
    </comment>
    <comment ref="JS7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festivo en España
Temuco no trabajará para compensar sobresfuerzos</t>
        </r>
      </text>
    </comment>
    <comment ref="JT7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Festivo en España y Chile</t>
        </r>
      </text>
    </comment>
    <comment ref="JZ7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Festivo en España
Temuco trabaja medio día</t>
        </r>
      </text>
    </comment>
    <comment ref="KA7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Festivo en España y Chile</t>
        </r>
      </text>
    </comment>
    <comment ref="KF7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Festivo en España</t>
        </r>
      </text>
    </comment>
    <comment ref="KV7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Festivo en Valencia</t>
        </r>
      </text>
    </comment>
    <comment ref="LC7" authorId="1" shapeId="0" xr:uid="{00000000-0006-0000-0100-000009000000}">
      <text>
        <r>
          <rPr>
            <sz val="9"/>
            <color indexed="81"/>
            <rFont val="Tahoma"/>
            <family val="2"/>
          </rPr>
          <t>Festivo en Zaragoza (Marcos trabajará al haberlo cambiado con el día 22 de Enero)</t>
        </r>
      </text>
    </comment>
    <comment ref="ML7" authorId="0" shapeId="0" xr:uid="{00000000-0006-0000-0100-00000A000000}">
      <text>
        <r>
          <rPr>
            <b/>
            <sz val="8"/>
            <color indexed="81"/>
            <rFont val="Tahoma"/>
            <family val="2"/>
          </rPr>
          <t>Festivo en Zaragoza</t>
        </r>
      </text>
    </comment>
    <comment ref="MZ7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>festivo en Valencia</t>
        </r>
      </text>
    </comment>
    <comment ref="KD9" authorId="2" shapeId="0" xr:uid="{00000000-0006-0000-0100-00000C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
revision modelo de datos archivos - EHCOSPROD-38627
por hacer:
desglose de tareas evolutivo de archivos EHCOSPROD-38627
planificacion fenix
asignacion jiras
</t>
        </r>
      </text>
    </comment>
    <comment ref="KE9" authorId="2" shapeId="0" xr:uid="{00000000-0006-0000-0100-00000D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
termina analisis evolutivo EHCOSPROD-38627
revision y asignación jiras 5.15R
Por hacer: Planificacion fenix, analisis evolutivo EHCOSPROD-38598 (MULTICENTRO - Bloque quirúrgico)</t>
        </r>
      </text>
    </comment>
    <comment ref="KF9" authorId="2" shapeId="0" xr:uid="{00000000-0006-0000-0100-00000E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sube desglose de tareas evolutivo archivos (EHCOSPROD-38627)
planificacion y tareas centro
estimacion y desglose de tareas evolutivo EHCOSPROD-38598 (MULTICENTRO - Bloque quirúrgico)
asignacion jiras filtro 5.15R
Por hacer: estimacion y desglose de tareas evolutivo EHCOSPROD-38598 (MULTICENTRO - Bloque quirúrgico)
asignacion jiras filtro 5.15R</t>
        </r>
      </text>
    </comment>
    <comment ref="KG9" authorId="2" shapeId="0" xr:uid="{00000000-0006-0000-0100-00000F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de ayer:estimacion y desglose de tareas evolutivo EHCOSPROD-38598 (MULTICENTRO - Bloque quirúrgico)
asignacion jiras filtro 5.15R
revision indicadores fenix
Por hacer:estimacion y desglose de tareas evolutivo EHCOSPROD-38598 (MULTICENTRO - Bloque quirúrgico)
finalizar desglose de tareas de evolutivo archivos por ultimos cambios en DF
</t>
        </r>
      </text>
    </comment>
    <comment ref="KH9" authorId="2" shapeId="0" xr:uid="{00000000-0006-0000-0100-000010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estimacion y desglose de tareas evolutivo EHCOSPROD-38598 (MULTICENTRO - Bloque quirúrgico)
agregar nuevas tareas de actualización evolutivo archivos EHCOSPROD-38627
Por hacer:  estimacion y desglose de tareas evolutivo EHCOSPROD-38598 (MULTICENTRO - Bloque quirúrgico)</t>
        </r>
      </text>
    </comment>
    <comment ref="KK9" authorId="0" shapeId="0" xr:uid="{00000000-0006-0000-0100-00001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Seguimiento, soporte y asignación de tareas al equipo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5.15R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EHCOSPROD-38598 (MULTICENTRO - Bloque quirúrgico) (análisis técnico) fin 11/01/2021
- EHCOSPROD-38627 (Multicentro - Archivo) (seguimiento y soporte, punto de control) fin 12/01/2021
- estimación y asignación de correctivos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Seguimiento, soporte y asignación de tareas al equipo
Filtro CAST sobre avance por mes
5.15R
- EHCOSPROD-38598 (MULTICENTRO - Bloque quirúrgico) (análisis técnico)
- EHCOSPROD-38627 (Multicentro - Archivo) (punto de control)
- estimación y asignación de correctivos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L9" authorId="0" shapeId="0" xr:uid="{00000000-0006-0000-0100-000012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Seguimiento, soporte y asignación de tareas al equipo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5.15R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EHCOSPROD-38598 (MULTICENTRO - Bloque quirúrgico) (análisis técnico) fin 12/01/2021
- EHCOSPROD-38627 (Multicentro - Archivo) (seguimiento y soporte, punto de control) fin 12/01/2021
- estimación y asignación de correctivos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Seguimiento, soporte y asignación de tareas al equipo
5.15R
- EHCOSPROD-38598 (MULTICENTRO - Bloque quirúrgico) (análisis técnico, pausado por duda funcional)
- EHCOSPROD-38627 (Multicentro - Archivo) (seguimiento y soporte, punto de control)
- estimación y asignación de correctivos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M9" authorId="0" shapeId="0" xr:uid="{00000000-0006-0000-0100-000013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Seguimiento, soporte y asignación de tareas al equipo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5.15R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EHCOSPROD-38598 (MULTICENTRO - Bloque quirúrgico) (análisis técnico, pausado a la espera de revisión funcional) fin 12/01/2021
- EHCOSPROD-38627 (Multicentro - Archivo) (seguimiento y soporte, punto de control) fin 14/01/2021
- estimación y asignación de correctivos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Daily, Seguimiento, soporte y asignación de tareas al equipo
5.15R
- correctivos
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N9" authorId="0" shapeId="0" xr:uid="{00000000-0006-0000-0100-000014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Seguimiento, soporte y asignación de tareas al equipo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5.15R
- correctivos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EHCOSPROD-38598 (MULTICENTRO - Bloque quirúrgico) (análisis técnico, pausado a la espera de revisión funcional) fin 12/01/2021
- EHCOSPROD-38627 (Multicentro - Archivo) (seguimiento y soporte, punto de control) fin 14/01/2021
- estimación y asignación de correctivos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Seguimiento, soporte y asignación de tareas al equipo. Reuniones con Ramón
5.15R
- correctivos
- EHCOSPROD-38598 (MULTICENTRO - Bloque quirúrgico) (completara análisis técnico)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O9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Seguimiento, soporte y asignación de tareas al equipo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5.15R
- correctivos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EHCOSPROD-38598 (MULTICENTRO - Bloque quirúrgico) (seguimiento) fin 21/01/2021
- EHCOSPROD-38627 (Multicentro - Archivo) (seguimiento y soporte, punto de control) fin 14/01/2021
- estimación y asignación de correctivos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Seguimiento, soporte y asignación de tareas al equipo. Planificación centro
5.15R
- correctivos y soporte
- estimación y asignación de correctivos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R9" authorId="0" shapeId="0" xr:uid="{00000000-0006-0000-0100-000016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Seguimiento, soporte y asignación de tareas al equipo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5.15R
- correctivos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EHCOSPROD-38598 (MULTICENTRO - Bloque quirúrgico) (seguimiento, plan de pruebas) fin 25/01/2021
- estimación y asignación de correctivos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S9" authorId="0" shapeId="0" xr:uid="{00000000-0006-0000-0100-000017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(MULTICENTRO - Bloque quirúrgico) (seguimiento, plan de pruebas) fin 25/01/2021
- estimación y asignación de correctivos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Daily, Seguimiento, soporte al equipo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correctivos</t>
        </r>
        <r>
          <rPr>
            <b/>
            <sz val="8"/>
            <color indexed="81"/>
            <rFont val="Tahoma"/>
            <family val="2"/>
          </rPr>
          <t xml:space="preserve">
Avance:</t>
        </r>
        <r>
          <rPr>
            <sz val="8"/>
            <color indexed="81"/>
            <rFont val="Tahoma"/>
            <family val="2"/>
          </rPr>
          <t xml:space="preserve">
- Daily, Seguimiento, soporte al equipo. reunión con Ramón
- correctivos
- EHCOSPROD-38598 (MULTICENTRO - Bloque quirúrgico) (seguimiento, plan de pruebas)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T9" authorId="0" shapeId="0" xr:uid="{00000000-0006-0000-0100-000018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(MULTICENTRO - Bloque quirúrgico) (seguimiento, plan de pruebas) fin 25/01/2021
- EHCOSPROD-38607 - MULTICENTRO - Visor de historia clínica y resumen (análisis técnico)
- estimación y asignación de correctivos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Daily, Seguimiento, soporte al equipo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correctivos</t>
        </r>
        <r>
          <rPr>
            <b/>
            <sz val="8"/>
            <color indexed="81"/>
            <rFont val="Tahoma"/>
            <family val="2"/>
          </rPr>
          <t xml:space="preserve">
Avance:
- EHCOSPROD-38598 (MULTICENTRO - Bloque quirúrgico) (seguimiento, plan de pruebas)
- estimación y asignación de correctivos
- Daily, Seguimiento, soporte al equipo. Reuniones con Ramon
Backlog:
</t>
        </r>
      </text>
    </comment>
    <comment ref="KU9" authorId="0" shapeId="0" xr:uid="{00000000-0006-0000-0100-000019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(MULTICENTRO - Bloque quirúrgico) (seguimiento, plan de pruebas) fin 26/01/2021
- estimación y asignación de correctivos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Daily, Seguimiento, soporte al equipo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correctivos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V9" authorId="0" shapeId="0" xr:uid="{00000000-0006-0000-0100-00001A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Seguimiento, soporte y asignación de tareas al equipo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5.15R
- correctivos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EHCOSPROD-38598 (MULTICENTRO - Bloque quirúrgico)  avance tareas de Sara (seguimiento, plan de pruebas) fin 21/01/2021</t>
        </r>
        <r>
          <rPr>
            <b/>
            <sz val="8"/>
            <color indexed="81"/>
            <rFont val="Tahoma"/>
            <family val="2"/>
          </rPr>
          <t xml:space="preserve">
Avance:
Daily, Seguimiento, soporte y asignación de tareas al equipo
5.15R
- EHCOSPROD-38598 (MULTICENTRO - Bloque quirúrgico)  (seguimiento, plan de pruebas, desarrollo Hernán)
Backlog:
</t>
        </r>
      </text>
    </comment>
    <comment ref="KY9" authorId="0" shapeId="0" xr:uid="{00000000-0006-0000-0100-00001B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(MULTICENTRO - Bloque quirúrgico) (seguimiento, plan de pruebas y ajustes, punto de control, desarrollo) fin 27/01/2021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Daily, Seguimiento, soporte y asignación de tareas al equipo</t>
        </r>
        <r>
          <rPr>
            <b/>
            <sz val="8"/>
            <color indexed="81"/>
            <rFont val="Tahoma"/>
            <family val="2"/>
          </rPr>
          <t xml:space="preserve">
Avance:
- EHCOSPROD-38598 (MULTICENTRO - Bloque quirúrgico) (seguimiento, plan de pruebas y ajustes, punto de control, desarrollo)
Daily, 
Seguimiento, soporte y asignación de tareas al equipo.
Backlog:
</t>
        </r>
      </text>
    </comment>
    <comment ref="KZ9" authorId="0" shapeId="0" xr:uid="{00000000-0006-0000-0100-00001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EHCOSPROD-38598 (MULTICENTRO - Bloque quirúrgico) (seguimiento, ajustes, pruebas, cambiar a branch de la rma de la 5.15R) fin 26/01/2021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Daily, 
- Seguimiento, soporte y asignación de tareas al equipo</t>
        </r>
        <r>
          <rPr>
            <b/>
            <sz val="8"/>
            <color indexed="81"/>
            <rFont val="Tahoma"/>
            <family val="2"/>
          </rPr>
          <t xml:space="preserve">
Avance:
- EHCOSPROD-38598 (MULTICENTRO - Bloque quirúrgico) (pruebas, ajustes)
- Daily, 
Backlog:
</t>
        </r>
        <r>
          <rPr>
            <sz val="8"/>
            <color indexed="81"/>
            <rFont val="Tahoma"/>
            <family val="2"/>
          </rPr>
          <t>- EHCOSPROD-38631. MC-Facturación y presupuesto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A9" authorId="0" shapeId="0" xr:uid="{00000000-0006-0000-0100-00001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EHCOSPROD-38598 (MULTICENTRO - Bloque quirúrgico) (ajustes, pruebas, cambiar a branch de la rama de la 5.15R) fin 27/01/2021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Daily, 
- Seguimiento, soporte y asignación de tareas al equipo</t>
        </r>
        <r>
          <rPr>
            <b/>
            <sz val="8"/>
            <color indexed="81"/>
            <rFont val="Tahoma"/>
            <family val="2"/>
          </rPr>
          <t xml:space="preserve">
Avance:
- EHCOSPROD-38598 (MULTICENTRO - Bloque quirúrgico) (ajustes, pruebas, cambiar a branch de la rama de la 5.15R)
- Daily, 
- Seguimiento, soporte y asignación de tareas al equipo
Backlog:
</t>
        </r>
        <r>
          <rPr>
            <sz val="8"/>
            <color indexed="81"/>
            <rFont val="Tahoma"/>
            <family val="2"/>
          </rPr>
          <t>- EHCOSPROD-38631. MC-Facturación y presupuesto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B9" authorId="0" shapeId="0" xr:uid="{00000000-0006-0000-0100-00001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(MULTICENTRO - Bloque quirúrgico) (ajustes, pruebas) fin 28/01/2021
- EHCOSPROD-38631. MC-Facturación y presupuesto (análisis técnico junto con Sara)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EHCOSPROD-38598 (MULTICENTRO - Bloque quirúrgico) (ajustes en base a correo de Marta)
- Daily, 
- planificacion
- Seguimiento, soporte y asignación de tareas al equipo
Backlog:
</t>
        </r>
      </text>
    </comment>
    <comment ref="LC9" authorId="0" shapeId="0" xr:uid="{00000000-0006-0000-0100-00001F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(MULTICENTRO - Bloque quirúrgico) (ajustes por correo de casos de pruebas) 
- EHCOSPROD-38631. MC-Facturación y presupuesto (análisis técnico junto con Sara)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(análisis técnico junto con Sara, revisión modelo datos)
- EHCOSPROD-38598 (MULTICENTRO - Bloque quirúrgico) (ejecución pruebas) 
- Seguimiento, soporte y asignación de tareas al equipo
- Daily,
Backlog:
</t>
        </r>
      </text>
    </comment>
    <comment ref="LF9" authorId="0" shapeId="0" xr:uid="{00000000-0006-0000-0100-000020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(MULTICENTRO - Bloque quirúrgico) (esatbilización pendiente de despliegue, actualizar rama con el trunk) 
- EHCOSPROD-38631. MC-Facturación y presupuesto (análisis técnico junto con Sara)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(análisis técnico junto con Sara)
- Seguimiento, soporte y asignación de tareas al equipo
- Preparación feedback equipo
- reunión iwok
- Daily,
Backlog:
</t>
        </r>
      </text>
    </comment>
    <comment ref="LG9" authorId="0" shapeId="0" xr:uid="{00000000-0006-0000-0100-00002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(MULTICENTRO - Bloque quirúrgico) (estabilización 128, actualizar rama con el trunk) 
- EHCOSPROD-38631. MC-Facturación y presupuesto (análisis técnico junto con Sara)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EHCOSPROD-38598 (MULTICENTRO - Bloque quirúrgico) (estabilización 128, pruebas rama) 
- EHCOSPROD-38631. MC-Facturación y presupuesto (análisis técnico junto con Sara, revisión parte propiedades)
- Seguimiento, soporte y asignación de tareas al equipo
- Daily,
Backlog:
</t>
        </r>
      </text>
    </comment>
    <comment ref="LH9" authorId="0" shapeId="0" xr:uid="{00000000-0006-0000-0100-000022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(MULTICENTRO - Bloque quirúrgico) (estabilización 128, actualizar rama con el trunk) 
- EHCOSPROD-38631. MC-Facturación y presupuesto (análisis técnico junto con Sara)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EHCOSPROD-38598 (MULTICENTRO - Bloque quirúrgico) (estabilización 128, actualizar rama con el trunk) 
- EHCOSPROD-38631. MC-Facturación y presupuesto (análisis técnico junto con Sara, revisión modelo datos)
- Seguimiento, soporte y asignación de tareas al equipo
- Daily,
Backlog:
</t>
        </r>
      </text>
    </comment>
    <comment ref="LI9" authorId="0" shapeId="0" xr:uid="{00000000-0006-0000-0100-000023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(MULTICENTRO - Bloque quirúrgico) (actualizar rama con el trunk, merge al trunk) 
- EHCOSPROD-38631. MC-Facturación y presupuesto (análisis técnico junto con Sara, revisión modelo de datos)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EHCOSPROD-38598 (MULTICENTRO - Bloque quirúrgico) (actualizar rama con el trunk, merge al trunk) 
- EHCOSPROD-38631. MC-Facturación y presupuesto (análisis técnico junto con Sara, revisión modelo de datos)
- Seguimiento, soporte y asignación de tareas al equipo
- Daily, Reunión de feedback
Backlog:
</t>
        </r>
      </text>
    </comment>
    <comment ref="LJ9" authorId="0" shapeId="0" xr:uid="{00000000-0006-0000-0100-000024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EHCOSPROD-38627 (Multicentro - Archivo) (actualizar con el trunk, estabilizacion 161)
- EHCOSPROD-38631. MC-Facturación y presupuesto (análisis técnico junto con Sara, revisión modelo de datos)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(análisis técnico junto con Sara, revisión modelo de datos)
- ajustes BQ - multicentro
- Seguimiento, soporte y asignación de tareas al equipo
- Daily,
Backlog:
</t>
        </r>
      </text>
    </comment>
    <comment ref="LM9" authorId="0" shapeId="0" xr:uid="{00000000-0006-0000-0100-000025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EHCOSPROD-38627 (Multicentro - Archivo) (actualizar con el trunk, estabilizacion 161)
- EHCOSPROD-38631. MC-Facturación y presupuesto (estimación alto nivel, análisis técnico junto con Sara, revisión modelo de datos)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(estimación alto nivel, análisis técnico junto con Sara, revisión modelo de datos, estimación alto nivel)
- EHCOSPROD-38627 (Multicentro - Archivo) (actualizar con el trunk, estabilizacion 161)
- Seguimiento, soporte y asignación de tareas al equipo. Reunión con Ramón puesta al día
- Actualización BQ trunk
- Daily,
Backlog:
</t>
        </r>
      </text>
    </comment>
    <comment ref="LN9" authorId="0" shapeId="0" xr:uid="{00000000-0006-0000-0100-000026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EHCOSPROD-38627 (Multicentro - Archivo) (actualizar con el trunk, estabilizacion 161)
- EHCOSPROD-38631. MC-Facturación y presupuesto (estimación alto nivel, análisis técnico junto con Sara, revisión modelo de datos)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(análisis técnico junto con Sara, revisión modelo de datos)
- EHCOSPROD-44242: privilegios registro actividad
- BQ - multicentro: corrección
- Seguimiento, soporte y asignación de tareas al equipo
- Daily,
Backlog:
</t>
        </r>
      </text>
    </comment>
    <comment ref="LO9" authorId="0" shapeId="0" xr:uid="{00000000-0006-0000-0100-000027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EHCOSPROD-38627 (Multicentro - Archivo) (actualizar con el trunk, estabilizacion 161)
- EHCOSPROD-38631. MC-Facturación y presupuesto (análisis técnico junto con Sara, estimación) 12/02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LP9" authorId="0" shapeId="0" xr:uid="{00000000-0006-0000-0100-000028000000}">
      <text>
        <r>
          <rPr>
            <b/>
            <sz val="8"/>
            <color indexed="81"/>
            <rFont val="Tahoma"/>
            <family val="2"/>
          </rPr>
          <t xml:space="preserve">Tareas planificadas:
- Ausencia durante la mañana
</t>
        </r>
        <r>
          <rPr>
            <sz val="8"/>
            <color indexed="81"/>
            <rFont val="Tahoma"/>
            <family val="2"/>
          </rPr>
          <t>- EHCOSPROD-38627 (Multicentro - Archivo) (actualizar con el trunk, estabilizacion 161)
- EHCOSPROD-38631. MC-Facturación y presupuesto (análisis técnico junto con Sara, estimación) 12/02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Ausencia durante la mañana
- EHCOSPROD-38627 (Multicentro - Archivo) (actualizar con el trunk, estabilizacion 161)
- reunión automatización
- revert en los tabs de activityLog
- EHCOSPROD-38631. MC-Facturación y presupuesto (análisis técnico junto con Sara, estimación)
- Seguimiento, soporte y asignación de tareas al equipo
- Daily,
Backlog:
</t>
        </r>
      </text>
    </comment>
    <comment ref="LQ9" authorId="0" shapeId="0" xr:uid="{00000000-0006-0000-0100-000029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EHCOSPROD-38627 (Multicentro - Archivo) (actualizar con el trunk, estabilizacion 161)
- EHCOSPROD-38631. MC-Facturación y presupuesto (análisis técnico junto con Sara, estimación) 12/02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EHCOSPROD-38627 (Multicentro - Archivo) (merge al trunk, estabilizacion 161)
- EHCOSPROD-38631. MC-Facturación y presupuesto (análisis técnico junto con Sara, estimación)
- Seguimiento, soporte y asignación de tareas al equipo
- Daily,
Backlog:
</t>
        </r>
      </text>
    </comment>
    <comment ref="LT9" authorId="0" shapeId="0" xr:uid="{00000000-0006-0000-0100-00002A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(análisis técnico junto con Sara, estimación) 18/02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(análisis técnico junto con Sara, estimación)
- Seguimiento, soporte y asignación de tareas al equipo
- Daily,
Backlog:
</t>
        </r>
      </text>
    </comment>
    <comment ref="LU9" authorId="0" shapeId="0" xr:uid="{00000000-0006-0000-0100-00002B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(análisis técnico junto con Sara, estimación) fin 18/02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(análisis técnico junto con Sara, estimación)
- Seguimiento, soporte y asignación de tareas al equipo
- Daily,
Backlog:
</t>
        </r>
      </text>
    </comment>
    <comment ref="LV9" authorId="0" shapeId="0" xr:uid="{00000000-0006-0000-0100-00002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(análisis técnico junto con Sara, estimación) fin 18/02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(análisis técnico junto con Sara, estimación)
- Seguimiento, soporte y asignación de tareas al equipo
- Daily,
- entrevista
Backlog:
</t>
        </r>
      </text>
    </comment>
    <comment ref="LW9" authorId="0" shapeId="0" xr:uid="{00000000-0006-0000-0100-00002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(análisis técnico junto con Sara, estimación) fin 18/02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EHCOSPROD-38631. MC-Facturación y presupuesto (análisis técnico junto con Sara, estimación) fin 18/02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Backlog:
- EHCOSPROD-38631. MC-Facturación y presupuesto (desarrollo junto a Javier Hope) fin 05/03</t>
        </r>
      </text>
    </comment>
    <comment ref="LX9" authorId="0" shapeId="0" xr:uid="{00000000-0006-0000-0100-00002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(análisis técnico, traspaso con Sara, estimación, desarrollo junto a Javier Hope) fin 05/03
- Seguimiento, soporte y asignación de tareas al equipo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(análisis técnico, traspaso con Sara, estimación)
- Seguimiento, soporte y asignación de tareas al equipo
- reunión Ramón
- Daily,
Backlog:</t>
        </r>
      </text>
    </comment>
    <comment ref="MA9" authorId="0" shapeId="0" xr:uid="{00000000-0006-0000-0100-00002F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junto a Javier Hope) fin 05/03
- Seguimiento, soporte y asignación de tareas al equipo. Evaluaciones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junto a Javier Hope) fin 05/03
- Seguimiento, soporte y asignación de tareas al equipo. Evaluaciones
- Daily,
Backlog:</t>
        </r>
      </text>
    </comment>
    <comment ref="MB9" authorId="0" shapeId="0" xr:uid="{00000000-0006-0000-0100-000030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junto a Javier Hope) fin 05/03
- Seguimiento, soporte y asignación de tareas al equipo. Evaluaciones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(Merge con ultimos cambios del trunk) fin 05/03
- Seguimiento, soporte y asignación de tareas al equipo. Evaluaciones
- Daily,
Backlog:</t>
        </r>
      </text>
    </comment>
    <comment ref="MC9" authorId="0" shapeId="0" xr:uid="{00000000-0006-0000-0100-00003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junto a Javier Hope) fin 05/03
- Seguimiento, soporte y asignación de tareas al equipo. Evaluaciones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junto a Javier Hope y victor)
-revision dudas con Aida
-daily
-reunion con Ramon
Backlog:</t>
        </r>
      </text>
    </comment>
    <comment ref="MD9" authorId="0" shapeId="0" xr:uid="{00000000-0006-0000-0100-000032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junto a Javier Hope) fin 05/03
- Seguimiento, soporte y asignación de tareas al equipo. Evaluaciones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junto a Javier Hope y victor)
-daily
-reunion con Ramon
Backlog:</t>
        </r>
      </text>
    </comment>
    <comment ref="ME9" authorId="0" shapeId="0" xr:uid="{00000000-0006-0000-0100-000033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junto a Javier Hope) fin 05/03
- Seguimiento, soporte y asignación de tareas al equipo. Evaluaciones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junto a Javier Hope y victor)
-daily
-reunion con Ramon
Backlog:</t>
        </r>
      </text>
    </comment>
    <comment ref="MH9" authorId="0" shapeId="0" xr:uid="{00000000-0006-0000-0100-000034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junto a Javier Hope) fin 05/03
- Seguimiento, soporte y asignación de tareas al equipo. Evaluaciones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junto a Javier Hope y victor)
-daily
-dos reuniones con Ramon
-revision feedbacks aplicación centro
Backlog:</t>
        </r>
      </text>
    </comment>
    <comment ref="MI9" authorId="0" shapeId="0" xr:uid="{00000000-0006-0000-0100-000035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junto a Javier Hope) fin 05/03
-punto de control
- Seguimiento, soporte y asignación de tareas al equipo. Evaluaciones
- Daily,</t>
        </r>
        <r>
          <rPr>
            <b/>
            <sz val="8"/>
            <color indexed="81"/>
            <rFont val="Tahoma"/>
            <family val="2"/>
          </rPr>
          <t xml:space="preserve">
Avance:
- Punto de control - EHCOSPROD-38631. MC-Facturación y presupuesto 
-daily
-reuniones con Ramon
-planificacion
-asignacion de jiras 5.15
Backlog:</t>
        </r>
      </text>
    </comment>
    <comment ref="MJ9" authorId="0" shapeId="0" xr:uid="{00000000-0006-0000-0100-000036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junto a Javier Hope) fin 05/03
-punto de control
- Seguimiento, soporte y asignación de tareas al equipo. Evaluaciones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Javier y Victor)
-daily
-reuniones con Ramon
-planificacion
-asignacion de jiras 5.15
Backlog:
-jueves reunion centro con Ramon</t>
        </r>
      </text>
    </comment>
    <comment ref="MK9" authorId="0" shapeId="0" xr:uid="{00000000-0006-0000-0100-000037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junto a Javier Hope y Victor) fin 09/03
- Seguimiento, soporte y asignación de tareas al equipo. Evaluaciones
- Reunion centro con Ramon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Javier y Victor)
-daily
-reuniones con Ramon
-planificacion
-asignacion de jiras 5.15
Backlog:
</t>
        </r>
      </text>
    </comment>
    <comment ref="ML9" authorId="0" shapeId="0" xr:uid="{00000000-0006-0000-0100-000038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junto a Javier Hope y Victor) fin 09/03
- Seguimiento, soporte y asignación de tareas al equipo. Evaluaciones
- Daily,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Javier y Victor)
-daily
-reuniones con Ramon
-planificacion
-asignacion de jiras 5.15
Backlog:
</t>
        </r>
      </text>
    </comment>
    <comment ref="MO9" authorId="0" shapeId="0" xr:uid="{00000000-0006-0000-0100-000039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junto a Javier Hope y Victor) fin 09/03
- Seguimiento, soporte y asignación de tareas al equipo. Evaluaciones
- Daily,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NC9" authorId="0" shapeId="0" xr:uid="{00000000-0006-0000-0100-00003A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Seguimiento, soporte y asignación de tareas al equipo. Evaluaciones
-Planificacion
- Daily,</t>
        </r>
        <r>
          <rPr>
            <b/>
            <sz val="8"/>
            <color indexed="81"/>
            <rFont val="Tahoma"/>
            <family val="2"/>
          </rPr>
          <t xml:space="preserve">
Avance:
-revision de correos
configuracion entorno trunk
reuniones con Ramon
fenix
evaluaciones
Backlog:
</t>
        </r>
      </text>
    </comment>
    <comment ref="ND9" authorId="0" shapeId="0" xr:uid="{00000000-0006-0000-0100-00003B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Seguimiento, soporte y asignación de tareas al equipo. Evaluaciones
-Planificacion
- Daily,</t>
        </r>
        <r>
          <rPr>
            <b/>
            <sz val="8"/>
            <color indexed="81"/>
            <rFont val="Tahoma"/>
            <family val="2"/>
          </rPr>
          <t xml:space="preserve">
Avance:
Facturacion ehcos con Ramon
daily
soporte a equipo
evaluaciones
Backlog:
</t>
        </r>
      </text>
    </comment>
    <comment ref="NE9" authorId="0" shapeId="0" xr:uid="{00000000-0006-0000-0100-00003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Seguimiento, soporte y asignación de tareas al equipo. Evaluaciones
-Planificacion
- Daily,</t>
        </r>
        <r>
          <rPr>
            <b/>
            <sz val="8"/>
            <color indexed="81"/>
            <rFont val="Tahoma"/>
            <family val="2"/>
          </rPr>
          <t xml:space="preserve">
Avance:
-problemas caida steps
-Evaluacion mapa de compentencias, plan de mejoras
-Reunión con Ramon plan de mejoras.
-daily
Backlog:
</t>
        </r>
      </text>
    </comment>
    <comment ref="NF9" authorId="0" shapeId="0" xr:uid="{00000000-0006-0000-0100-00003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Seguimiento, soporte y asignación de tareas al equipo. Evaluaciones
-Planificacion
- Daily,
-seguimos con problemas de steps</t>
        </r>
        <r>
          <rPr>
            <b/>
            <sz val="8"/>
            <color indexed="81"/>
            <rFont val="Tahoma"/>
            <family val="2"/>
          </rPr>
          <t xml:space="preserve">
Avance:
-problemas caida steps
-Evaluacion mapa de compentencias, plan de mejoras
-Reunión con Ramon
-daily
-asignación de jiras y seguimiento de equipo
Backlog:
</t>
        </r>
      </text>
    </comment>
    <comment ref="NG9" authorId="0" shapeId="0" xr:uid="{00000000-0006-0000-0100-00003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Seguimiento, soporte y asignación de tareas al equipo. Evaluaciones
-Planificacion
- Daily,
-seguimos con problemas de steps</t>
        </r>
        <r>
          <rPr>
            <b/>
            <sz val="8"/>
            <color indexed="81"/>
            <rFont val="Tahoma"/>
            <family val="2"/>
          </rPr>
          <t xml:space="preserve">
Avance:
correctivos 5.15 excel
asignacion de errores
revision mapa de competenecias
daily
Backlog:
Lunes hacer pruebas evolutivo EHCOSPROD-40354</t>
        </r>
      </text>
    </comment>
    <comment ref="NJ9" authorId="0" shapeId="0" xr:uid="{00000000-0006-0000-0100-00003F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Seguimiento, soporte y asignación de tareas al equipo. Evaluaciones
-Planificacion
- Daily,
-seguimos con problemas de steps</t>
        </r>
        <r>
          <rPr>
            <b/>
            <sz val="8"/>
            <color indexed="81"/>
            <rFont val="Tahoma"/>
            <family val="2"/>
          </rPr>
          <t xml:space="preserve">
Avance:
seguimiento equipo
planficaciones fenix
estimacion y asignacion jiras 5.15
correccion correctivos 5.15
daily
Backlog:
Lunes hacer pruebas evolutivo EHCOSPROD-40354 (cambio de prioridad)</t>
        </r>
      </text>
    </comment>
    <comment ref="NK9" authorId="0" shapeId="0" xr:uid="{00000000-0006-0000-0100-000040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Seguimiento, soporte y asignación de tareas al equipo. Evaluaciones
-Planificacion
- Daily,
-correctivos 5.15</t>
        </r>
        <r>
          <rPr>
            <b/>
            <sz val="8"/>
            <color indexed="81"/>
            <rFont val="Tahoma"/>
            <family val="2"/>
          </rPr>
          <t xml:space="preserve">
Avance:
seguimiento, soporte y asignacion de jiras
estimacion jiras filtro
cierre peticion fenix
reunion con ramon
correccion jiras
apoyo a nicolas
Backlog:
Lunes hacer pruebas evolutivo EHCOSPROD-40354</t>
        </r>
      </text>
    </comment>
    <comment ref="NL9" authorId="0" shapeId="0" xr:uid="{00000000-0006-0000-0100-00004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Seguimiento, soporte y asignación de tareas al equipo. Evaluaciones
-Planificacion
- Daily,
-correctivos 5.15</t>
        </r>
        <r>
          <rPr>
            <b/>
            <sz val="8"/>
            <color indexed="81"/>
            <rFont val="Tahoma"/>
            <family val="2"/>
          </rPr>
          <t xml:space="preserve">
Avance:
seguimiento, soporte y asignacion de jiras
estimacion jiras filtro
cierre peticion fenix
reunion con ramon
correccion jiras
Backlog:
Lunes hacer pruebas evolutivo EHCOSPROD-40354</t>
        </r>
      </text>
    </comment>
    <comment ref="KD10" authorId="2" shapeId="0" xr:uid="{00000000-0006-0000-0100-000042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
revision modelo de datos de archivos- EHCOSPROD-38627
Por hacer:
revisar jiras de oncologia, revision con Carlos paños-
comenzar evolutivo de archivos EHCOSPROD-38627
</t>
        </r>
      </text>
    </comment>
    <comment ref="KE10" authorId="2" shapeId="0" xr:uid="{00000000-0006-0000-0100-000043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de ayer: jiras de oncologia, merge de ramas de archivos, desarrollo evolutivo archivos EHCOSPROD-38627
Por hacer: desarrollo evolutivo archivos EHCOSPROD-38627</t>
        </r>
      </text>
    </comment>
    <comment ref="KF10" authorId="2" shapeId="0" xr:uid="{00000000-0006-0000-0100-000044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desarrollo evolutivo archivos EHCOSPROD-38627
Por hacer:  desarrollo evolutivo archivos EHCOSPROD-38627</t>
        </r>
      </text>
    </comment>
    <comment ref="KG10" authorId="2" shapeId="0" xr:uid="{00000000-0006-0000-0100-000045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 desarrollo evolutivo archivos EHCOSPROD-38627 
se desplezo a oficina everis
Por hacer:desarrollo evolutivo archivos EHCOSPROD-38627, (se actualiza DF por parte del equipo funcional)</t>
        </r>
      </text>
    </comment>
    <comment ref="KH10" authorId="2" shapeId="0" xr:uid="{00000000-0006-0000-0100-000046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 desarrollo evolutivo archivos EHCOSPROD-38627 
Por hacer: finalizar desarrollo evolutivo archivos EHCOSPROD-38627 
queda pendiente sonar,
pruebas
lunes punto de control</t>
        </r>
      </text>
    </comment>
    <comment ref="KK10" authorId="0" shapeId="0" xr:uid="{00000000-0006-0000-0100-000047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asignación del motor de base de datos
- Oncología (actualizar rama con el trunk, estabilización 161): EHCOSPROD-43389, EHCOSPROD-42737, EHCOSPROD-43433, EHCOSPROD-43435, EHCOSPROD-43430, EHCOSPROD-43434
- EHCOSPROD-38627 (Multicentro - Archivo) (desarrollo, sonar, documentación, punto de control 11/01/2021) fecha de fin 12/01/2021
- correctivos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- Oncología (actualizar rama con el trunk, estabilización 161)
- EHCOSPROD-38627 (Multicentro - Archivo) (desarrollo, sonar, documentación, punto de control, ajustes)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instalación base de datos Oracle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L10" authorId="0" shapeId="0" xr:uid="{00000000-0006-0000-0100-000048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asignación del motor de base de datos
5.15R
- Oncología (actualizar rama con el trunk, estabilización 161): EHCOSPROD-42737, EHCOSPROD-43435, EHCOSPROD-43430, EHCOSPROD-43434
- EHCOSPROD-38627 (Multicentro - Archivo) (desarrollo, sonar, documentación) fecha de fin 14/01/2021
- correctivos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asignación del motor de base de datos
5.15R
- Oncología (actualizar rama con el trunk, estabilización 161)
- EHCOSPROD-38627 (Multicentro - Archivo) (desarrollo, sonar) fecha de fin 14/01/2021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instalación base de datos Oracle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M10" authorId="0" shapeId="0" xr:uid="{00000000-0006-0000-0100-000049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asignación del motor de base de datos
5.15R
- Oncología (actualizar rama con el trunk, estabilización 161): EHCOSPROD-42737, EHCOSPROD-43435, EHCOSPROD-43430, EHCOSPROD-43434
- EHCOSPROD-38627 (Multicentro - Archivo) (ajustes, sonar, documentación) fecha de fin 14/01/2021
- EHCOSPROD-37586 - MULTICENTRO - CPOE (desarrollo) inicio 15/01/2021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Oncología (actualizar rama con el trunk, estabilización 161): EHCOSPROD-42737, EHCOSPROD-43435, EHCOSPROD-43430, EHCOSPROD-43434
- EHCOSPROD-38627 (Multicentro - Archivo) (ajustes, sonar, documentación)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instalación base de datos Oracle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N10" authorId="0" shapeId="0" xr:uid="{00000000-0006-0000-0100-00004A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asignación del motor de base de datos
5.15R
- Oncología (actualizar rama con el trunk, estabilización 161): EHCOSPROD-42736, EHCOSPROD-43430, EHCOSPROD-42737
- EHCOSPROD-38627 (Multicentro - Archivo) (pruebas y ajustes, sonar, documentación) fecha de fin 14/01/2021
- EHCOSPROD-37586 - MULTICENTRO - CPOE (desarrollo) inicio 15/01/2021, fin 22/01/2021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Oncología (actualizar rama con el trunk, estabilización 161)
- EHCOSPROD-38627 (Multicentro - Archivo) (pruebas y ajustes, sonar, documentación)
- EHCOSPROD-37586 - MULTICENTRO - CPOE (revisión, preparar entorno)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instalación base de datos Oracle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O10" authorId="0" shapeId="0" xr:uid="{00000000-0006-0000-0100-00004B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asignación del motor de base de datos
5.15R
- Oncología (actualizar rama con el trunk, estabilización 161): EHCOSPROD-43430
- EHCOSPROD-38627 (Multicentro - Archivo) (documentación) fecha de fin 14/01/2021
- EHCOSPROD-37586 - MULTICENTRO - CPOE (desarrollo) inicio 15/01/2021, fin 22/01/2021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Oncología (actualizar rama con el trunk, estabilización 161)
- EHCOSPROD-38627 (Multicentro - Archivo) (documentación)
- EHCOSPROD-37586 - MULTICENTRO - CPOE (revisión funcional, desarrollo)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instalación base de datos Oracle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R10" authorId="0" shapeId="0" xr:uid="{00000000-0006-0000-0100-00004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Daily, asignación del motor de base de datos
5.15R
- EHCOSPROD-38627 (Multicentro - Archivo) (merge con el trunk, estabilización)
- Oncología (actualizar rama con el trunk, estabilización 161): EHCOSPROD-43430
- EHCOSPROD-37586 - MULTICENTRO - CPOE (desarrollo) inicio 15/01/2021, fin 22/01/2021 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instalación base de datos Oracle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S10" authorId="0" shapeId="0" xr:uid="{00000000-0006-0000-0100-00004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Oncología (actualizar rama con el trunk, estabilización 161)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EHCOSPROD-37586 - MULTICENTRO - CPOE (desarrollo) inicio 15/01/2021, fin 22/01/2021
- EHCOSPROD-38627 (Multicentro - Archivo) (actualizar rama con el trunk, estabilización pendiente de despliegue)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 xml:space="preserve">Daily, asignación del motor de base de datos
</t>
        </r>
        <r>
          <rPr>
            <b/>
            <sz val="8"/>
            <color indexed="81"/>
            <rFont val="Tahoma"/>
            <family val="2"/>
          </rPr>
          <t xml:space="preserve">Avance:
</t>
        </r>
        <r>
          <rPr>
            <sz val="8"/>
            <color indexed="81"/>
            <rFont val="Tahoma"/>
            <family val="2"/>
          </rPr>
          <t>- EHCOSPROD-37586 - MULTICENTRO - CPOE (desarrollo)
- Daily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instalación base de datos Oracle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T10" authorId="0" shapeId="0" xr:uid="{00000000-0006-0000-0100-00004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Oncología (actualizar rama con el trunk, estabilización 161)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EHCOSPROD-37586 - MULTICENTRO - CPOE (preparar entorno tras movimiento de rama, desarrollo) inicio 15/01/2021, fin 22/01/2021
- EHCOSPROD-38627 (Multicentro - Archivo) (actualizar rama con el trunk, estabilización pendiente de despliegue)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 xml:space="preserve">Daily, asignación del motor de base de datos
</t>
        </r>
        <r>
          <rPr>
            <b/>
            <sz val="8"/>
            <color indexed="81"/>
            <rFont val="Tahoma"/>
            <family val="2"/>
          </rPr>
          <t xml:space="preserve">Avance:
- EHCOSPROD-37586 - MULTICENTRO - CPOE (preparar entorno tras movimiento de rama, desarrollo)
- Daily,
Backlog:
</t>
        </r>
        <r>
          <rPr>
            <sz val="8"/>
            <color indexed="81"/>
            <rFont val="Tahoma"/>
            <family val="2"/>
          </rPr>
          <t>instalación base de datos Oracle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U10" authorId="0" shapeId="0" xr:uid="{00000000-0006-0000-0100-00004F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Oncología (actualizar rama con el trunk, estabilización 161)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EHCOSPROD-37586 - MULTICENTRO - CPOE (desarrollo) inicio 15/01/2021, fin 22/01/2021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 xml:space="preserve">Daily, asignación del motor de base de datos
- EHCOSPROD-38627 (Multicentro - Archivo) (actualizar rama con el trunk, estabilización pendiente de despliegue)
</t>
        </r>
        <r>
          <rPr>
            <b/>
            <sz val="8"/>
            <color indexed="81"/>
            <rFont val="Tahoma"/>
            <family val="2"/>
          </rPr>
          <t xml:space="preserve">Avance:
- EHCOSPROD-37586 - MULTICENTRO - CPOE (desarrollo) inicio 15/01/2021, fin 22/01/2021
Backlog:
</t>
        </r>
        <r>
          <rPr>
            <sz val="8"/>
            <color indexed="81"/>
            <rFont val="Tahoma"/>
            <family val="2"/>
          </rPr>
          <t>instalación base de datos Oracle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V10" authorId="0" shapeId="0" xr:uid="{00000000-0006-0000-0100-000050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asignación del motor de base de datos
5.15R
- Oncología (actualizar rama con el trunk, estabilización 161)
- EHCOSPROD-37586 - MULTICENTRO - CPOE (desarrollo - sonar - documentación)</t>
        </r>
        <r>
          <rPr>
            <b/>
            <sz val="8"/>
            <color indexed="81"/>
            <rFont val="Tahoma"/>
            <family val="2"/>
          </rPr>
          <t xml:space="preserve">
Avance:
- EHCOSPROD-37586 - MULTICENTRO - CPOE (desarrollo - sonar - documentación)
Daily, asignación del motor de base de datos
Backlog:
</t>
        </r>
      </text>
    </comment>
    <comment ref="KY10" authorId="0" shapeId="0" xr:uid="{00000000-0006-0000-0100-00005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Oncología (actualizar rama con el trunk, estabilización 161)
- EHCOSPROD-37586 - MULTICENTRO - CPOE (desarrollo - sonar - documentación)
- EHCOSPROD-40310 - Historia clínica oncológica (desarrollo)
Daily, asignación del motor de base de datos</t>
        </r>
        <r>
          <rPr>
            <b/>
            <sz val="8"/>
            <color indexed="81"/>
            <rFont val="Tahoma"/>
            <family val="2"/>
          </rPr>
          <t xml:space="preserve">
Avance:
- EHCOSPROD-37586 - MULTICENTRO - CPOE (desarrollo - sonar - documentación)
Daily,
Backlog:
</t>
        </r>
      </text>
    </comment>
    <comment ref="KZ10" authorId="0" shapeId="0" xr:uid="{00000000-0006-0000-0100-000052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EHCOSPROD-38627 (Multicentro - Archivo) (cambiar a branch de la rma de la 5.15R, estabilización pendiente de despliegue)
- EHCOSPROD-37586 - MULTICENTRO - CPOE (pruebas, ajustes, documentación)
- Oncología (actualizar rama con el trunk, estabilización 161)
- Daily</t>
        </r>
        <r>
          <rPr>
            <b/>
            <sz val="8"/>
            <color indexed="81"/>
            <rFont val="Tahoma"/>
            <family val="2"/>
          </rPr>
          <t xml:space="preserve">
Avance:
- EHCOSPROD-38627 (Multicentro - Archivo) (cambiar a branch de la rma de la 5.15R)
- correctivos 6.0
- Daily
Backlog:
</t>
        </r>
        <r>
          <rPr>
            <sz val="8"/>
            <color indexed="81"/>
            <rFont val="Tahoma"/>
            <family val="2"/>
          </rPr>
          <t>- EHCOSPROD-40310 - Historia clínica oncológica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A10" authorId="0" shapeId="0" xr:uid="{00000000-0006-0000-0100-000053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EHCOSPROD-37586 - MULTICENTRO - CPOE (estabilización)
- Oncología (actualizar rama con el trunk, estabilización 161)
- correctivos 6.0
- Daily</t>
        </r>
        <r>
          <rPr>
            <b/>
            <sz val="8"/>
            <color indexed="81"/>
            <rFont val="Tahoma"/>
            <family val="2"/>
          </rPr>
          <t xml:space="preserve">
Avance:
- correctivos
- Daily
Backlog:
</t>
        </r>
        <r>
          <rPr>
            <sz val="8"/>
            <color indexed="81"/>
            <rFont val="Tahoma"/>
            <family val="2"/>
          </rPr>
          <t>- EHCOSPROD-40310 - Historia clínica oncológica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B10" authorId="0" shapeId="0" xr:uid="{00000000-0006-0000-0100-000054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EHCOSPROD-37586 - MULTICENTRO - CPOE (estabilización, mover el desarrollo a la rama original)
- Oncología (actualizar rama con el trunk, estabilización 161)
- EHCOSPROD-38627 (Multicentro - Archivo) (eliminar branch de l 5.15)
- correctivos
- Daily</t>
        </r>
        <r>
          <rPr>
            <b/>
            <sz val="8"/>
            <color indexed="81"/>
            <rFont val="Tahoma"/>
            <family val="2"/>
          </rPr>
          <t xml:space="preserve">
Avance:
-Merge evolutivo EHCOSPROD-37586 - MULTICENTRO - CPOE desde 5.15 al branch del trunk (merge manual)
-sesion testlink
-apoyo a compañeros
-merge del trunk a rama EHCOSPROD-37586
jira EHCOSPROD-40133
Backlog:
</t>
        </r>
        <r>
          <rPr>
            <sz val="8"/>
            <color indexed="81"/>
            <rFont val="Tahoma"/>
            <family val="2"/>
          </rPr>
          <t>- EHCOSPROD-40310 - Historia clínica oncológica (lectura documentación y consulta de dudas)
- EHCOSPROD-38627 (Multicentro - Archivo) (estabilización pendiente de despliegue)</t>
        </r>
      </text>
    </comment>
    <comment ref="LC10" authorId="0" shapeId="0" xr:uid="{00000000-0006-0000-0100-000055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EHCOSPROD-37586 - MULTICENTRO - CPOE (estabilización)
- Oncología (actualizar rama con el trunk, estabilización 161)
- EHCOSPROD-38627 (Multicentro - Archivo) (estabilizacion)
- correctivos
- Daily</t>
        </r>
        <r>
          <rPr>
            <b/>
            <sz val="8"/>
            <color indexed="81"/>
            <rFont val="Tahoma"/>
            <family val="2"/>
          </rPr>
          <t xml:space="preserve">
Avance:
- correctivos
- Oncología (actualizar rama con el trunk)
- EHCOSPROD-37586 - MULTICENTRO - CPOE (estabilización)
- Daily
Backlog:
</t>
        </r>
        <r>
          <rPr>
            <sz val="8"/>
            <color indexed="81"/>
            <rFont val="Tahoma"/>
            <family val="2"/>
          </rPr>
          <t>- EHCOSPROD-40310 - Historia clínica oncológica (lectura documentación y consulta de dudas)
- EHCOSPROD-38627 (Multicentro - Archivo) (estabilización pendiente de despliegue)</t>
        </r>
      </text>
    </comment>
    <comment ref="LF10" authorId="0" shapeId="0" xr:uid="{00000000-0006-0000-0100-000056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EHCOSPROD-37586 - MULTICENTRO - CPOE (estabilización, traspaso conocimiento Patricio)
- Oncología (actualizar rama con el trunk, estabilización 161)
- EHCOSPROD-38627 (Multicentro - Archivo) (estabilizacion, actualizar con el trunk)
- correctivos
- Daily</t>
        </r>
        <r>
          <rPr>
            <b/>
            <sz val="8"/>
            <color indexed="81"/>
            <rFont val="Tahoma"/>
            <family val="2"/>
          </rPr>
          <t xml:space="preserve">
Avance:
- correctivos
- Daily
Backlog:
</t>
        </r>
        <r>
          <rPr>
            <sz val="8"/>
            <color indexed="81"/>
            <rFont val="Tahoma"/>
            <family val="2"/>
          </rPr>
          <t>- EHCOSPROD-40310 - Historia clínica oncológica (lectura documentación y consulta de dudas)
- EHCOSPROD-38627 (Multicentro - Archivo) (estabilización pendiente de despliegue)</t>
        </r>
      </text>
    </comment>
    <comment ref="LV10" authorId="0" shapeId="0" xr:uid="{00000000-0006-0000-0100-000057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puesta al día
- EHCOSPROD-40310 - Historia clínica oncológica (lectura documentación, preparación entorno, desarrollo)
- Daily</t>
        </r>
        <r>
          <rPr>
            <b/>
            <sz val="8"/>
            <color indexed="81"/>
            <rFont val="Tahoma"/>
            <family val="2"/>
          </rPr>
          <t xml:space="preserve">
Avance:
- puesta al día
- EHCOSPROD-40310 - Historia clínica oncológica (lectura documentación, preparación entorno, desarrollo)
- Daily
Backlog:
</t>
        </r>
      </text>
    </comment>
    <comment ref="LW10" authorId="0" shapeId="0" xr:uid="{00000000-0006-0000-0100-000058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EHCOSPROD-40310 - Historia clínica oncológica (lectura documentación, preparación entorno, desarrollo) fin 18/05
- Daily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EHCOSPROD-40310 - Historia clínica oncológica (generación de scripts)
- Daily
- reunión con Ramon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LX10" authorId="0" shapeId="0" xr:uid="{00000000-0006-0000-0100-000059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EHCOSPROD-40310 - Historia clínica oncológica (desarrollo, seguimiento con Sandra) fin 18/05
- Daily</t>
        </r>
        <r>
          <rPr>
            <b/>
            <sz val="8"/>
            <color indexed="81"/>
            <rFont val="Tahoma"/>
            <family val="2"/>
          </rPr>
          <t xml:space="preserve">
Avance:
- EHCOSPROD-40310 - Historia clínica oncológica (desarrollo, seguimiento con Sandra)
- Daily
Backlog:
</t>
        </r>
      </text>
    </comment>
    <comment ref="MA10" authorId="0" shapeId="0" xr:uid="{00000000-0006-0000-0100-00005A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estabilización oncología: EHCOSPROD-44667, EHCOSPROD-44673
- EHCOSPROD-40310 - Historia clínica oncológica (desarrollo, seguimiento con Sandra) fin 18/05
- Daily</t>
        </r>
        <r>
          <rPr>
            <b/>
            <sz val="8"/>
            <color indexed="81"/>
            <rFont val="Tahoma"/>
            <family val="2"/>
          </rPr>
          <t xml:space="preserve">
Avance:
- estabilización oncología: EHCOSPROD-44667, EHCOSPROD-44673
- EHCOSPROD-40310 - Historia clínica oncológica (desarrollo, seguimiento con Sandra) fin 18/05
- Daily
Backlog:
</t>
        </r>
      </text>
    </comment>
    <comment ref="MB10" authorId="0" shapeId="0" xr:uid="{00000000-0006-0000-0100-00005B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estabilización oncología: EHCOSPROD-44673
- EHCOSPROD-40310 - Historia clínica oncológica (desarrollo, seguimiento con Sandra) fin 18/05
- Daily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- EHCOSPROD-40310 - Historia clínica oncológica (desarrollo)
-daily
-revision tecnica con Gerardo
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MC10" authorId="0" shapeId="0" xr:uid="{00000000-0006-0000-0100-00005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estabilización oncología: EHCOSPROD-44673
- EHCOSPROD-40310 - Historia clínica oncológica (desarrollo, seguimiento con Sandra) fin 18/05
- Daily</t>
        </r>
        <r>
          <rPr>
            <b/>
            <sz val="8"/>
            <color indexed="81"/>
            <rFont val="Tahoma"/>
            <family val="2"/>
          </rPr>
          <t xml:space="preserve">
Avance:
- EHCOSPROD-40310 - Historia clínica oncológica (desarrollo, seguimiento con Sandra) fin 18/05
daily
Backlog:
</t>
        </r>
      </text>
    </comment>
    <comment ref="MD10" authorId="0" shapeId="0" xr:uid="{00000000-0006-0000-0100-00005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estabilización oncología: EHCOSPROD-44673
- EHCOSPROD-40310 - Historia clínica oncológica (desarrollo, seguimiento con Sandra) fin 18/05
- Daily</t>
        </r>
        <r>
          <rPr>
            <b/>
            <sz val="8"/>
            <color indexed="81"/>
            <rFont val="Tahoma"/>
            <family val="2"/>
          </rPr>
          <t xml:space="preserve">
Avance:
- EHCOSPROD-40310 - Historia clínica oncológica (desarrollo, seguimiento con Sandra) fin 18/05
-daily
Backlog:
</t>
        </r>
      </text>
    </comment>
    <comment ref="ME10" authorId="0" shapeId="0" xr:uid="{00000000-0006-0000-0100-00005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estabilización oncología: EHCOSPROD-44673
- EHCOSPROD-40310 - Historia clínica oncológica (desarrollo, seguimiento con Sandra) fin 18/05
- Daily</t>
        </r>
        <r>
          <rPr>
            <b/>
            <sz val="8"/>
            <color indexed="81"/>
            <rFont val="Tahoma"/>
            <family val="2"/>
          </rPr>
          <t xml:space="preserve">
Avance:
- EHCOSPROD-40310 - Historia clínica oncológica (desarrollo, seguimiento con Sandra) fin 18/05
-daily
Backlog:
</t>
        </r>
      </text>
    </comment>
    <comment ref="MH10" authorId="0" shapeId="0" xr:uid="{00000000-0006-0000-0100-00005F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estabilización oncología: EHCOSPROD-44673
- EHCOSPROD-40310 - Historia clínica oncológica (desarrollo, seguimiento con Sandra) fin 18/05
- Daily</t>
        </r>
        <r>
          <rPr>
            <b/>
            <sz val="8"/>
            <color indexed="81"/>
            <rFont val="Tahoma"/>
            <family val="2"/>
          </rPr>
          <t xml:space="preserve">
Avance:
- EHCOSPROD-40310 - Historia clínica oncológica (desarrollo, seguimiento con Sandra) fin 18/05
-daily
Backlog:
</t>
        </r>
      </text>
    </comment>
    <comment ref="MI10" authorId="0" shapeId="0" xr:uid="{00000000-0006-0000-0100-000060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estabilización oncología: EHCOSPROD-44673
- EHCOSPROD-40310 - Historia clínica oncológica (desarrollo, seguimiento con Sandra) fin 18/05
- Daily</t>
        </r>
        <r>
          <rPr>
            <b/>
            <sz val="8"/>
            <color indexed="81"/>
            <rFont val="Tahoma"/>
            <family val="2"/>
          </rPr>
          <t xml:space="preserve">
Avance:
- EHCOSPROD-40310 - Historia clínica oncológica (desarrollo, seguimiento con Sandra) fin 18/05
-daily
Backlog:
</t>
        </r>
      </text>
    </comment>
    <comment ref="MJ10" authorId="0" shapeId="0" xr:uid="{00000000-0006-0000-0100-00006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estabilización oncología: EHCOSPROD-44673
- EHCOSPROD-40310 - Historia clínica oncológica (desarrollo, seguimiento con Sandra) fin 18/05
- Daily</t>
        </r>
        <r>
          <rPr>
            <b/>
            <sz val="8"/>
            <color indexed="81"/>
            <rFont val="Tahoma"/>
            <family val="2"/>
          </rPr>
          <t xml:space="preserve">
Avance:
- EHCOSPROD-40310 - Historia clínica oncológica (desarrollo, seguimiento con Sandra) fin 18/05
-daily
- problemas con el computador, revision equipo de IT
Backlog:
jueves reunion de centro con Ramon</t>
        </r>
      </text>
    </comment>
    <comment ref="MK10" authorId="0" shapeId="0" xr:uid="{00000000-0006-0000-0100-00006200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EHCOSPROD-40310 - Historia clínica oncológica (desarrollo, seguimiento con Sandra) fin 18/05
- reunion de centro con Ramon
- Daily</t>
        </r>
        <r>
          <rPr>
            <b/>
            <sz val="8"/>
            <color indexed="81"/>
            <rFont val="Tahoma"/>
            <family val="2"/>
          </rPr>
          <t xml:space="preserve">
Avance:
- EHCOSPROD-40310 - Historia clínica oncológica (desarrollo, seguimiento con Sandra) fin 18/05
-daily
- Reunion con Ramon
- merge del trunk a la rama
Backlog:
- EHCOSPROD-41715 / EHCOSPROD-45025
Desarrollo: Configuración de componentes de la hoja de registro de enfermería por sección (desarrollo)</t>
        </r>
      </text>
    </comment>
    <comment ref="ML10" authorId="0" shapeId="0" xr:uid="{00000000-0006-0000-0100-00006300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EHCOSPROD-40310 - Historia clínica oncológica (desarrollo, seguimiento con Sandra) fin 18/05
- Daily</t>
        </r>
        <r>
          <rPr>
            <b/>
            <sz val="8"/>
            <color indexed="81"/>
            <rFont val="Tahoma"/>
            <family val="2"/>
          </rPr>
          <t xml:space="preserve">
Avance:
- EHCOSPROD-40310 - Historia clínica oncológica (desarrollo, seguimiento con Sandra)
daily
Backlog:
- EHCOSPROD-41715 / EHCOSPROD-45025
Desarrollo: Configuración de componentes de la hoja de registro de enfermería por sección (desarrollo)</t>
        </r>
      </text>
    </comment>
    <comment ref="MO10" authorId="0" shapeId="0" xr:uid="{00000000-0006-0000-0100-00006400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EHCOSPROD-40310 - Historia clínica oncológica (desarrollo, seguimiento con Sandra) fin 18/05
- Daily</t>
        </r>
        <r>
          <rPr>
            <b/>
            <sz val="8"/>
            <color indexed="81"/>
            <rFont val="Tahoma"/>
            <family val="2"/>
          </rPr>
          <t xml:space="preserve">
Avance:
- EHCOSPROD-40310 - Historia clínica oncológica (desarrollo, seguimiento con Sandra) fin 18/05
- Daily
Backlog:
- EHCOSPROD-41715 / EHCOSPROD-45025
Desarrollo: Configuración de componentes de la hoja de registro de enfermería por sección (desarrollo)</t>
        </r>
      </text>
    </comment>
    <comment ref="MP10" authorId="0" shapeId="0" xr:uid="{00000000-0006-0000-0100-00006500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EHCOSPROD-40310 - Historia clínica oncológica (desarrollo, seguimiento con Sandra) fin 18/05
- Daily
- Punto de control evo</t>
        </r>
        <r>
          <rPr>
            <b/>
            <sz val="8"/>
            <color indexed="81"/>
            <rFont val="Tahoma"/>
            <family val="2"/>
          </rPr>
          <t xml:space="preserve">
Avance:
- EHCOSPROD-40310 - Historia clínica oncológica (desarrollo, seguimiento con Sandra) fin 18/05.
-Dudas sobre componente de informe (se envia correo a Sandra)
-Se mueve punto de control para mañana miercoles.
-Daily
Backlog:
- EHCOSPROD-41715 / EHCOSPROD-45025
Desarrollo: Configuración de componentes de la hoja de registro de enfermería por sección (desarrollo)</t>
        </r>
      </text>
    </comment>
    <comment ref="MQ10" authorId="0" shapeId="0" xr:uid="{00000000-0006-0000-0100-00006600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EHCOSPROD-40310 - Historia clínica oncológica (desarrollo, seguimiento con Sandra) fin 18/05
- Daily
- Punto de control evo</t>
        </r>
        <r>
          <rPr>
            <b/>
            <sz val="8"/>
            <color indexed="81"/>
            <rFont val="Tahoma"/>
            <family val="2"/>
          </rPr>
          <t xml:space="preserve">
Avance:
- EHCOSPROD-40310 - Historia clínica oncológica (desarrollo, seguimiento con Sandra) fin 18/05
- Daily
- Preparacion Punto de control evo
Backlog:
- EHCOSPROD-41715 / EHCOSPROD-45025
Desarrollo: Configuración de componentes de la hoja de registro de enfermería por sección (desarrollo)</t>
        </r>
      </text>
    </comment>
    <comment ref="MR10" authorId="0" shapeId="0" xr:uid="{00000000-0006-0000-0100-00006700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EHCOSPROD-40310 - Historia clínica oncológica (desarrollo, seguimiento con Sandra) fin 18/05
- Daily
- Punto de control evo</t>
        </r>
        <r>
          <rPr>
            <b/>
            <sz val="8"/>
            <color indexed="81"/>
            <rFont val="Tahoma"/>
            <family val="2"/>
          </rPr>
          <t xml:space="preserve">
Avance:
- EHCOSPROD-40310 - Historia clínica oncológica (desarrollo, seguimiento con Sandra) fin 18/05
- Daily
- Punto de control evo
- se realizan tareas que no estaban contempladas del evolutivo.
- actualizacion rama
Backlog:
- EHCOSPROD-41715 / EHCOSPROD-45025
Desarrollo: Configuración de componentes de la hoja de registro de enfermería por sección (desarrollo)</t>
        </r>
      </text>
    </comment>
    <comment ref="MS10" authorId="0" shapeId="0" xr:uid="{00000000-0006-0000-0100-00006800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EHCOSPROD-40310 - Historia clínica oncológica (desarrollo, seguimiento con Sandra) fin 18/05
- documentacion
- tareas que no estaban contempladas del evolutivo.
- Daily
</t>
        </r>
        <r>
          <rPr>
            <b/>
            <sz val="8"/>
            <color indexed="81"/>
            <rFont val="Tahoma"/>
            <family val="2"/>
          </rPr>
          <t xml:space="preserve">
Avance:
Backlog:
- EHCOSPROD-41715 / EHCOSPROD-45025
Desarrollo: Configuración de componentes de la hoja de registro de enfermería por sección (desarrollo)</t>
        </r>
      </text>
    </comment>
    <comment ref="MV10" authorId="3" shapeId="0" xr:uid="{00000000-0006-0000-0100-00006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EHCOSPROD-40310: Evolutivo oncología historia clínica (Se pausa está semana) Finalizar parte 1 de evolutivo.
Avance:
EHCOSPROD-40310: Evolutivo oncología historia clínica (Se pausa está semana), ejecución manual
Tareas no contempladas evolutivo
Backlog:</t>
      </text>
    </comment>
    <comment ref="MW10" authorId="4" shapeId="0" xr:uid="{00000000-0006-0000-0100-00006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EHCOSPROD-40310: Evolutivo oncología historia clínica (Se pausa está semana) Finalizar parte 1 de evolutivo.
Avance:
EHCOSPROD-40310: Evolutivo oncología historia clínica (Se pausa está semana), ejecución manual
Tareas no contempladas evolutivo
Backlog:</t>
      </text>
    </comment>
    <comment ref="MX10" authorId="5" shapeId="0" xr:uid="{00000000-0006-0000-0100-00006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EHCOSPROD-40310: Evolutivo oncología historia clínica (Se pausa está semana) Finalizar parte 1 de evolutivo.
Avance:
EHCOSPROD-40310: Evolutivo oncología historia clínica (Se pausa está semana), ejecución manual
Tareas no contempladas evolutivo
Backlog:</t>
      </text>
    </comment>
    <comment ref="MY10" authorId="0" shapeId="0" xr:uid="{00000000-0006-0000-0100-00006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Desarrollo EHCOSPROD-41715: Configuración de componentes de la hoja de registro de enfermería por sección
Seguimiento Sandra
</t>
        </r>
        <r>
          <rPr>
            <b/>
            <sz val="8"/>
            <color indexed="81"/>
            <rFont val="Tahoma"/>
            <family val="2"/>
          </rPr>
          <t xml:space="preserve">
Avance:
Desarrollo EHCOSPROD-41715: script, maquetacion
Ajustes EHCOSPROD-40310
Backlog:
</t>
        </r>
      </text>
    </comment>
    <comment ref="MZ10" authorId="0" shapeId="0" xr:uid="{00000000-0006-0000-0100-00006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Desarrollo EHCOSPROD-41715: Configuración de componentes de la hoja de registro de enfermería por sección
Seguimiento Sandra
</t>
        </r>
        <r>
          <rPr>
            <b/>
            <sz val="8"/>
            <color indexed="81"/>
            <rFont val="Tahoma"/>
            <family val="2"/>
          </rPr>
          <t xml:space="preserve">
Avance:
-Desarrollo EHCOSPROD-41715: Configuración de componentes de la hoja de registro de enfermería por sección
-Seguimiento Sandra
Backlog:
</t>
        </r>
      </text>
    </comment>
    <comment ref="NC10" authorId="0" shapeId="0" xr:uid="{00000000-0006-0000-0100-00006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Desarrollo EHCOSPROD-41715: Configuración de componentes de la hoja de registro de enfermería por sección
Seguimiento Sandra
</t>
        </r>
        <r>
          <rPr>
            <b/>
            <sz val="8"/>
            <color indexed="81"/>
            <rFont val="Tahoma"/>
            <family val="2"/>
          </rPr>
          <t xml:space="preserve">
Avance:
-Desarrollo EHCOSPROD-41715: Configuración de componentes de la hoja de registro de enfermería por sección (34%)
-Seguimiento Sandra
-inoperatividad por posible virus en eclipse
-daily
Backlog:
</t>
        </r>
      </text>
    </comment>
    <comment ref="ND10" authorId="0" shapeId="0" xr:uid="{00000000-0006-0000-0100-00006F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Desarrollo EHCOSPROD-41715: Configuración de componentes de la hoja de registro de enfermería por sección (fecha fin 6-04)
Seguimiento Sandra
</t>
        </r>
        <r>
          <rPr>
            <b/>
            <sz val="8"/>
            <color indexed="81"/>
            <rFont val="Tahoma"/>
            <family val="2"/>
          </rPr>
          <t xml:space="preserve">
Avance:
-Desarrollo EHCOSPROD-41715- cierre parte UI-01
-daily
Backlog:
pausado por el momento - EHCOSPROD-40310 - Historia clínica oncológica (desarrollo, seguimiento con Sandra) 
</t>
        </r>
      </text>
    </comment>
    <comment ref="NE10" authorId="0" shapeId="0" xr:uid="{00000000-0006-0000-0100-000070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Desarrollo EHCOSPROD-41715: Configuración de componentes de la hoja de registro de enfermería por sección (fecha fin 6-04)
Seguimiento Sandra
</t>
        </r>
        <r>
          <rPr>
            <b/>
            <sz val="8"/>
            <color indexed="81"/>
            <rFont val="Tahoma"/>
            <family val="2"/>
          </rPr>
          <t xml:space="preserve">
Avance:
-Desarrollo EHCOSPROD-41715- parte UI-02
-daily
Backlog:
pausado por el momento - EHCOSPROD-40310 - Historia clínica oncológica (desarrollo, seguimiento con Sandra) 
</t>
        </r>
      </text>
    </comment>
    <comment ref="NF10" authorId="0" shapeId="0" xr:uid="{00000000-0006-0000-0100-00007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Desarrollo EHCOSPROD-41715: Configuración de componentes de la hoja de registro de enfermería por sección (fecha fin 6-04)
Seguimiento Sandra
seguimos con problemas caida steps
</t>
        </r>
        <r>
          <rPr>
            <b/>
            <sz val="8"/>
            <color indexed="81"/>
            <rFont val="Tahoma"/>
            <family val="2"/>
          </rPr>
          <t xml:space="preserve">
Avance:
-Desarrollo EHCOSPROD-41715- parte UI-02
-daily
Backlog:
pausado por el momento - EHCOSPROD-40310 - Historia clínica oncológica (desarrollo, seguimiento con Sandra) 
</t>
        </r>
      </text>
    </comment>
    <comment ref="NG10" authorId="0" shapeId="0" xr:uid="{00000000-0006-0000-0100-000072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Desarrollo EHCOSPROD-41715: Configuración de componentes de la hoja de registro de enfermería por sección (fecha fin 6-04)
Seguimiento Sandra
seguimos con problemas caida steps
</t>
        </r>
        <r>
          <rPr>
            <b/>
            <sz val="8"/>
            <color indexed="81"/>
            <rFont val="Tahoma"/>
            <family val="2"/>
          </rPr>
          <t xml:space="preserve">
Avance:
Desarrollo EHCOSPROD-41715 (se finaliza mañana)
daily
Backlog:
pausado por el momento - EHCOSPROD-40310 - Historia clínica oncológica (desarrollo, seguimiento con Sandra) 
</t>
        </r>
      </text>
    </comment>
    <comment ref="NJ10" authorId="0" shapeId="0" xr:uid="{00000000-0006-0000-0100-000073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Desarrollo EHCOSPROD-41715: Configuración de componentes de la hoja de registro de enfermería por sección (fecha fin 6-04)
Seguimiento Sandra
</t>
        </r>
        <r>
          <rPr>
            <b/>
            <sz val="8"/>
            <color indexed="81"/>
            <rFont val="Tahoma"/>
            <family val="2"/>
          </rPr>
          <t xml:space="preserve">
Avance:
EHCOSPROD-41715: desarrollo
daily
Backlog:
pausado por el momento - EHCOSPROD-40310 - Historia clínica oncológica (desarrollo, seguimiento con Sandra) 
</t>
        </r>
      </text>
    </comment>
    <comment ref="NK10" authorId="0" shapeId="0" xr:uid="{00000000-0006-0000-0100-000074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Desarrollo EHCOSPROD-41715: Configuración de componentes de la hoja de registro de enfermería por sección (fecha fin 6-04, finalizar desarrollo, realizar merge para actualizar rama y sonar, documentacion)
Seguimiento Sandra
</t>
        </r>
        <r>
          <rPr>
            <b/>
            <sz val="8"/>
            <color indexed="81"/>
            <rFont val="Tahoma"/>
            <family val="2"/>
          </rPr>
          <t xml:space="preserve">
Avance:
EHCOSPROD-41715: desarrollo, actualiacion rama, se resuelven dudas tecnicas con marcela.
daily
Backlog:
pausado por el momento - EHCOSPROD-40310 - Historia clínica oncológica (desarrollo, seguimiento con Sandra) 
</t>
        </r>
      </text>
    </comment>
    <comment ref="NL10" authorId="0" shapeId="0" xr:uid="{00000000-0006-0000-0100-000075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Desarrollo EHCOSPROD-41715: Configuración de componentes de la hoja de registro de enfermería por sección (fecha fin 6-04, finalizar desarrollo, realizar merge para actualizar rama y sonar, documentacion)
Seguimiento Sandra
</t>
        </r>
        <r>
          <rPr>
            <b/>
            <sz val="8"/>
            <color indexed="81"/>
            <rFont val="Tahoma"/>
            <family val="2"/>
          </rPr>
          <t xml:space="preserve">
Avance:
EHCOSPROD-41715 (ejecucion de plan de pruebas)
daily
Backlog:
pausado por el momento - EHCOSPROD-40310 - Historia clínica oncológica (desarrollo, seguimiento con Sandra) 
</t>
        </r>
      </text>
    </comment>
    <comment ref="KD11" authorId="2" shapeId="0" xr:uid="{00000000-0006-0000-0100-000076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
evolutivo multicentro de urgencias. 
Cerrado tema de integración
Por hacer:
continuar con evolutivo multicentro urgencias con Hernan y Sara
</t>
        </r>
      </text>
    </comment>
    <comment ref="KE11" authorId="2" shapeId="0" xr:uid="{00000000-0006-0000-0100-000077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de ayer:desarrollo evolutivo EHCOSPROD-38585, informe e impresión del jasper.
Por hacer: desarrollo evolutivo EHCOSPROD-38585 termina tareas y pasa a apoyar a Hernan</t>
        </r>
      </text>
    </comment>
    <comment ref="KF11" authorId="2" shapeId="0" xr:uid="{00000000-0006-0000-0100-000078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EHCOSPROD-38585 (impresión solicitud de urgencias), boton impresión, pruebas y apoyo
Por hacer: EHCOSPROD-38585 apoyo desarrollo tareas de hernan, jiras filtro 5.15R</t>
        </r>
      </text>
    </comment>
    <comment ref="KG11" authorId="2" shapeId="0" xr:uid="{00000000-0006-0000-0100-000079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apoyo a Hernan evolutivo.
jira rendimiento dietologia
Por hacer: rendimiento </t>
        </r>
      </text>
    </comment>
    <comment ref="KH11" authorId="2" shapeId="0" xr:uid="{00000000-0006-0000-0100-00007A00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jiras rendimiento filtro 5.15R
pantalla dietologia.
Por hacer: Jira filtro 5.15R, revision con Javier Hurtado de evolutivo multicentro
</t>
        </r>
      </text>
    </comment>
    <comment ref="KK11" authorId="0" shapeId="0" xr:uid="{00000000-0006-0000-0100-00007B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soporte técnico
5.15R
- EHCOSPROD-38585 - MULTICENTRO - Urgencias (desarrollo, pruebas, documentación. Realizar punto de control) inicio 21/12/2020, fin 13/01/2021
- correctivos: EHCOSPROD-43209, EHCOSPROD-33695, EHCOSPROD-39406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soporte técnico
5.15R
- EHCOSPROD-38585 - MULTICENTRO - Urgencias (desarrollo, pruebas y ajustes, punto de control)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L11" authorId="0" shapeId="0" xr:uid="{00000000-0006-0000-0100-00007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soporte técnico
5.15R
- EHCOSPROD-38585 - MULTICENTRO - Urgencias (desarrollo, pruebas y ajustes, documentación.) inicio 21/12/2020, fin 13/01/2021
- EHCOSPROD-38589 - MULTICENTRO - Hospitalización (lectura documentación, desarrollo) inicio 14/01/2021, fin 18/01/2021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soporte técnico
5.15R
- EHCOSPROD-38585 - MULTICENTRO - Urgencias (ajustes, sonar, documentación, merge)
- EHCOSPROD-38589 - MULTICENTRO - Hospitalización (lectura documentación)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correctivos: EHCOSPROD-43209, EHCOSPROD-33695, EHCOSPROD-39406</t>
        </r>
      </text>
    </comment>
    <comment ref="KM11" authorId="0" shapeId="0" xr:uid="{00000000-0006-0000-0100-00007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soporte técnico
5.15R
- EHCOSPROD-38585 - MULTICENTRO - Urgencias (ajustes, documentación.) inicio 21/12/2020, fin 13/01/2021
- EHCOSPROD-38589 - MULTICENTRO - Hospitalización (lectura documentación, desarrollo) inicio 14/01/2021, fin 18/01/2021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soporte técnico
5.15R
- EHCOSPROD-38589 - MULTICENTRO - Hospitalización (desarrollo)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correctivos: EHCOSPROD-43209, EHCOSPROD-33695, EHCOSPROD-39406</t>
        </r>
      </text>
    </comment>
    <comment ref="KN11" authorId="0" shapeId="0" xr:uid="{00000000-0006-0000-0100-00007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soporte técnico
5.15R
- EHCOSPROD-38585 - MULTICENTRO - Urgencias (ajustes, sonar, documentación, estabilización)
- EHCOSPROD-38589 - MULTICENTRO - Hospitalización (sonar, pruebas)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correctivos: EHCOSPROD-43209, EHCOSPROD-33695, EHCOSPROD-39406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soporte técnico
5.15R
- EHCOSPROD-38585 - MULTICENTRO - Urgencias (ajustes, sonar)
- EHCOSPROD-38589 - MULTICENTRO - Hospitalización (sonar, pruebas)
- correctivos: EHCOSPROD-43209, EHCOSPROD-33695, EHCOSPROD-39406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O11" authorId="0" shapeId="0" xr:uid="{00000000-0006-0000-0100-00007F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soporte técnico
5.15R
- EHCOSPROD-38585 - MULTICENTRO - Urgencias (ajustes, sonar, documentación, estabilización)
- EHCOSPROD-38589 - MULTICENTRO - Hospitalización (sonar, pruebas)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EHCOSPROD-38598 - MULTICENTRO - Bloque quirúrgico (lectura documentación, preparar entorno, desarrollo) fin 21/01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soporte técnico
5.15R
- EHCOSPROD-38585 - MULTICENTRO - Urgencias (ajustes, sonar, documentación, pruebas)
- EHCOSPROD-38589 - MULTICENTRO - Hospitalización (sonar, pruebas)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correctivos: EHCOSPROD-43209, EHCOSPROD-33695, EHCOSPROD-39406</t>
        </r>
      </text>
    </comment>
    <comment ref="KR11" authorId="0" shapeId="0" xr:uid="{00000000-0006-0000-0100-000080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soporte técnico
5.15R
- EHCOSPROD-38585 - MULTICENTRO - Urgencias y EHCOSPROD-38589 - MULTICENTRO - Hospitalización (merge trunk a la rama, ajustes, sonar, documentación, plan de pruebas)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correctivos: EHCOSPROD-43209, EHCOSPROD-33695, EHCOSPROD-39406</t>
        </r>
      </text>
    </comment>
    <comment ref="KS11" authorId="0" shapeId="0" xr:uid="{00000000-0006-0000-0100-00008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(merge trunk a la rama, estabilización)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Daily, soporte técnico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(merge trunk a la rama, estabilización)
- Daily, soporte técnico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correctivos: EHCOSPROD-43209, EHCOSPROD-33695, EHCOSPROD-39406</t>
        </r>
      </text>
    </comment>
    <comment ref="KT11" authorId="0" shapeId="0" xr:uid="{00000000-0006-0000-0100-000082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(preparar entorno tras cambio de rama, estabilización, peticiones de cambio)
- EHCOSPROD-43704 - Mejoras multicentro hospitalización y urgencias
- EHCOSPROD-41024 - Configuración CPOE (desarrollo)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EHCOSPROD-43704 - Mejoras multicentro hospitalización y urgencias (desarrollo)
- EHCOSPROD-38585 - MULTICENTRO - Urgencias y EHCOSPROD-38589 - MULTICENTRO - Hospitalización (preparar entorno tras cambio de rama, estabilización, peticiones de cambio)
- Daily, soporte técnico
Backlog:
</t>
        </r>
        <r>
          <rPr>
            <sz val="8"/>
            <color indexed="81"/>
            <rFont val="Tahoma"/>
            <family val="2"/>
          </rPr>
          <t>- correctivos: EHCOSPROD-43209, EHCOSPROD-33695, EHCOSPROD-39406</t>
        </r>
      </text>
    </comment>
    <comment ref="KU11" authorId="0" shapeId="0" xr:uid="{00000000-0006-0000-0100-000083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EHCOSPROD-43704 - Mejoras multicentro hospitalización y urgencias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(estabilización, peticiones de cambio)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EHCOSPROD-43704 - Mejoras multicentro hospitalización y urgencias (desarrollo)
- EHCOSPROD-38585 - MULTICENTRO - Urgencias y EHCOSPROD-38589 - MULTICENTRO - Hospitalización (estabilización, peticiones de cambio)
- Daily, soporte técnico
Backlog:
</t>
        </r>
        <r>
          <rPr>
            <sz val="8"/>
            <color indexed="81"/>
            <rFont val="Tahoma"/>
            <family val="2"/>
          </rPr>
          <t>- correctivos: EHCOSPROD-43209, EHCOSPROD-33695, EHCOSPROD-39406</t>
        </r>
      </text>
    </comment>
    <comment ref="KV11" authorId="0" shapeId="0" xr:uid="{00000000-0006-0000-0100-000084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soporte técnico
5.15R
- EHCOSPROD-38585 - MULTICENTRO - Urgencias y EHCOSPROD-38589 - MULTICENTRO - Hospitalización (estabilización)
- MULTICENTRO-43704 Mejoras multicentro hospitalización y urgencias (finalizacion integracion)
-Asignacion de jiras v 5.15</t>
        </r>
        <r>
          <rPr>
            <b/>
            <sz val="8"/>
            <color indexed="81"/>
            <rFont val="Tahoma"/>
            <family val="2"/>
          </rPr>
          <t xml:space="preserve">
Avance:
- EHCOSPROD-38585 - MULTICENTRO - Urgencias y EHCOSPROD-38589 - MULTICENTRO - Hospitalización (estabilización)
- MULTICENTRO-43704 Mejoras multicentro hospitalización y urgencias (finalizacion integracion)
Daily
Backlog:
</t>
        </r>
      </text>
    </comment>
    <comment ref="KY11" authorId="0" shapeId="0" xr:uid="{00000000-0006-0000-0100-000085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(estabilización)
- MULTICENTRO-43704 Mejoras multicentro hospitalización y urgencias (finalizacion integracion)
- EHCOSPROD-41029 - CPOE- Nuevo layout (desarrollo)
-Asignacion de jiras v 5.15
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EHCOSPROD-38585 - MULTICENTRO - Urgencias y EHCOSPROD-38589 - MULTICENTRO - Hospitalización (estabilización)
- MULTICENTRO-43704 Mejoras multicentro hospitalización y urgencias (finalizacion integracion)
- Daily, soporte técnico
Backlog:
</t>
        </r>
      </text>
    </comment>
    <comment ref="KZ11" authorId="0" shapeId="0" xr:uid="{00000000-0006-0000-0100-000086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(estabilización)
- EHCOSPROD-41029 - CPOE- Nuevo layout (lectura DF, preparar entorno desarrollo, desarrollo)
- Asignacion de jiras v 5.15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EHCOSPROD-38585 - MULTICENTRO - Urgencias y EHCOSPROD-38589 - MULTICENTRO - Hospitalización (estabilización)
- EHCOSPROD-41029 - CPOE- Nuevo layout (lectura DF, preparar entorno desarrollo, desarrollo)
- Daily, soporte técnico
Backlog:
</t>
        </r>
      </text>
    </comment>
    <comment ref="LA11" authorId="0" shapeId="0" xr:uid="{00000000-0006-0000-0100-000087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(estabilización)
- EHCOSPROD-41029 - CPOE- Nuevo layout (lectura DF, preparar entorno desarrollo, desarrollo)
- Asignacion de jiras v 5.15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EHCOSPROD-38585 - MULTICENTRO - Urgencias y EHCOSPROD-38589 - MULTICENTRO - Hospitalización (estabilización y pruebas)
- EHCOSPROD-41029 - CPOE- Nuevo layout (lectura DF, preparar entorno desarrollo)
- correctivos
- Daily, soporte técnico
Backlog:
</t>
        </r>
      </text>
    </comment>
    <comment ref="LB11" authorId="0" shapeId="0" xr:uid="{00000000-0006-0000-0100-000088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(estabilización, mover al branch original)
- EHCOSPROD-41029 - CPOE- Nuevo layout (lectura DF, preparar entorno desarrollo, desarrollo)
- Asignacion de jiras v 5.15
- Daily, soporte técnico</t>
        </r>
        <r>
          <rPr>
            <b/>
            <sz val="8"/>
            <color indexed="81"/>
            <rFont val="Tahoma"/>
            <family val="2"/>
          </rPr>
          <t xml:space="preserve">
Avance:
-sesion testlink
-revision funcional con Sandra EHCOSPROD-41029
-script
-merge manual desde 5.15 al branch del trunk EHCOSPROD-38585 - MULTICENTRO - Urgencias y EHCOSPROD-38589 - MULTICENTRO - Hospitalización
Backlog:
</t>
        </r>
      </text>
    </comment>
    <comment ref="LC11" authorId="0" shapeId="0" xr:uid="{00000000-0006-0000-0100-000089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(revision rama que no levanta)
- EHCOSPROD-41029 - CPOE- Nuevo layout (ldesarrollo)
- Asignacion de jiras v 5.15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(desarrollo)
- EHCOSPROD-38585 - MULTICENTRO - Urgencias y EHCOSPROD-38589 - MULTICENTRO - Hospitalización (revision rama que no levanta)
- Daily, soporte técnico
Backlog:
</t>
        </r>
      </text>
    </comment>
    <comment ref="LF11" authorId="0" shapeId="0" xr:uid="{00000000-0006-0000-0100-00008A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(merge al trunk, documentación)
- EHCOSPROD-41029 - CPOE- Nuevo layout (ldesarrollo)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(ldesarrollo)
- reunión iwok
- Daily, soporte técnico
Backlog:
</t>
        </r>
      </text>
    </comment>
    <comment ref="LG11" authorId="0" shapeId="0" xr:uid="{00000000-0006-0000-0100-00008B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(merge al trunk, pruebas tras merge, documentación)
- EHCOSPROD-41029 - CPOE- Nuevo layout (desarrollo)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EHCOSPROD-38585 - MULTICENTRO - Urgencias y EHCOSPROD-38589 - MULTICENTRO - Hospitalización (merge al trunk, documentación)
- EHCOSPROD-41029 - CPOE- Nuevo layout (desarrollo)
- Daily, soporte técnico
Backlog:
</t>
        </r>
      </text>
    </comment>
    <comment ref="LH11" authorId="0" shapeId="0" xr:uid="{00000000-0006-0000-0100-00008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EHCOSPROD-41029 - CPOE- Nuevo layout (desarrollo) fin 16/02?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(desarrollo)
- Daily, soporte técnico
Backlog:
</t>
        </r>
      </text>
    </comment>
    <comment ref="LI11" authorId="0" shapeId="0" xr:uid="{00000000-0006-0000-0100-00008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EHCOSPROD-41029 - CPOE- Nuevo layout (desarrollo, merge del trunk a la rama) fin 16/02?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(desarrollo, merge del trunk a la rama)
- Daily, soporte técnico
Backlog:
</t>
        </r>
      </text>
    </comment>
    <comment ref="LJ11" authorId="0" shapeId="0" xr:uid="{00000000-0006-0000-0100-00008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EHCOSPROD-41029 - CPOE- Nuevo layout (desarrollo, merge del trunk a la rama, pruebas, documentación, sonar) fin 16/02?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(desarrollo, merge del trunk a la rama, pruebas, documentación, sonar)
- soporte EHCOSPROD-44242
- Daily, soporte técnico
Backlog:
</t>
        </r>
      </text>
    </comment>
    <comment ref="LM11" authorId="0" shapeId="0" xr:uid="{00000000-0006-0000-0100-00008F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EHCOSPROD-41029 - CPOE- Nuevo layout (desarrollo, merge del trunk a la rama, pruebas, documentación, sonar) fin 16/02?
- EHCOSPROD-41024 - Configuración CPOE (desarrollo)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EHCOSPROD-41024 - Configuración CPOE (desarrollo)
- Daily, soporte técnico
Backlog:
</t>
        </r>
      </text>
    </comment>
    <comment ref="LN11" authorId="0" shapeId="0" xr:uid="{00000000-0006-0000-0100-000090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EHCOSPROD-41024 - Configuración CPOE (actualizar rama con el trunk, desarrollo)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EHCOSPROD-41024 - Configuración CPOE (desarrollo)
- Daily, soporte técnico
Backlog:
</t>
        </r>
        <r>
          <rPr>
            <sz val="8"/>
            <color indexed="81"/>
            <rFont val="Tahoma"/>
            <family val="2"/>
          </rPr>
          <t>- EHCOSPROD-41029 - CPOE- Nuevo layout (pausado desarrollo por cambios de proyecto, pruebas, documentación, sonar)</t>
        </r>
      </text>
    </comment>
    <comment ref="LO11" authorId="0" shapeId="0" xr:uid="{00000000-0006-0000-0100-00009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EHCOSPROD-41024 - Configuración CPOE (desarrollo)
- EHCOSPROD-41029 - CPOE- Nuevo layout (pausado desarrollo por cambios de proyecto, punto de control)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EHCOSPROD-41024 - Configuración CPOE (desarrollo)
- EHCOSPROD-41029 - CPOE- Nuevo layout (punto de control)
- sesión por producto
- Daily, soporte técnico
Backlog:
</t>
        </r>
        <r>
          <rPr>
            <sz val="8"/>
            <color indexed="81"/>
            <rFont val="Tahoma"/>
            <family val="2"/>
          </rPr>
          <t>- EHCOSPROD-41029 - CPOE- Nuevo layout (pausado desarrollo por cambios de proyecto, pruebas, documentación, sonar)</t>
        </r>
      </text>
    </comment>
    <comment ref="LP11" authorId="0" shapeId="0" xr:uid="{00000000-0006-0000-0100-000092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EHCOSPROD-41024 - Configuración CPOE (actualizar rama, desarrollo)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EHCOSPROD-41024 - Configuración CPOE (actualizar rama, desarrollo)
- Daily, soporte técnico
Backlog:
</t>
        </r>
        <r>
          <rPr>
            <sz val="8"/>
            <color indexed="81"/>
            <rFont val="Tahoma"/>
            <family val="2"/>
          </rPr>
          <t>- EHCOSPROD-41029 - CPOE- Nuevo layout (pausado desarrollo por cambios de proyecto, pruebas, documentación, sonar)</t>
        </r>
      </text>
    </comment>
    <comment ref="LQ11" authorId="0" shapeId="0" xr:uid="{00000000-0006-0000-0100-000093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EHCOSPROD-41024 - Configuración CPOE (actualizar rama, desarrollo)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EHCOSPROD-41024 - Configuración CPOE (actualizar rama, desarrollo, documentación, pruebas)
- Daily, soporte técnico
Backlog:
</t>
        </r>
        <r>
          <rPr>
            <sz val="8"/>
            <color indexed="81"/>
            <rFont val="Tahoma"/>
            <family val="2"/>
          </rPr>
          <t>- EHCOSPROD-41029 - CPOE- Nuevo layout (pausado desarrollo por cambios de proyecto, pruebas, documentación, sonar)</t>
        </r>
      </text>
    </comment>
    <comment ref="LT11" authorId="0" shapeId="0" xr:uid="{00000000-0006-0000-0100-000094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EHCOSPROD-41024 - Configuración CPOE (actualizar rama, desarrollo, traspaso conocimientos)
- Daily, soporte técnico</t>
        </r>
        <r>
          <rPr>
            <b/>
            <sz val="8"/>
            <color indexed="81"/>
            <rFont val="Tahoma"/>
            <family val="2"/>
          </rPr>
          <t xml:space="preserve">
Avance:
- EHCOSPROD-41024 - Configuración CPOE (actualizar rama, desarrollo, documentación, sonar)
- Daily, soporte técnico
Backlog:
</t>
        </r>
        <r>
          <rPr>
            <sz val="8"/>
            <color indexed="81"/>
            <rFont val="Tahoma"/>
            <family val="2"/>
          </rPr>
          <t>- EHCOSPROD-41029 - CPOE- Nuevo layout (pausado desarrollo por cambios de proyecto, pruebas, documentación, sonar)</t>
        </r>
      </text>
    </comment>
    <comment ref="LU11" authorId="0" shapeId="0" xr:uid="{00000000-0006-0000-0100-000095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EHCOSPROD-41024 - Configuración CPOE (actualizar rama, desarrollo, traspaso conocimientos, pruebas, cerrar pendientes)
- correctivos 5.15R, errores trunk
- Daily, soporte técnico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EHCOSPROD-41029 - CPOE- Nuevo layout (pausado desarrollo por cambios de proyecto, pruebas, documentación, sonar)</t>
        </r>
      </text>
    </comment>
    <comment ref="MO11" authorId="0" shapeId="0" xr:uid="{00000000-0006-0000-0100-000096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
- Daily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</t>
        </r>
      </text>
    </comment>
    <comment ref="MP11" authorId="0" shapeId="0" xr:uid="{00000000-0006-0000-0100-000097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
- Daily</t>
        </r>
        <r>
          <rPr>
            <b/>
            <sz val="8"/>
            <color indexed="81"/>
            <rFont val="Tahoma"/>
            <family val="2"/>
          </rPr>
          <t xml:space="preserve">
Avance:
- correctivos 5.15R
- Daily
- apoyo equipo
- asignacion jiras
Backlog:
</t>
        </r>
      </text>
    </comment>
    <comment ref="MQ11" authorId="0" shapeId="0" xr:uid="{00000000-0006-0000-0100-000098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
- Daily</t>
        </r>
        <r>
          <rPr>
            <b/>
            <sz val="8"/>
            <color indexed="81"/>
            <rFont val="Tahoma"/>
            <family val="2"/>
          </rPr>
          <t xml:space="preserve">
Avance:
- correctivos 5.15R
- Daily
- apoyo equipo
- asignacion jiras
Backlog:
</t>
        </r>
      </text>
    </comment>
    <comment ref="MR11" authorId="0" shapeId="0" xr:uid="{00000000-0006-0000-0100-000099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
- Daily
- apoyo equipo
- asignacion jiras</t>
        </r>
        <r>
          <rPr>
            <b/>
            <sz val="8"/>
            <color indexed="81"/>
            <rFont val="Tahoma"/>
            <family val="2"/>
          </rPr>
          <t xml:space="preserve">
Avance:
- correctivos 5.15R
- Daily
- apoyo equipo
- asignacion jiras
- se envia correo con dudas de jiras
Backlog:
</t>
        </r>
      </text>
    </comment>
    <comment ref="MS11" authorId="0" shapeId="0" xr:uid="{00000000-0006-0000-0100-00009A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
- Daily
- apoyo equipo
- asignacion jiras, coordinacion con Javier Hurtado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MV11" authorId="6" shapeId="0" xr:uid="{00000000-0006-0000-0100-00009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Resolución de JIRAS
Incidencias de indicadores (validar si se tendrá que revisar por el equipo de Temuco)
Avance:
Respuesta de Aida
Jiras pausados con dudas 
Asignación de Jiras a los chicos
Backlog:</t>
      </text>
    </comment>
    <comment ref="MW11" authorId="7" shapeId="0" xr:uid="{00000000-0006-0000-0100-00009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Resolución de JIRAS
Incidencias de indicadores (validar si se tendrá que revisar por el equipo de Temuco)
Avance:
Respuesta de Aida
Jiras pausados con dudas 
Asignación de Jiras a los chicos
Backlog:</t>
      </text>
    </comment>
    <comment ref="MX11" authorId="8" shapeId="0" xr:uid="{00000000-0006-0000-0100-00009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Resolución de JIRAS
Incidencias de indicadores (validar si se tendrá que revisar por el equipo de Temuco)
Avance:
Respuesta de Aida
Jiras pausados con dudas 
Asignación de Jiras a los chicos
Backlog:</t>
      </text>
    </comment>
    <comment ref="MY11" authorId="0" shapeId="0" xr:uid="{00000000-0006-0000-0100-00009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Resolución de JIRAS
Asignacion de jiras
Soporte al equipo desarrollo
</t>
        </r>
        <r>
          <rPr>
            <b/>
            <sz val="8"/>
            <color indexed="81"/>
            <rFont val="Tahoma"/>
            <family val="2"/>
          </rPr>
          <t xml:space="preserve">
Avance:
Resolución de JIRAS 5.15
EHCOSPROD-45491
EHCOSPROD-45464
EHCOSPROD-45489
EHCOSPROD-45475
EHCOSPROD-45366: Error al generar traduccion. Se deja comentario para Sandra
Asignacion de jiras
Backlog:
</t>
        </r>
      </text>
    </comment>
    <comment ref="MZ11" authorId="0" shapeId="0" xr:uid="{00000000-0006-0000-0100-00009F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Resolución de JIRAS
Asignacion de jiras
Soporte al equipo desarrollo
</t>
        </r>
        <r>
          <rPr>
            <b/>
            <sz val="8"/>
            <color indexed="81"/>
            <rFont val="Tahoma"/>
            <family val="2"/>
          </rPr>
          <t xml:space="preserve">
Avance:
Resolución de JIRAS
Asignacion de jiras
Soporte al equipo desarrollo y QA
Backlog:
</t>
        </r>
      </text>
    </comment>
    <comment ref="NC11" authorId="0" shapeId="0" xr:uid="{00000000-0006-0000-0100-0000A0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Resolución de JIRAS
Asignacion de jiras
Soporte al equipo desarrollo
</t>
        </r>
        <r>
          <rPr>
            <b/>
            <sz val="8"/>
            <color indexed="81"/>
            <rFont val="Tahoma"/>
            <family val="2"/>
          </rPr>
          <t xml:space="preserve">
Avance:
reunion con Gerardo, por flujos de oncologia
Resolución de JIRAS
Asignacion de jiras
daily
Backlog:
</t>
        </r>
      </text>
    </comment>
    <comment ref="ND11" authorId="0" shapeId="0" xr:uid="{00000000-0006-0000-0100-0000A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Resolución de JIRAS
Asignacion de jiras
Soporte al equipo desarrollo
</t>
        </r>
        <r>
          <rPr>
            <b/>
            <sz val="8"/>
            <color indexed="81"/>
            <rFont val="Tahoma"/>
            <family val="2"/>
          </rPr>
          <t xml:space="preserve">
Avance:
-Resolucion de jiras.
-Soporte al equipo y ha QA.
-Daily
-evaluacion en CTS
Backlog:
</t>
        </r>
      </text>
    </comment>
    <comment ref="NE11" authorId="0" shapeId="0" xr:uid="{00000000-0006-0000-0100-0000A2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estimacion y realizacion jira CarePlan EHCOSPROD-45684
Asignacion de jiras
Soporte al equipo desarrollo
</t>
        </r>
        <r>
          <rPr>
            <b/>
            <sz val="8"/>
            <color indexed="81"/>
            <rFont val="Tahoma"/>
            <family val="2"/>
          </rPr>
          <t xml:space="preserve">
Avance:
Soporte funcional
evaluacion mapa de competencias
configuracion entorno
problema caida steps
daily
Backlog:
</t>
        </r>
      </text>
    </comment>
    <comment ref="NF11" authorId="0" shapeId="0" xr:uid="{00000000-0006-0000-0100-0000A3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estimacion y realizacion jira CarePlan EHCOSPROD-45684
Asignacion de jiras
Soporte al equipo desarrollo
seguimos con problema caida steps
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NG11" authorId="0" shapeId="0" xr:uid="{00000000-0006-0000-0100-0000A4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estimacion y realizacion jira CarePlan EHCOSPROD-45684
Asignacion de jiras
Soporte al equipo desarrollo
seguimos con problema caida steps
</t>
        </r>
        <r>
          <rPr>
            <b/>
            <sz val="8"/>
            <color indexed="81"/>
            <rFont val="Tahoma"/>
            <family val="2"/>
          </rPr>
          <t xml:space="preserve">
Avance:
resolucion jira EHCOSPROD-45684
revision mapa de competencias
corretivo 5.15 del excel.
daily
Backlog:
</t>
        </r>
      </text>
    </comment>
    <comment ref="NJ11" authorId="0" shapeId="0" xr:uid="{00000000-0006-0000-0100-0000A5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estimacion y realizacion jira CarePlan EHCOSPROD-45684  (subir codigo)
Asignacion de jiras
Soporte al equipo desarrollo
</t>
        </r>
        <r>
          <rPr>
            <b/>
            <sz val="8"/>
            <color indexed="81"/>
            <rFont val="Tahoma"/>
            <family val="2"/>
          </rPr>
          <t xml:space="preserve">
Avance:
CarePlan EHCOSPROD-45684 (finalizado, se subio codigo)
corrección de jiras 5.15
soporte al equipo desarrollo
daily
Backlog:
</t>
        </r>
      </text>
    </comment>
    <comment ref="NK11" authorId="0" shapeId="0" xr:uid="{00000000-0006-0000-0100-0000A6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jira CarePlan EHCOSPROD-45684  (revision de script)
Soporte al equipo desarrollo
seguimos con problema caida steps
</t>
        </r>
        <r>
          <rPr>
            <b/>
            <sz val="8"/>
            <color indexed="81"/>
            <rFont val="Tahoma"/>
            <family val="2"/>
          </rPr>
          <t xml:space="preserve">
Avance:
CarePlan EHCOSPROD-45684 (revision script)
corrección de jiras 5.15
soporte al equipo desarrollo
daily
Backlog:
</t>
        </r>
      </text>
    </comment>
    <comment ref="NL11" authorId="0" shapeId="0" xr:uid="{00000000-0006-0000-0100-0000A7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jira CarePlan EHCOSPROD-45684  (revision de script)
Soporte al equipo desarrollo
seguimos con problema caida steps
</t>
        </r>
        <r>
          <rPr>
            <b/>
            <sz val="8"/>
            <color indexed="81"/>
            <rFont val="Tahoma"/>
            <family val="2"/>
          </rPr>
          <t xml:space="preserve">
Avance:
soporte a QA
correccion jira EHCOSPROD-45684 (modificacion de scripts para ICU donde no este clinic)
daily
Backlog:
</t>
        </r>
      </text>
    </comment>
    <comment ref="KK12" authorId="0" shapeId="0" xr:uid="{00000000-0006-0000-0100-0000A8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tareas iwok
Tareas GC
5.15R
- EHCOSPROD-39751 - Iniciar atos agendáveis sem cliente presente (merge trunk a la rama, estabilización)
- correctivos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daily.
Tareas GC
5.15R
- EHCOSPROD-39751 - Iniciar atos agendáveis sem cliente presente (merge trunk a la rama, estabilización)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L12" authorId="0" shapeId="0" xr:uid="{00000000-0006-0000-0100-0000A9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tareas iwok
Tareas GC
5.15R
- EHCOSPROD-39751 - Iniciar atos agendáveis sem cliente presente (merge trunk a la rama, estabilización)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daily. soporte Francisco
Tareas GC
5.15R
- EHCOSPROD-39751 - Iniciar atos agendáveis sem cliente presente (merge trunk a la rama, estabilización)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M12" authorId="0" shapeId="0" xr:uid="{00000000-0006-0000-0100-0000AA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tareas iwok
Tareas GC
5.15R
- EHCOSPROD-39751 - Iniciar atos agendáveis sem cliente presente (merge trunk a la rama, estabilización)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daily.
Tareas GC
5.15R
- EHCOSPROD-39751 - Iniciar atos agendáveis sem cliente presente (merge trunk a la rama, estabilización)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N12" authorId="0" shapeId="0" xr:uid="{00000000-0006-0000-0100-0000AB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tareas iwok
Tareas GC
5.15R
- EHCOSPROD-39751 - Iniciar atos agendáveis sem cliente presente (merge trunk a la rama, estabilización)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daily.
Tareas GC
5.15R
- EHCOSPROD-39751 - Iniciar atos agendáveis sem cliente presente (merge trunk a la rama, estabilización)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O12" authorId="0" shapeId="0" xr:uid="{00000000-0006-0000-0100-0000A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tareas iwok
Tareas GC
5.15R
- EHCOSPROD-39751 - Iniciar atos agendáveis sem cliente presente (merge trunk a la rama, estabilización)
- correctivos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daily.
Tareas GC
5.15R
- EHCOSPROD-39751 - Iniciar atos agendáveis sem cliente presente (merge trunk a la rama, estabilización)
- correctivos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R12" authorId="0" shapeId="0" xr:uid="{00000000-0006-0000-0100-0000A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tareas iwok
Tareas GC
5.15R
- EHCOSPROD-39751 - Iniciar atos agendáveis sem cliente presente (merge trunk a la rama, estabilización)
- correctivos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S12" authorId="0" shapeId="0" xr:uid="{00000000-0006-0000-0100-0000AE000000}">
      <text>
        <r>
          <rPr>
            <b/>
            <sz val="8"/>
            <color indexed="81"/>
            <rFont val="Tahoma"/>
            <family val="2"/>
          </rPr>
          <t xml:space="preserve">Tareas planificadas:
- </t>
        </r>
        <r>
          <rPr>
            <sz val="8"/>
            <color indexed="81"/>
            <rFont val="Tahoma"/>
            <family val="2"/>
          </rPr>
          <t>Tareas GC
- EHCOSPROD-39751 - Iniciar atos agendáveis sem cliente presente (merge trunk a la rama, estabilización)
- correctivos
- daily. tareas iwok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Tareas GC
- correctivos
- daily.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T12" authorId="0" shapeId="0" xr:uid="{00000000-0006-0000-0100-0000AF000000}">
      <text>
        <r>
          <rPr>
            <b/>
            <sz val="8"/>
            <color indexed="81"/>
            <rFont val="Tahoma"/>
            <family val="2"/>
          </rPr>
          <t xml:space="preserve">Tareas planificadas:
- </t>
        </r>
        <r>
          <rPr>
            <sz val="8"/>
            <color indexed="81"/>
            <rFont val="Tahoma"/>
            <family val="2"/>
          </rPr>
          <t>Tareas GC
- EHCOSPROD-39751 - Iniciar atos agendáveis sem cliente presente (merge trunk a la rama, estabilización)
- correctivos
- daily. tareas iwok</t>
        </r>
        <r>
          <rPr>
            <b/>
            <sz val="8"/>
            <color indexed="81"/>
            <rFont val="Tahoma"/>
            <family val="2"/>
          </rPr>
          <t xml:space="preserve">
Avance:
- Tareas GC
- correctivos
- daily.
Backlog:
</t>
        </r>
      </text>
    </comment>
    <comment ref="KU12" authorId="0" shapeId="0" xr:uid="{00000000-0006-0000-0100-0000B0000000}">
      <text>
        <r>
          <rPr>
            <b/>
            <sz val="8"/>
            <color indexed="81"/>
            <rFont val="Tahoma"/>
            <family val="2"/>
          </rPr>
          <t xml:space="preserve">Tareas planificadas:
- </t>
        </r>
        <r>
          <rPr>
            <sz val="8"/>
            <color indexed="81"/>
            <rFont val="Tahoma"/>
            <family val="2"/>
          </rPr>
          <t>Tareas GC
- EHCOSPROD-39751 - Iniciar atos agendáveis sem cliente presente (merge trunk a la rama, estabilización)
- correctivos
- daily. tareas iwok</t>
        </r>
        <r>
          <rPr>
            <b/>
            <sz val="8"/>
            <color indexed="81"/>
            <rFont val="Tahoma"/>
            <family val="2"/>
          </rPr>
          <t xml:space="preserve">
Avance:
- Tareas GC, dump para UCI
- EHCOSPROD-39751 - Iniciar atos agendáveis sem cliente presente (merge trunk a la rama, estabilización)
- correctivos
Backlog:
</t>
        </r>
      </text>
    </comment>
    <comment ref="KV12" authorId="0" shapeId="0" xr:uid="{00000000-0006-0000-0100-0000B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tareas iwok
Tareas GC
5.15R
- EHCOSPROD-39751 - Iniciar atos agendáveis sem cliente presente (merge trunk a la rama, estabilización)
- correctivos</t>
        </r>
        <r>
          <rPr>
            <b/>
            <sz val="8"/>
            <color indexed="81"/>
            <rFont val="Tahoma"/>
            <family val="2"/>
          </rPr>
          <t xml:space="preserve">
Avance:
daily. tareas iwok, soporte
Tareas GC
5.15R
- EHCOSPROD-39751 - Iniciar atos agendáveis sem cliente presente (merge trunk a la rama, estabilización)
Backlog:
</t>
        </r>
      </text>
    </comment>
    <comment ref="KY12" authorId="0" shapeId="0" xr:uid="{00000000-0006-0000-0100-0000B2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EHCOSPROD-39751 - Iniciar atos agendáveis sem cliente presente (merge trunk)
- traspaso tareas GC
- tareas iwok
- correctivos 5.15R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 xml:space="preserve">daily. </t>
        </r>
        <r>
          <rPr>
            <b/>
            <sz val="8"/>
            <color indexed="81"/>
            <rFont val="Tahoma"/>
            <family val="2"/>
          </rPr>
          <t xml:space="preserve">
Avance:
- traspaso tareas GC
- soporte técnico
- EHCOSPROD-39751 - Iniciar atos agendáveis sem cliente presente (merge trunk)
- correctivos 5.15R
- daily. 
Backlog:
</t>
        </r>
        <r>
          <rPr>
            <sz val="8"/>
            <color indexed="81"/>
            <rFont val="Tahoma"/>
            <family val="2"/>
          </rPr>
          <t>- EHCOSPROD-39890 - Validación EFR no agendamento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EHCOSPROD-40236 - Alerta conflicto agendas (desarrollo)</t>
        </r>
      </text>
    </comment>
    <comment ref="KZ12" authorId="0" shapeId="0" xr:uid="{00000000-0006-0000-0100-0000B3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EHCOSPROD-39751 - Iniciar atos agendáveis sem cliente presente (finalizar merge trunk, revisar scripts)
- correctivos 5.15R
- soporte técnico
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 xml:space="preserve">daily. </t>
        </r>
        <r>
          <rPr>
            <b/>
            <sz val="8"/>
            <color indexed="81"/>
            <rFont val="Tahoma"/>
            <family val="2"/>
          </rPr>
          <t xml:space="preserve">
Avance:
- EHCOSPROD-39751 - Iniciar atos agendáveis sem cliente presente (finalizar merge trunk, pruebas)
- correctivos 5.15R
- tareas iwok
- daily. 
Backlog:
</t>
        </r>
        <r>
          <rPr>
            <sz val="8"/>
            <color indexed="81"/>
            <rFont val="Tahoma"/>
            <family val="2"/>
          </rPr>
          <t>- EHCOSPROD-40236 - Alerta conflicto agendas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EHCOSPROD-39890 - Validación EFR no agendamento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A12" authorId="0" shapeId="0" xr:uid="{00000000-0006-0000-0100-0000B4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 (cerrar en progreso)
- EHCOSPROD-38607 - MULTICENTRO - Visor de historia clínica y resumen (lectura documentación, preparación de entorno, paralelizar desarrollo con Alfonso)
- soporte técnico
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 xml:space="preserve">daily. </t>
        </r>
        <r>
          <rPr>
            <b/>
            <sz val="8"/>
            <color indexed="81"/>
            <rFont val="Tahoma"/>
            <family val="2"/>
          </rPr>
          <t xml:space="preserve">
Avance:
- correctivos 5.15R
- EHCOSPROD-38607 - MULTICENTRO - Visor de historia clínica y resumen (lectura documentación, preparación de entorno, paralelizar desarrollo con Alfonso)
- tareas iwok
- daily. 
Backlog:
</t>
        </r>
        <r>
          <rPr>
            <sz val="8"/>
            <color indexed="81"/>
            <rFont val="Tahoma"/>
            <family val="2"/>
          </rPr>
          <t>- EHCOSPROD-40236 - Alerta conflicto agendas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EHCOSPROD-39890 - Validación EFR no agendamento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B12" authorId="0" shapeId="0" xr:uid="{00000000-0006-0000-0100-0000B5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 (cerrar en progreso o pasar a otro compañero)
- EHCOSPROD-38607 - MULTICENTRO - Visor de historia clínica y resumen (mover desarrollo a rama a partir del trunk, paralelizar desarrollo con Alfonso)
- soporte técnico
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 xml:space="preserve">daily. </t>
        </r>
        <r>
          <rPr>
            <b/>
            <sz val="8"/>
            <color indexed="81"/>
            <rFont val="Tahoma"/>
            <family val="2"/>
          </rPr>
          <t xml:space="preserve">
Avance:
-sesion testlink
-EHCOSPROD-38607 - MULTICENTRO - Visor de historia clínica y resumen (desarrollo)
-daily
Backlog:
</t>
        </r>
        <r>
          <rPr>
            <sz val="8"/>
            <color indexed="81"/>
            <rFont val="Tahoma"/>
            <family val="2"/>
          </rPr>
          <t>- EHCOSPROD-40236 - Alerta conflicto agendas (revisar documentación, preparar entorno, 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EHCOSPROD-39890 - Validación EFR no agendamento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C12" authorId="0" shapeId="0" xr:uid="{00000000-0006-0000-0100-0000B6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(paralelizar desarrollo con Alfonso)
- soporte técnico
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 xml:space="preserve">daily. 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(desarrollo, traspaso de conocimiento con Alfonso)
- soporte técnico
- tareas iwok
- daily. 
Backlog:
</t>
        </r>
        <r>
          <rPr>
            <sz val="8"/>
            <color indexed="81"/>
            <rFont val="Tahoma"/>
            <family val="2"/>
          </rPr>
          <t>- EHCOSPROD-40236 - Alerta conflicto agendas (revisar documentación, preparar entorno, 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EHCOSPROD-39890 - Validación EFR no agendamento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F12" authorId="0" shapeId="0" xr:uid="{00000000-0006-0000-0100-0000B7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(revisar documentación, preparar entorno, desarrollo) fin 09/02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(soporte Alfonso)
- formación iwok
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 xml:space="preserve">daily. </t>
        </r>
        <r>
          <rPr>
            <b/>
            <sz val="8"/>
            <color indexed="81"/>
            <rFont val="Tahoma"/>
            <family val="2"/>
          </rPr>
          <t xml:space="preserve">
Avance:
- EHCOSPROD-40236 - Alerta conflicto agendas (revisar documentación, preparar entorno, desarrollo)
- EHCOSPROD-38607 - MULTICENTRO - Visor de historia clínica y resumen (soporte Alfonso)
- formación iwok
- tareas iwok
- daily. 
Backlog:
</t>
        </r>
        <r>
          <rPr>
            <sz val="8"/>
            <color indexed="81"/>
            <rFont val="Tahoma"/>
            <family val="2"/>
          </rPr>
          <t>- EHCOSPROD-39890 - Validación EFR no agendamento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G12" authorId="0" shapeId="0" xr:uid="{00000000-0006-0000-0100-0000B8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(desarrollo) fin 09/02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(soporte Alfonso)
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 xml:space="preserve">daily. </t>
        </r>
        <r>
          <rPr>
            <b/>
            <sz val="8"/>
            <color indexed="81"/>
            <rFont val="Tahoma"/>
            <family val="2"/>
          </rPr>
          <t xml:space="preserve">
Avance:
- EHCOSPROD-40236 - Alerta conflicto agendas (desarrollo)
- daily. 
Backlog:
</t>
        </r>
        <r>
          <rPr>
            <sz val="8"/>
            <color indexed="81"/>
            <rFont val="Tahoma"/>
            <family val="2"/>
          </rPr>
          <t>- EHCOSPROD-39890 - Validación EFR no agendamento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H12" authorId="0" shapeId="0" xr:uid="{00000000-0006-0000-0100-0000B9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(desarrollo) fin 09/02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(soporte Alfonso)
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 xml:space="preserve">daily. </t>
        </r>
        <r>
          <rPr>
            <b/>
            <sz val="8"/>
            <color indexed="81"/>
            <rFont val="Tahoma"/>
            <family val="2"/>
          </rPr>
          <t xml:space="preserve">
Avance:
- EHCOSPROD-40236 - Alerta conflicto agendas (desarrollo)
- daily. 
Backlog:
</t>
        </r>
        <r>
          <rPr>
            <sz val="8"/>
            <color indexed="81"/>
            <rFont val="Tahoma"/>
            <family val="2"/>
          </rPr>
          <t>- EHCOSPROD-39890 - Validación EFR no agendamento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I12" authorId="0" shapeId="0" xr:uid="{00000000-0006-0000-0100-0000BA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(desarrollo) fin 09/02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(soporte Alfonso)
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 xml:space="preserve">daily. </t>
        </r>
        <r>
          <rPr>
            <b/>
            <sz val="8"/>
            <color indexed="81"/>
            <rFont val="Tahoma"/>
            <family val="2"/>
          </rPr>
          <t xml:space="preserve">
Avance:
- EHCOSPROD-40236 - Alerta conflicto agendas (desarrollo)
- tareas iwok
- daily. 
Backlog:
</t>
        </r>
        <r>
          <rPr>
            <sz val="8"/>
            <color indexed="81"/>
            <rFont val="Tahoma"/>
            <family val="2"/>
          </rPr>
          <t>- EHCOSPROD-39890 - Validación EFR no agendamento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J12" authorId="0" shapeId="0" xr:uid="{00000000-0006-0000-0100-0000BB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(desarrollo, pruebas y ajustes, sonar, documentación) fin 09/02
- EHCOSPROD-39890 - Validación EFR no agendamento (lectura documentación, preparar entorno, desarrollo) fin 22/02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(soporte Alfonso)
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 xml:space="preserve">daily. </t>
        </r>
        <r>
          <rPr>
            <b/>
            <sz val="8"/>
            <color indexed="81"/>
            <rFont val="Tahoma"/>
            <family val="2"/>
          </rPr>
          <t xml:space="preserve">
Avance:
- EHCOSPROD-40236 - Alerta conflicto agendas (desarrollo, pruebas y ajustes, sonar, documentación)
- tareas iwok
- daily. 
Backlog:
</t>
        </r>
      </text>
    </comment>
    <comment ref="LM12" authorId="0" shapeId="0" xr:uid="{00000000-0006-0000-0100-0000B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(actualizar rama con el trunk, estabilización pendiente despliegue)
- EHCOSPROD-39890 - Validación EFR no agendamento (lectura documentación, preparar entorno, desarrollo) fin 22/02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(soporte Alfonso)
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 xml:space="preserve">daily. </t>
        </r>
        <r>
          <rPr>
            <b/>
            <sz val="8"/>
            <color indexed="81"/>
            <rFont val="Tahoma"/>
            <family val="2"/>
          </rPr>
          <t xml:space="preserve">
Avance:
- EHCOSPROD-39890 - Validación EFR no agendamento (lectura documentación, preparar entorno, desarrollo, scripts, problema con la creación de ramas)
- daily. 
Backlog:
</t>
        </r>
      </text>
    </comment>
    <comment ref="LN12" authorId="0" shapeId="0" xr:uid="{00000000-0006-0000-0100-0000B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(actualizar rama con el trunk, estabilización 70)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EHCOSPROD-39890 - Validación EFR no agendamento (desarrollo) fin 22/02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daily. Soporte técnico</t>
        </r>
        <r>
          <rPr>
            <b/>
            <sz val="8"/>
            <color indexed="81"/>
            <rFont val="Tahoma"/>
            <family val="2"/>
          </rPr>
          <t xml:space="preserve">
Avance:
- EHCOSPROD-40236 - Alerta conflicto agendas (actualizar rama con el trunk, estabilización 70)
- EHCOSPROD-39890 - Validación EFR no agendamento (desarrollo)
- daily. Soporte técnico
Backlog:
</t>
        </r>
      </text>
    </comment>
    <comment ref="LO12" authorId="0" shapeId="0" xr:uid="{00000000-0006-0000-0100-0000B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(actualizar rama con el trunk, estabilización 70)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EHCOSPROD-39890 - Validación EFR no agendamento (desarrollo) fin 22/02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daily. Soporte técnico</t>
        </r>
        <r>
          <rPr>
            <b/>
            <sz val="8"/>
            <color indexed="81"/>
            <rFont val="Tahoma"/>
            <family val="2"/>
          </rPr>
          <t xml:space="preserve">
Avance:
- EHCOSPROD-39890 - Validación EFR no agendamento (desarrollo)
- tareas iwok
- sesiones por producto
- daily. Soporte técnico
Backlog:
</t>
        </r>
      </text>
    </comment>
    <comment ref="LP12" authorId="0" shapeId="0" xr:uid="{00000000-0006-0000-0100-0000BF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(actualizar rama con el trunk, estabilización 70)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EHCOSPROD-39890 - Validación EFR no agendamento (desarrollo) fin 22/02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daily. Soporte técnico</t>
        </r>
        <r>
          <rPr>
            <b/>
            <sz val="8"/>
            <color indexed="81"/>
            <rFont val="Tahoma"/>
            <family val="2"/>
          </rPr>
          <t xml:space="preserve">
Avance:
- EHCOSPROD-39890 - Validación EFR no agendamento (desarrollo)
- EHCOSPROD-40236 - Alerta conflicto agendas (actualizar rama con el trunk, estabilización 70)
- tareas iwok
- daily. Soporte técnico
Backlog:
</t>
        </r>
      </text>
    </comment>
    <comment ref="LQ12" authorId="0" shapeId="0" xr:uid="{00000000-0006-0000-0100-0000C0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(actualizar rama con el trunk, estabilización 70)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EHCOSPROD-39890 - Validación EFR no agendamento (desarrollo) fin 22/02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daily. Soporte técnico</t>
        </r>
        <r>
          <rPr>
            <b/>
            <sz val="8"/>
            <color indexed="81"/>
            <rFont val="Tahoma"/>
            <family val="2"/>
          </rPr>
          <t xml:space="preserve">
Avance:
- EHCOSPROD-40236 - Alerta conflicto agendas (actualizar rama con el trunk, estabilización 70)
- EHCOSPROD-39890 - Validación EFR no agendamento (desarrollo)
- daily. Soporte técnico
Backlog:
</t>
        </r>
      </text>
    </comment>
    <comment ref="LT12" authorId="0" shapeId="0" xr:uid="{00000000-0006-0000-0100-0000C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(actualizar rama con el trunk, estabilización 70)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EHCOSPROD-39890 - Validación EFR no agendamento (desarrollo,  traspaso conocimiento Rodrigo) fin 22/02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daily. Soporte técnico</t>
        </r>
        <r>
          <rPr>
            <b/>
            <sz val="8"/>
            <color indexed="81"/>
            <rFont val="Tahoma"/>
            <family val="2"/>
          </rPr>
          <t xml:space="preserve">
Avance:
- EHCOSPROD-39890 - Validación EFR no agendamento (desarrollo,  traspaso conocimiento Rodrigo)
- daily. Soporte técnico
Backlog:
</t>
        </r>
      </text>
    </comment>
    <comment ref="LU12" authorId="0" shapeId="0" xr:uid="{00000000-0006-0000-0100-0000C2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(actualizar rama con el trunk, estabilización 70)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EHCOSPROD-39890 - Validación EFR no agendamento (desarrollo,  traspaso conocimiento Rodrigo) fin 19/02
- correctivos 5.15R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daily. Soporte técnico</t>
        </r>
        <r>
          <rPr>
            <b/>
            <sz val="8"/>
            <color indexed="81"/>
            <rFont val="Tahoma"/>
            <family val="2"/>
          </rPr>
          <t xml:space="preserve">
Avance:
- EHCOSPROD-39890 - Validación EFR no agendamento (desarrollo,  traspaso conocimiento Rodrigo, actualizar rama con el trunk)
- tareas iwok
- daily. Soporte técnico
Backlog:
</t>
        </r>
      </text>
    </comment>
    <comment ref="LV12" authorId="0" shapeId="0" xr:uid="{00000000-0006-0000-0100-0000C3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(actualizar rama con el trunk, estabilización 70, merge al trunk)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EHCOSPROD-39890 - Validación EFR no agendamento (desarrollo,  traspaso conocimiento Rodrigo) fin 19/02
- correctivos 5.15R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daily. Soporte técnico</t>
        </r>
        <r>
          <rPr>
            <b/>
            <sz val="8"/>
            <color indexed="81"/>
            <rFont val="Tahoma"/>
            <family val="2"/>
          </rPr>
          <t xml:space="preserve">
Avance:
- EHCOSPROD-39890 - Validación EFR no agendamento (ajustes,  traspaso conocimiento Rodrigo, documentación)
- EHCOSPROD-40236 - Alerta conflicto agendas (actualizar rama con el trunk, merge al trunk)
- daily. Soporte técnico
Backlog:
</t>
        </r>
      </text>
    </comment>
    <comment ref="LW12" authorId="0" shapeId="0" xr:uid="{00000000-0006-0000-0100-0000C4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Validación EFR no agendamento (pruebas, ajustes,  traspaso conocimiento Rodrigo) fin 19/02
- correctivos 5.15R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tareas iwok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daily. Soporte técnico</t>
        </r>
        <r>
          <rPr>
            <b/>
            <sz val="8"/>
            <color indexed="81"/>
            <rFont val="Tahoma"/>
            <family val="2"/>
          </rPr>
          <t xml:space="preserve">
Avance:
- EHCOSPROD-39890 - Validación EFR no agendamento (pruebas, ajustes,  traspaso conocimiento Rodrigo)
- correctivos 5.15R
- daily. Soporte técnico
Backlog:
</t>
        </r>
      </text>
    </comment>
    <comment ref="MH12" authorId="0" shapeId="0" xr:uid="{00000000-0006-0000-0100-0000C5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(desarrollo, seguimiento con Javier) fin 10/03
- Daily</t>
        </r>
        <r>
          <rPr>
            <b/>
            <sz val="8"/>
            <color indexed="81"/>
            <rFont val="Tahoma"/>
            <family val="2"/>
          </rPr>
          <t xml:space="preserve">
Avance:
- EHCOSPROD-40564 - Pesquisa de Vagas - Horário e data (creacion de rama, configuracion de entorno, lectura y revision de DF, seguimiento con Javier, desarrollo)
-daily
Backlog:
</t>
        </r>
      </text>
    </comment>
    <comment ref="MI12" authorId="0" shapeId="0" xr:uid="{00000000-0006-0000-0100-0000C6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(desarrollo, seguimiento con Javier) fin 10/03
- Daily</t>
        </r>
        <r>
          <rPr>
            <b/>
            <sz val="8"/>
            <color indexed="81"/>
            <rFont val="Tahoma"/>
            <family val="2"/>
          </rPr>
          <t xml:space="preserve">
Avance:
- EHCOSPROD-40564 - Pesquisa de Vagas - Horário e data (seguimiento con Javier, desarrollo)
-daily
Backlog:
jueves reunion de centro con Ramon</t>
        </r>
      </text>
    </comment>
    <comment ref="MJ12" authorId="0" shapeId="0" xr:uid="{00000000-0006-0000-0100-0000C7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(desarrollo, seguimiento con Javier) fin 10/03
- Daily</t>
        </r>
        <r>
          <rPr>
            <b/>
            <sz val="8"/>
            <color indexed="81"/>
            <rFont val="Tahoma"/>
            <family val="2"/>
          </rPr>
          <t xml:space="preserve">
Avance:
- EHCOSPROD-40564 - Pesquisa de Vagas - Horário e data (seguimiento con Javier, desarrollo)
-daily
Backlog:
jueves reunion de centro con Ramon</t>
        </r>
      </text>
    </comment>
    <comment ref="MK12" authorId="0" shapeId="0" xr:uid="{00000000-0006-0000-0100-0000C8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(desarrollo, seguimiento con Javier) fin 10/03
- correctivos 5.15R
- reunion de centro con Ramon
- Daily</t>
        </r>
        <r>
          <rPr>
            <b/>
            <sz val="8"/>
            <color indexed="81"/>
            <rFont val="Tahoma"/>
            <family val="2"/>
          </rPr>
          <t xml:space="preserve">
Avance:
- EHCOSPROD-40564 - Pesquisa de Vagas - Horário e data (seguimiento con Javier, desarrollo)
-daily
-reunion con Ramon
Backlog:
</t>
        </r>
      </text>
    </comment>
    <comment ref="ML12" authorId="0" shapeId="0" xr:uid="{00000000-0006-0000-0100-0000C9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(desarrollo, seguimiento con Javier, documentacio) fin 10/03
- correctivos 5.15R
- Daily</t>
        </r>
        <r>
          <rPr>
            <b/>
            <sz val="8"/>
            <color indexed="81"/>
            <rFont val="Tahoma"/>
            <family val="2"/>
          </rPr>
          <t xml:space="preserve">
Avance:
- EHCOSPROD-40564 - Pesquisa de Vagas - Horário e data (finalizacion desarrollo, dt y dl) fin 10/03
- correctivos 5.15R
- Daily
Backlog:
</t>
        </r>
      </text>
    </comment>
    <comment ref="MO12" authorId="0" shapeId="0" xr:uid="{00000000-0006-0000-0100-0000CA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(Falta ejecutar plan de pruebas) fin 10/03
- correctivos 5.15R
- Daily</t>
        </r>
        <r>
          <rPr>
            <b/>
            <sz val="8"/>
            <color indexed="81"/>
            <rFont val="Tahoma"/>
            <family val="2"/>
          </rPr>
          <t xml:space="preserve">
Avance:
- correctivos 5.15R
- Daily
- Aun no esta listo el plan de pruebas (Javier Hurtado)
Backlog:
</t>
        </r>
      </text>
    </comment>
    <comment ref="MP12" authorId="0" shapeId="0" xr:uid="{00000000-0006-0000-0100-0000CB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(Falta ejecutar plan de pruebas) fin 10/03
- correctivos 5.15R
- Daily</t>
        </r>
        <r>
          <rPr>
            <b/>
            <sz val="8"/>
            <color indexed="81"/>
            <rFont val="Tahoma"/>
            <family val="2"/>
          </rPr>
          <t xml:space="preserve">
Avance:-
- correctivos 5.15R
- merge EHCOSPROD-40564
- apoyo Alfonso
Backlog:
</t>
        </r>
      </text>
    </comment>
    <comment ref="MQ12" authorId="0" shapeId="0" xr:uid="{00000000-0006-0000-0100-0000C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(Falta ejecutar plan de pruebas, mientars se haran pruebas minimas) fin 10/03
- correctivos 5.15R
- Daily</t>
        </r>
        <r>
          <rPr>
            <b/>
            <sz val="8"/>
            <color indexed="81"/>
            <rFont val="Tahoma"/>
            <family val="2"/>
          </rPr>
          <t xml:space="preserve">
Avance:-
- correctivos 5.15R
- Daily
Backlog:
</t>
        </r>
      </text>
    </comment>
    <comment ref="MR12" authorId="0" shapeId="0" xr:uid="{00000000-0006-0000-0100-0000C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(Falta ejecutar plan de pruebas, mientars se haran pruebas minimas) fin 10/03
- correctivos 5.15R
- Daily</t>
        </r>
        <r>
          <rPr>
            <b/>
            <sz val="8"/>
            <color indexed="81"/>
            <rFont val="Tahoma"/>
            <family val="2"/>
          </rPr>
          <t xml:space="preserve">
Avance:-
- correctivos 5.15R
- Daily
Backlog:
</t>
        </r>
      </text>
    </comment>
    <comment ref="MS12" authorId="0" shapeId="0" xr:uid="{00000000-0006-0000-0100-0000C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(Falta ejecutar plan de pruebas, mientars se haran pruebas minimas) fin 10/03
- correctivos 5.15R
- Daily</t>
        </r>
        <r>
          <rPr>
            <b/>
            <sz val="8"/>
            <color indexed="81"/>
            <rFont val="Tahoma"/>
            <family val="2"/>
          </rPr>
          <t xml:space="preserve">
Avance:-
Backlog:
</t>
        </r>
      </text>
    </comment>
    <comment ref="MV12" authorId="9" shapeId="0" xr:uid="{00000000-0006-0000-0100-0000C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Correctivos.
Avance:
Correctivos
EHCOSPROD-4462: Problema calendario de vacunas
44517: Continuación correctivo de patricio
Revisión calidad de código y Feedback
Revisión iwok
45302: Correcciones a Fullname
Backlog:</t>
      </text>
    </comment>
    <comment ref="MW12" authorId="10" shapeId="0" xr:uid="{00000000-0006-0000-0100-0000D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Correctivos.
Avance:
Correctivos
EHCOSPROD-4462: Problema calendario de vacunas
44517: Continuación correctivo de patricio
Revisión calidad de código y Feedback
Revisión iwok
45302: Correcciones a Fullname
Backlog:</t>
      </text>
    </comment>
    <comment ref="MX12" authorId="11" shapeId="0" xr:uid="{00000000-0006-0000-0100-0000D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Correctivos.
Avance:
Correctivos
EHCOSPROD-4462: Problema calendario de vacunas
44517: Continuación correctivo de patricio
Revisión calidad de código y Feedback
Revisión iwok
45302: Correcciones a Fullname
Backlog:</t>
      </text>
    </comment>
    <comment ref="MY12" authorId="0" shapeId="0" xr:uid="{00000000-0006-0000-0100-0000D2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Validar jira con Karen EHCOSPROD-43158
</t>
        </r>
        <r>
          <rPr>
            <b/>
            <sz val="8"/>
            <color indexed="81"/>
            <rFont val="Tahoma"/>
            <family val="2"/>
          </rPr>
          <t xml:space="preserve">
Avance:
Correctivos:
-EHCOSPROD-43158: Se habla con karen y se revisa nuevamente
-EHCOSPROD-45448
-EHCOSPROD-45419
Backlog:
</t>
        </r>
      </text>
    </comment>
    <comment ref="MZ12" authorId="0" shapeId="0" xr:uid="{00000000-0006-0000-0100-0000D3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</t>
        </r>
        <r>
          <rPr>
            <b/>
            <sz val="8"/>
            <color indexed="81"/>
            <rFont val="Tahoma"/>
            <family val="2"/>
          </rPr>
          <t xml:space="preserve">
Avance:
Correctivos 5.15.
Backlog:
</t>
        </r>
      </text>
    </comment>
    <comment ref="NC12" authorId="0" shapeId="0" xr:uid="{00000000-0006-0000-0100-0000D4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</t>
        </r>
        <r>
          <rPr>
            <b/>
            <sz val="8"/>
            <color indexed="81"/>
            <rFont val="Tahoma"/>
            <family val="2"/>
          </rPr>
          <t xml:space="preserve">
Avance:
reunion con Gerardo sobres flujos oncologia
correctivos 5.15
daily
Backlog:
</t>
        </r>
      </text>
    </comment>
    <comment ref="ND12" authorId="0" shapeId="0" xr:uid="{00000000-0006-0000-0100-0000D5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</t>
        </r>
        <r>
          <rPr>
            <b/>
            <sz val="8"/>
            <color indexed="81"/>
            <rFont val="Tahoma"/>
            <family val="2"/>
          </rPr>
          <t xml:space="preserve">
Avance:
correctivos 5.15 (agendas avanzadas)
daily
correccion scripts
Backlog:
</t>
        </r>
      </text>
    </comment>
    <comment ref="NE12" authorId="0" shapeId="0" xr:uid="{00000000-0006-0000-0100-0000D6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daily
</t>
        </r>
        <r>
          <rPr>
            <b/>
            <sz val="8"/>
            <color indexed="81"/>
            <rFont val="Tahoma"/>
            <family val="2"/>
          </rPr>
          <t xml:space="preserve">
Avance:
flujos configuracion cobertura y nomenclador
problema caida steps
daily
Backlog:
</t>
        </r>
      </text>
    </comment>
    <comment ref="NF12" authorId="0" shapeId="0" xr:uid="{00000000-0006-0000-0100-0000D7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daily
seguimos con problema caida steps
</t>
        </r>
        <r>
          <rPr>
            <b/>
            <sz val="8"/>
            <color indexed="81"/>
            <rFont val="Tahoma"/>
            <family val="2"/>
          </rPr>
          <t xml:space="preserve">
Avance:
correccion errores en excel (pantallas de facturación)
daily
Backlog:
</t>
        </r>
      </text>
    </comment>
    <comment ref="NG12" authorId="0" shapeId="0" xr:uid="{00000000-0006-0000-0100-0000D8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Correctivos 5.15.
daily
seguimos con problema caida steps</t>
        </r>
        <r>
          <rPr>
            <b/>
            <sz val="8"/>
            <color indexed="81"/>
            <rFont val="Tahoma"/>
            <family val="2"/>
          </rPr>
          <t xml:space="preserve">
Avance:
revision de jira facturación, duplicidad de registro
correctivos 5.15 excel
daily
apoyo a Alfonso
Backlog:
</t>
        </r>
      </text>
    </comment>
    <comment ref="NJ12" authorId="0" shapeId="0" xr:uid="{00000000-0006-0000-0100-0000D9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daily
</t>
        </r>
        <r>
          <rPr>
            <b/>
            <sz val="8"/>
            <color indexed="81"/>
            <rFont val="Tahoma"/>
            <family val="2"/>
          </rPr>
          <t xml:space="preserve">
Avance:
correctivos 5.15  bloqueantes y criticas
daily
revision de codigo con Mauricio
Backlog:
</t>
        </r>
      </text>
    </comment>
    <comment ref="NK12" authorId="0" shapeId="0" xr:uid="{00000000-0006-0000-0100-0000DA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daily
</t>
        </r>
        <r>
          <rPr>
            <b/>
            <sz val="8"/>
            <color indexed="81"/>
            <rFont val="Tahoma"/>
            <family val="2"/>
          </rPr>
          <t xml:space="preserve">
Avance:
correctivos 5.15  bloqueantes y criticas
daily
Backlog:
</t>
        </r>
      </text>
    </comment>
    <comment ref="NL12" authorId="0" shapeId="0" xr:uid="{00000000-0006-0000-0100-0000DB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daily
</t>
        </r>
        <r>
          <rPr>
            <b/>
            <sz val="8"/>
            <color indexed="81"/>
            <rFont val="Tahoma"/>
            <family val="2"/>
          </rPr>
          <t xml:space="preserve">
Avance:
correctivos 5.15 bloqueantes y criticos
daily
Backlog:
</t>
        </r>
      </text>
    </comment>
    <comment ref="KK13" authorId="0" shapeId="0" xr:uid="{00000000-0006-0000-0100-0000D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EHCOSPROD-38922: Daily. Propiedad de EHCOSPROD-39746 para incluir en próxima versión de ehcos-server
- correcciones Sonar. Revisar Jiras y correcciones realizadas. Actualizar reporte de evidencias
5.15R
- EHCOSPROD-39746 - Auto save em formulários (actualizar rama con el trunk, estabilización)
- EHCOSPROD-43041 - Programacion de citas: Modificar mensaje de aviso al no encontrar cupos (análisis técnico pausado pendiente funcional)
- EHCOSPROD-41581 - Plano de Cuidados - Producto (desarrollo) fin 15/01/2021
</t>
        </r>
        <r>
          <rPr>
            <b/>
            <sz val="8"/>
            <color indexed="81"/>
            <rFont val="Tahoma"/>
            <family val="2"/>
          </rPr>
          <t xml:space="preserve">Avance:
</t>
        </r>
        <r>
          <rPr>
            <sz val="8"/>
            <color indexed="81"/>
            <rFont val="Tahoma"/>
            <family val="2"/>
          </rPr>
          <t>- EHCOSPROD-38922: Daily.
- correcciones Sonar. Revisar Jiras y correcciones realizadas.
5.15R
- EHCOSPROD-39746 - Auto save em formulários (actualizar rama con el trunk, soporte)
- EHCOSPROD-43041 - Programacion de citas: Modificar mensaje de aviso al no encontrar cupos (análisis técnico)
- EHCOSPROD-41581 - Plano de Cuidados - Producto (desarrollo) fin 15/01/2021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EHCOSPROD-41846 - INTEGRACIÓN: ehCOS Clinic - ehCOS Triaje sincronización usuario (desarrollo)
Reporte evidencias SONAR enero en sesión por producto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L13" authorId="0" shapeId="0" xr:uid="{00000000-0006-0000-0100-0000D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EHCOSPROD-38922: Daily. Propiedad de EHCOSPROD-39746 para incluir en próxima versión de ehcos-server
- correcciones Sonar. Revisar Jiras y correcciones realizadas. Actualizar reporte de evidencias
5.15R
- EHCOSPROD-39746 - Auto save em formulários (actualizar rama con el trunk, estabilización)
- EHCOSPROD-41581 - Plano de Cuidados - Producto (desarrollo,  plan de pruebas) fin 15/01/2021
- EHCOSPROD-43041 - Programacion de citas: Modificar mensaje de aviso al no encontrar cupos (seguimiento)
</t>
        </r>
        <r>
          <rPr>
            <b/>
            <sz val="8"/>
            <color indexed="81"/>
            <rFont val="Tahoma"/>
            <family val="2"/>
          </rPr>
          <t xml:space="preserve">Avance:
</t>
        </r>
        <r>
          <rPr>
            <sz val="8"/>
            <color indexed="81"/>
            <rFont val="Tahoma"/>
            <family val="2"/>
          </rPr>
          <t>- EHCOSPROD-38922: Daily
5.15R
- EHCOSPROD-41581 - Plano de Cuidados - Producto (desarrollo,  plan de pruebas) fin 15/01/2021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EHCOSPROD-41846 - INTEGRACIÓN: ehCOS Clinic - ehCOS Triaje sincronización usuario (desarrollo)
Reporte evidencias SONAR enero en sesión por producto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M13" authorId="0" shapeId="0" xr:uid="{00000000-0006-0000-0100-0000D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EHCOSPROD-38922: Daily. Propiedad de EHCOSPROD-39746 para incluir en próxima versión de ehcos-server
5.15R
- EHCOSPROD-39746 - Auto save em formulários (actualizar rama con el trunk, estabilización)
- EHCOSPROD-41581 - Plano de Cuidados - Producto (plan de pruebas, ajustes) fin 15/01/2021
- EHCOSPROD-43041 - Programacion de citas: Modificar mensaje de aviso al no encontrar cupos (seguimiento)
</t>
        </r>
        <r>
          <rPr>
            <b/>
            <sz val="8"/>
            <color indexed="81"/>
            <rFont val="Tahoma"/>
            <family val="2"/>
          </rPr>
          <t xml:space="preserve">Avance:
</t>
        </r>
        <r>
          <rPr>
            <sz val="8"/>
            <color indexed="81"/>
            <rFont val="Tahoma"/>
            <family val="2"/>
          </rPr>
          <t>- EHCOSPROD-38922: Daily.
5.15R
- EHCOSPROD-39746 - Auto save em formulários (soporte pruebas)
- EHCOSPROD-41581 - Plano de Cuidados - Producto (pruebas mínimas)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EHCOSPROD-41846 - INTEGRACIÓN: ehCOS Clinic - ehCOS Triaje sincronización usuario (desarrollo)
Reporte evidencias SONAR enero en sesión por producto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N13" authorId="0" shapeId="0" xr:uid="{00000000-0006-0000-0100-0000DF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EHCOSPROD-38922: Daily. Propiedad de EHCOSPROD-39746 para incluir en próxima versión de ehcos-server
- reunión ehcos
5.15R
- EHCOSPROD-39746 - Auto save em formulários (actualizar rama con el trunk, estabilización,  soporte pruebas)
- EHCOSPROD-41581 - Plano de Cuidados - Producto (plan de pruebas, sonar, ajustes) fin 15/01/2021
- EHCOSPROD-43168 - GDPR. Ocultar campos administrativos en la ficha del paciente (análisis técnico)
- EHCOSPROD-43041 - Programacion de citas: Modificar mensaje de aviso al no encontrar cupos (seguimiento)
</t>
        </r>
        <r>
          <rPr>
            <b/>
            <sz val="8"/>
            <color indexed="81"/>
            <rFont val="Tahoma"/>
            <family val="2"/>
          </rPr>
          <t xml:space="preserve">Avance:
</t>
        </r>
        <r>
          <rPr>
            <sz val="8"/>
            <color indexed="81"/>
            <rFont val="Tahoma"/>
            <family val="2"/>
          </rPr>
          <t>- EHCOSPROD-38922: Daily. Propiedad de EHCOSPROD-39746 para incluir en próxima versión de ehcos-server
- reunión ehcos
5.15R
- EHCOSPROD-39746 - Auto save em formulários (merge con el trunk)
- EHCOSPROD-41581 - Plano de Cuidados - Producto (plan de pruebas, sonar, ajustes, documentación) fin 15/01/2021
- EHCOSPROD-43168 - GDPR. Ocultar campos administrativos en la ficha del paciente (análisis técnico,lectura documentación)
- EHCOSPROD-43041 - Programacion de citas: Modificar mensaje de aviso al no encontrar cupos (seguimiento)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EHCOSPROD-41846 - INTEGRACIÓN: ehCOS Clinic - ehCOS Triaje sincronización usuario (desarrollo)
Reporte evidencias SONAR enero en sesión por producto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O13" authorId="0" shapeId="0" xr:uid="{00000000-0006-0000-0100-0000E0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EHCOSPROD-38922: Daily
5.15R
- EHCOSPROD-43168 - GDPR. Ocultar campos administrativos en la ficha del paciente (análisis técnico, desarrollo) fin 15/01
- EHCOSPROD-41581 - Plano de Cuidados - Producto (estabilización)
- EHCOSPROD-43041 - Programacion de citas: Modificar mensaje de aviso al no encontrar cupos (revisión con Alfonso)
- EHCOSPROD-36776 - Llamador de pacientes: poder configurar los llamadores por centro-sección (desarrollo) inicio 18/01, fin 20/01
</t>
        </r>
        <r>
          <rPr>
            <b/>
            <sz val="8"/>
            <color indexed="81"/>
            <rFont val="Tahoma"/>
            <family val="2"/>
          </rPr>
          <t xml:space="preserve">Avance:
</t>
        </r>
        <r>
          <rPr>
            <sz val="8"/>
            <color indexed="81"/>
            <rFont val="Tahoma"/>
            <family val="2"/>
          </rPr>
          <t>- EHCOSPROD-38922: Daily
5.15R
- EHCOSPROD-43168 - GDPR. Ocultar campos administrativos en la ficha del paciente (revisión)
- EHCOSPROD-41581 - Plano de Cuidados - Producto (estabilización)
- EHCOSPROD-43041 - Programacion de citas: Modificar mensaje de aviso al no encontrar cupos (revisión)
- EHCOSPROD-39746 - Auto save em formulários (merge con el trunk)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EHCOSPROD-41846 - INTEGRACIÓN: ehCOS Clinic - ehCOS Triaje sincronización usuario (desarrollo)
Reporte evidencias SONAR enero en sesión por producto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R13" authorId="0" shapeId="0" xr:uid="{00000000-0006-0000-0100-0000E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EHCOSPROD-38922: Daily
5.15R
- EHCOSPROD-36776 - Llamador de pacientes: poder configurar los llamadores por centro-sección (desarrollo) inicio 18/01, fin 20/01
- EHCOSPROD-43168 - GDPR. Ocultar campos administrativos en la ficha del paciente (seguimiento y soporte) fin 18/01
- EHCOSPROD-41581 - Plano de Cuidados - Producto (merge trunk en la rama, estabilización)
</t>
        </r>
        <r>
          <rPr>
            <b/>
            <sz val="8"/>
            <color indexed="81"/>
            <rFont val="Tahoma"/>
            <family val="2"/>
          </rPr>
          <t xml:space="preserve">Avance:
</t>
        </r>
        <r>
          <rPr>
            <sz val="8"/>
            <color indexed="81"/>
            <rFont val="Tahoma"/>
            <family val="2"/>
          </rPr>
          <t>- EHCOSPROD-38922: Daily
5.15R
- EHCOSPROD-36776 - Llamador de pacientes: poder configurar los llamadores por centro-sección (desarrollo) inicio 18/01, fin 20/01
- EHCOSPROD-43168 - GDPR. Ocultar campos administrativos en la ficha del paciente (seguimiento y soporte) fin 18/01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EHCOSPROD-41846 - INTEGRACIÓN: ehCOS Clinic - ehCOS Triaje sincronización usuario (desarrollo)
Reporte evidencias SONAR enero en sesión por producto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S13" authorId="0" shapeId="0" xr:uid="{00000000-0006-0000-0100-0000E2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EHCOSPROD-36776 - Llamador de pacientes: poder configurar los llamadores por centro-sección (desarrollo) inicio 18/01, fin 20/01 
- Generar rama para la 5.15 y branches desarrollo para urg y cpoe
- EHCOSPROD-43168 - GDPR. Ocultar campos administrativos en la ficha del paciente (seguimiento y soporte. Registro de horas y avance en el excel) fin 18/01
- EHCOSPROD-41581 - Plano de Cuidados - Producto (merge trunk en la rama, estabilización pendiente despliegue, configurar catálogos nanda)
- EHCOSPROD-38922: Daily
</t>
        </r>
        <r>
          <rPr>
            <b/>
            <sz val="8"/>
            <color indexed="81"/>
            <rFont val="Tahoma"/>
            <family val="2"/>
          </rPr>
          <t xml:space="preserve">Avance:
</t>
        </r>
        <r>
          <rPr>
            <sz val="8"/>
            <color indexed="81"/>
            <rFont val="Tahoma"/>
            <family val="2"/>
          </rPr>
          <t>- EHCOSPROD-36776 - Llamador de pacientes: poder configurar los llamadores por centro-sección (desarrollo) 
- EHCOSPROD-43168 - GDPR. Ocultar campos administrativos en la ficha del paciente (seguimiento y soporte. Registro de horas y avance en el excel)
- EHCOSPROD-38922: Daily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EHCOSPROD-41846 - INTEGRACIÓN: ehCOS Clinic - ehCOS Triaje sincronización usuario (desarrollo)
Reporte evidencias SONAR enero en sesión por producto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T13" authorId="0" shapeId="0" xr:uid="{00000000-0006-0000-0100-0000E3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EHCOSPROD-36776 - Llamador de pacientes: poder configurar los llamadores por centro-sección (desarrollo, pruebas, ajustes, documentación) inicio 18/01, fin 20/01 
- movimiento de ramas para 5.15R
- EHCOSPROD-41024 - Configuración CPOE (desarrollo)
- EHCOSPROD-43168 - GDPR. Ocultar campos administrativos en la ficha del paciente (seguimiento y soporte. Registro de horas y avance en el excel) fin 18/01
- EHCOSPROD-41581 - Plano de Cuidados - Producto (merge trunk en la rama, estabilización pendiente despliegue, configurar catálogos nanda, script de emilio?)
- EHCOSPROD-38922: Daily
</t>
        </r>
        <r>
          <rPr>
            <b/>
            <sz val="8"/>
            <color indexed="81"/>
            <rFont val="Tahoma"/>
            <family val="2"/>
          </rPr>
          <t xml:space="preserve">Avance:
</t>
        </r>
        <r>
          <rPr>
            <sz val="8"/>
            <color indexed="81"/>
            <rFont val="Tahoma"/>
            <family val="2"/>
          </rPr>
          <t>- movimiento de ramas para 5.15R
- EHCOSPROD-43168 - GDPR. Ocultar campos administrativos en la ficha del paciente (seguimiento y soporte. Registro de horas y documentación)
- soporte Christian modelo datos
- EHCOSPROD-41581 - Plano de Cuidados - Producto (script configurar catálogos nanda)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EHCOSPROD-41846 - INTEGRACIÓN: ehCOS Clinic - ehCOS Triaje sincronización usuario (desarrollo)
Reporte evidencias SONAR enero en sesión por producto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U13" authorId="0" shapeId="0" xr:uid="{00000000-0006-0000-0100-0000E4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EHCOSPROD-41581 - Plano de Cuidados - Producto (merge trunk en la rama, estabilización pendiente despliegue, configurar catálogos nanda) fin 21/01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EHCOSPROD-41024 - Configuración CPOE (leer documentación, preparar entorno, 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EHCOSPROD-36776 - Llamador de pacientes: poder configurar los llamadores por centro-sección (merge trunk en la rama, estabilización pendiente despliegue)
- EHCOSPROD-38922: Daily. Soporte
</t>
        </r>
        <r>
          <rPr>
            <b/>
            <sz val="8"/>
            <color indexed="81"/>
            <rFont val="Tahoma"/>
            <family val="2"/>
          </rPr>
          <t xml:space="preserve">Avance:
- EHCOSPROD-41581 - Plano de Cuidados - Producto (scripts configurar catálogos nanda)
- EHCOSPROD-41024 - Configuración CPOE (leer documentación, preparar entorno, desarrollo)
- EHCOSPROD-38922: Daily. Soporte
Backlog:
</t>
        </r>
        <r>
          <rPr>
            <sz val="8"/>
            <color indexed="81"/>
            <rFont val="Tahoma"/>
            <family val="2"/>
          </rPr>
          <t>- EHCOSPROD-41846 - INTEGRACIÓN: ehCOS Clinic - ehCOS Triaje sincronización usuario (desarrollo)
Reporte evidencias SONAR enero en sesión por producto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Y13" authorId="0" shapeId="0" xr:uid="{00000000-0006-0000-0100-0000E5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(leer documentación, preparar entorno, desarrollo)
- EHCOSPROD-36776 - Llamador de pacientes: poder configurar los llamadores por centro-sección (soportes pendientes, merge trunk en la rama, estabilización pendiente despliegue)
- EHCOSPROD-41581 - Plano de Cuidados - Producto (merge trunk en la rama, estabilización pendiente despliegue, configurar catálogos nanda) fin 21/01
- EHCOSPROD-38922: Daily. Soporte
</t>
        </r>
        <r>
          <rPr>
            <b/>
            <sz val="8"/>
            <color indexed="81"/>
            <rFont val="Tahoma"/>
            <family val="2"/>
          </rPr>
          <t xml:space="preserve">Avance:
- EHCOSPROD-41024 - Configuración CPOE (leer documentación, preparar entorno, desarrollo)
- EHCOSPROD-38922: Daily. Soporte
Backlog:
</t>
        </r>
        <r>
          <rPr>
            <sz val="8"/>
            <color indexed="81"/>
            <rFont val="Tahoma"/>
            <family val="2"/>
          </rPr>
          <t>- EHCOSPROD-41846 - INTEGRACIÓN: ehCOS Clinic - ehCOS Triaje sincronización usuario (desarrollo)
Reporte evidencias SONAR enero en sesión por producto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Z13" authorId="0" shapeId="0" xr:uid="{00000000-0006-0000-0100-0000E6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EHCOSPROD-36776 - Llamador de pacientes: poder configurar los llamadores por centro-sección (soportes pendientes EHCOSPROD-43862 - Llamador de pacientes: Generar consultas a BD, merge trunk en la rama, estabilización pendiente despliegue)
- EHCOSPROD-41024 - Configuración CPOE (desarrollo, paralelizar con Rodrigo) inicio 25/01, fin 16/02
- EHCOSPROD-38922: Daily. Soporte
</t>
        </r>
        <r>
          <rPr>
            <b/>
            <sz val="8"/>
            <color indexed="81"/>
            <rFont val="Tahoma"/>
            <family val="2"/>
          </rPr>
          <t xml:space="preserve">Avance:
- EHCOSPROD-36776 - Llamador de pacientes: poder configurar los llamadores por centro-sección (soportes pendientes EHCOSPROD-43862 - Llamador de pacientes: Generar consultas a BD)
- EHCOSPROD-41024 - Configuración CPOE (desarrollo, paralelizar con Rodrigo)
- EHCOSPROD-38922: Daily. Soporte
Backlog:
</t>
        </r>
        <r>
          <rPr>
            <sz val="8"/>
            <color indexed="81"/>
            <rFont val="Tahoma"/>
            <family val="2"/>
          </rPr>
          <t>- EHCOSPROD-41581 - Plano de Cuidados - Producto (merge trunk en la rama, estabilización pendiente despliegue, configurar catálogos nanda)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Reporte evidencias SONAR enero en sesión por producto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A13" authorId="0" shapeId="0" xr:uid="{00000000-0006-0000-0100-0000E7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(desarrollo, paralelizar con Rodrigo) inicio 25/01, fin 16/02
- Reporte evidencias SONAR enero en sesión por producto
- EHCOSPROD-38922: Daily. Soporte
</t>
        </r>
        <r>
          <rPr>
            <b/>
            <sz val="8"/>
            <color indexed="81"/>
            <rFont val="Tahoma"/>
            <family val="2"/>
          </rPr>
          <t xml:space="preserve">Avance:
- EHCOSPROD-41024 - Configuración CPOE (desarrollo)
- EHCOSPROD-38922: Daily. Soporte
Backlog:
</t>
        </r>
        <r>
          <rPr>
            <sz val="8"/>
            <color indexed="81"/>
            <rFont val="Tahoma"/>
            <family val="2"/>
          </rPr>
          <t>- EHCOSPROD-41581 - Plano de Cuidados - Producto (merge trunk en la rama, estabilización pendiente despliegue, configurar catálogos nanda)
- EHCOSPROD-36776 - Llamador de pacientes: poder configurar los llamadores por centro-sección (soportes pendientes, merge trunk en la rama, estabilización pendiente despliegue)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B13" authorId="0" shapeId="0" xr:uid="{00000000-0006-0000-0100-0000E8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(desarrollo, paralelizar con Rodrigo) inicio 25/01, fin 16/02
- Reporte evidencias SONAR enero en sesión por producto
- EHCOSPROD-38922: Daily. Soporte
</t>
        </r>
        <r>
          <rPr>
            <b/>
            <sz val="8"/>
            <color indexed="81"/>
            <rFont val="Tahoma"/>
            <family val="2"/>
          </rPr>
          <t xml:space="preserve">Avance:
- EHCOSPROD-41024 - Configuración CPOE (desarrollo, paralelizar con Rodrigo)
- EHCOSPROD-38922: Daily.
Backlog:
</t>
        </r>
        <r>
          <rPr>
            <sz val="8"/>
            <color indexed="81"/>
            <rFont val="Tahoma"/>
            <family val="2"/>
          </rPr>
          <t>- EHCOSPROD-41581 - Plano de Cuidados - Producto (merge trunk en la rama, estabilización pendiente despliegue, configurar catálogos nanda)
- EHCOSPROD-36776 - Llamador de pacientes: poder configurar los llamadores por centro-sección (soportes pendientes, merge trunk en la rama, estabilización pendiente despliegue)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C13" authorId="0" shapeId="0" xr:uid="{00000000-0006-0000-0100-0000E9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(desarrollo, paralelizar con Rodrigo) inicio 25/01, fin 16/02
- Reporte evidencias SONAR enero en sesión por producto
- EHCOSPROD-38922: Daily. Soporte
</t>
        </r>
        <r>
          <rPr>
            <b/>
            <sz val="8"/>
            <color indexed="81"/>
            <rFont val="Tahoma"/>
            <family val="2"/>
          </rPr>
          <t xml:space="preserve">Avance:
- EHCOSPROD-41024 - Configuración CPOE (desarrollo, paralelizar con Rodrigo)
- EHCOSPROD-38922: Daily. Soporte
Backlog:
</t>
        </r>
        <r>
          <rPr>
            <sz val="8"/>
            <color indexed="81"/>
            <rFont val="Tahoma"/>
            <family val="2"/>
          </rPr>
          <t>- EHCOSPROD-41581 - Plano de Cuidados - Producto (merge trunk en la rama, estabilización pendiente despliegue, configurar catálogos nanda)
- EHCOSPROD-36776 - Llamador de pacientes: poder configurar los llamadores por centro-sección (soportes pendientes, merge trunk en la rama, estabilización pendiente despliegue)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F13" authorId="0" shapeId="0" xr:uid="{00000000-0006-0000-0100-0000EA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(desarrollo, paralelizar con Rodrigo) inicio 25/01, fin 16/02
- Reporte evidencias SONAR enero en sesión por producto
- EHCOSPROD-38922: Daily. Soporte
</t>
        </r>
        <r>
          <rPr>
            <b/>
            <sz val="8"/>
            <color indexed="81"/>
            <rFont val="Tahoma"/>
            <family val="2"/>
          </rPr>
          <t xml:space="preserve">Avance:
- EHCOSPROD-41024 - Configuración CPOE (desarrollo, paralelizar con Rodrigo)
- formación iwok
- EHCOSPROD-38922: Daily. Soporte
Backlog:
</t>
        </r>
        <r>
          <rPr>
            <sz val="8"/>
            <color indexed="81"/>
            <rFont val="Tahoma"/>
            <family val="2"/>
          </rPr>
          <t>- EHCOSPROD-41581 - Plano de Cuidados - Producto (merge trunk en la rama, estabilización pendiente despliegue, configurar catálogos nanda)
- EHCOSPROD-36776 - Llamador de pacientes: poder configurar los llamadores por centro-sección (soportes pendientes, merge trunk en la rama, estabilización pendiente despliegue)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G13" authorId="0" shapeId="0" xr:uid="{00000000-0006-0000-0100-0000EB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EHCOSPROD-41581 - Plano de Cuidados - Producto (merge trunk en la rama, pruebas testlink, configurar catálogos nanda, nic y noc,  estabilización 70)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EHCOSPROD-41024 - Configuración CPOE (desarrollo, paralelizar con Rodrigo) inicio 25/01, fin 16/02
- Reporte evidencias SONAR enero en sesión por producto (10/02)
- revisar documentación de los evolutivos de la 5.15 que haya analizado
- EHCOSPROD-38922: Daily. Soporte
</t>
        </r>
        <r>
          <rPr>
            <b/>
            <sz val="8"/>
            <color indexed="81"/>
            <rFont val="Tahoma"/>
            <family val="2"/>
          </rPr>
          <t>Avance:
- EHCOSPROD-41581 - Plano de Cuidados - Producto (merge trunk en la rama, pruebas testlink, configurar catálogos nanda, nic y noc,  estabilización 70)
- EHCOSPROD-41024 - Configuración CPOE (desarrollo, paralelizar con Rodrigo)
- EHCOSPROD-38922: Daily. Soporte
Backlog:</t>
        </r>
        <r>
          <rPr>
            <sz val="8"/>
            <color indexed="81"/>
            <rFont val="Tahoma"/>
            <family val="2"/>
          </rPr>
          <t xml:space="preserve">
- EHCOSPROD-36776 - Llamador de pacientes: poder configurar los llamadores por centro-sección (soportes pendientes, merge trunk en la rama, estabilización pendiente despliegue)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H13" authorId="0" shapeId="0" xr:uid="{00000000-0006-0000-0100-0000E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EHCOSPROD-41581 - Plano de Cuidados - Producto (merge trunk en la rama, pruebas testlink, configurar catálogos nanda, nic y noc,  estabilización 70) </t>
        </r>
        <r>
          <rPr>
            <b/>
            <sz val="8"/>
            <color indexed="81"/>
            <rFont val="Tahoma"/>
            <family val="2"/>
          </rPr>
          <t xml:space="preserve">Registrar horas de pruebas y ajustes en excel
</t>
        </r>
        <r>
          <rPr>
            <sz val="8"/>
            <color indexed="81"/>
            <rFont val="Tahoma"/>
            <family val="2"/>
          </rPr>
          <t xml:space="preserve">- EHCOSPROD-41024 - Configuración CPOE (punto de control, desarrollo, paralelizar con Rodrigo) inicio 25/01, fin 16/02
- revisar documentación de los evolutivos de la 5.15 que haya analizado
- EHCOSPROD-38922: Daily. Soporte
</t>
        </r>
        <r>
          <rPr>
            <b/>
            <sz val="8"/>
            <color indexed="81"/>
            <rFont val="Tahoma"/>
            <family val="2"/>
          </rPr>
          <t>Avance:
- EHCOSPROD-41581 - Plano de Cuidados - Producto (merge trunk en la rama, pruebas testlink)
- EHCOSPROD-41024 - Configuración CPOE (punto de control, desarrollo, paralelizar con Rodrigo) 
- EHCOSPROD-38922: Daily. Soporte
Backlog:</t>
        </r>
        <r>
          <rPr>
            <sz val="8"/>
            <color indexed="81"/>
            <rFont val="Tahoma"/>
            <family val="2"/>
          </rPr>
          <t xml:space="preserve">
- Reporte evidencias SONAR enero en sesión por producto (10/02)
- EHCOSPROD-36776 - Llamador de pacientes: poder configurar los llamadores por centro-sección (soportes pendientes, merge trunk en la rama, estabilización pendiente despliegue)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I13" authorId="0" shapeId="0" xr:uid="{00000000-0006-0000-0100-0000E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EHCOSPROD-41581 - Plano de Cuidados - Producto (merge trunk en la rama, ajustes tras revisión de pruebas,  estabilización 70, configurar catálogos nanda, nic y noc, </t>
        </r>
        <r>
          <rPr>
            <b/>
            <sz val="8"/>
            <color indexed="81"/>
            <rFont val="Tahoma"/>
            <family val="2"/>
          </rPr>
          <t>incluir horas de despliegue,  merge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EHCOSPROD-41024 - Configuración CPOE (desarrollo) inicio 25/01, fin 01/03
- revisar documentación de los evolutivos de la 5.15 que haya analizado
- EHCOSPROD-38922: Daily. Soporte
</t>
        </r>
        <r>
          <rPr>
            <b/>
            <sz val="8"/>
            <color indexed="81"/>
            <rFont val="Tahoma"/>
            <family val="2"/>
          </rPr>
          <t>Avance:
- EHCOSPROD-41581 - Plano de Cuidados - Producto (merge trunk en la rama, ajustes tras revisión de pruebas,  estabilización 70)
- EHCOSPROD-41024 - Configuración CPOE (desarrollo) inicio 25/01, fin 01/03
- EHCOSPROD-38922: Daily. Soporte
Backlog:</t>
        </r>
        <r>
          <rPr>
            <sz val="8"/>
            <color indexed="81"/>
            <rFont val="Tahoma"/>
            <family val="2"/>
          </rPr>
          <t xml:space="preserve">
- Reporte evidencias SONAR enero en sesión por producto (10/02)
- EHCOSPROD-36776 - Llamador de pacientes: poder configurar los llamadores por centro-sección (soportes pendientes, merge trunk en la rama, estabilización pendiente despliegue)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J13" authorId="0" shapeId="0" xr:uid="{00000000-0006-0000-0100-0000E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EHCOSPROD-41581 - Plano de Cuidados - Producto (merge trunk en la rama, estabilización 70, configurar catálogos nanda, nic y noc, </t>
        </r>
        <r>
          <rPr>
            <b/>
            <sz val="8"/>
            <color indexed="81"/>
            <rFont val="Tahoma"/>
            <family val="2"/>
          </rPr>
          <t>incluir horas de despliegue,  merge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EHCOSPROD-41024 - Configuración CPOE (desarrollo) inicio 25/01, fin 01/03
- revisar documentación de los evolutivos de la 5.15 que haya analizado
- EHCOSPROD-38922: Daily. Soporte
</t>
        </r>
        <r>
          <rPr>
            <b/>
            <sz val="8"/>
            <color indexed="81"/>
            <rFont val="Tahoma"/>
            <family val="2"/>
          </rPr>
          <t>Avance:
- EHCOSPROD-41581 - Plano de Cuidados - Producto (merge trunk en la rama, estabilización 70)
- EHCOSPROD-41024 - Configuración CPOE (desarrollo)
- EHCOSPROD-38922: Daily. Soporte
Backlog:</t>
        </r>
        <r>
          <rPr>
            <sz val="8"/>
            <color indexed="81"/>
            <rFont val="Tahoma"/>
            <family val="2"/>
          </rPr>
          <t xml:space="preserve">
- Reporte evidencias SONAR enero en sesión por producto (10/02)
- EHCOSPROD-36776 - Llamador de pacientes: poder configurar los llamadores por centro-sección (soportes pendientes, merge trunk en la rama, estabilización pendiente despliegue)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M13" authorId="0" shapeId="0" xr:uid="{00000000-0006-0000-0100-0000EF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EHCOSPROD-41581 - Plano de Cuidados - Producto (merge trunk en la rama, estabilización 70, </t>
        </r>
        <r>
          <rPr>
            <b/>
            <sz val="8"/>
            <color indexed="81"/>
            <rFont val="Tahoma"/>
            <family val="2"/>
          </rPr>
          <t>incluir horas de despliegue,  merge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EHCOSPROD-41024 - Configuración CPOE (desarrollo) inicio 25/01, fin 01/03
- revisar documentación de los evolutivos de la 5.15 que haya analizado
- EHCOSPROD-38922: Daily. Soporte
</t>
        </r>
        <r>
          <rPr>
            <b/>
            <sz val="8"/>
            <color indexed="81"/>
            <rFont val="Tahoma"/>
            <family val="2"/>
          </rPr>
          <t>Avance:
- EHCOSPROD-41581 - Plano de Cuidados - Producto (merge trunk en la rama, estabilización 70, incluir horas de despliegue,  merge)
- EHCOSPROD-41024 - Configuración CPOE (desarrollo) inicio 25/01, fin 01/03
- revisar documentación de los evolutivos de la 5.15 que haya analizado
- EHCOSPROD-38922: Daily. Soporte
- Reporte evidencias SONAR enero en sesión por producto
Backlog:</t>
        </r>
        <r>
          <rPr>
            <sz val="8"/>
            <color indexed="81"/>
            <rFont val="Tahoma"/>
            <family val="2"/>
          </rPr>
          <t xml:space="preserve">
- EHCOSPROD-36776 - Llamador de pacientes: poder configurar los llamadores por centro-sección (soportes pendientes, merge trunk en la rama, estabilización pendiente despliegue)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N13" authorId="0" shapeId="0" xr:uid="{00000000-0006-0000-0100-0000F0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EHCOSPROD-41581 - Plano de Cuidados - Producto (merge al trunk, </t>
        </r>
        <r>
          <rPr>
            <b/>
            <sz val="8"/>
            <color indexed="81"/>
            <rFont val="Tahoma"/>
            <family val="2"/>
          </rPr>
          <t>incluir horas de despliegue,  merge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EHCOSPROD-41024 - Configuración CPOE (desarrollo) inicio 25/01, fin 01/03
- revisar documentación de los evolutivos de la 5.15 que haya analizado
- EHCOSPROD-38922: Daily. Soporte
</t>
        </r>
        <r>
          <rPr>
            <b/>
            <sz val="8"/>
            <color indexed="81"/>
            <rFont val="Tahoma"/>
            <family val="2"/>
          </rPr>
          <t>Avance:
- EHCOSPROD-41581 - Plano de Cuidados - Producto (merge al trunk)
- EHCOSPROD-41024 - Configuración CPOE (desarrollo)
- EHCOSPROD-38922: Daily. Soporte
Backlog:</t>
        </r>
        <r>
          <rPr>
            <sz val="8"/>
            <color indexed="81"/>
            <rFont val="Tahoma"/>
            <family val="2"/>
          </rPr>
          <t xml:space="preserve">
- Reporte evidencias SONAR enero en sesión por producto (10/02)
- EHCOSPROD-36776 - Llamador de pacientes: poder configurar los llamadores por centro-sección (soportes pendientes, merge trunk en la rama, estabilización pendiente despliegue)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O13" authorId="0" shapeId="0" xr:uid="{00000000-0006-0000-0100-0000F1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desarrollo) inicio 25/01, fin 01/03
- revisar documentación de los evolutivos de la 5.15 que haya analizado
- EHCOSPROD-38922: Daily. Soporte, sesiones por producto
</t>
        </r>
        <r>
          <rPr>
            <b/>
            <sz val="8"/>
            <color indexed="81"/>
            <rFont val="Tahoma"/>
            <family val="2"/>
          </rPr>
          <t>Avance:
- EHCOSPROD-41024 - Configuración CPOE (actualizar rama al trunk, desarrollo)
- revisar documentación de los evolutivos de la 5.15 que haya analizado
- EHCOSPROD-38922: Daily. Soporte, sesiones por producto
Backlog:</t>
        </r>
        <r>
          <rPr>
            <sz val="8"/>
            <color indexed="81"/>
            <rFont val="Tahoma"/>
            <family val="2"/>
          </rPr>
          <t xml:space="preserve">
- Reporte evidencias SONAR febrero en sesión por producto (10/02)
- EHCOSPROD-36776 - Llamador de pacientes: poder configurar los llamadores por centro-sección (soportes pendientes, merge trunk en la rama, estabilización pendiente despliegue)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P13" authorId="0" shapeId="0" xr:uid="{00000000-0006-0000-0100-0000F2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EHCOSPROD-36776 - Llamador de pacientes: poder configurar los llamadores por centro-sección (error compilación, soportes pendientes, merge trunk en la rama, estabilización pendiente despliegue)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desarrollo)
- revisar documentación de los evolutivos de la 5.15 que haya analizado
- EHCOSPROD-38922: Daily. Soporte
</t>
        </r>
        <r>
          <rPr>
            <b/>
            <sz val="8"/>
            <color indexed="81"/>
            <rFont val="Tahoma"/>
            <family val="2"/>
          </rPr>
          <t>Avance:
- EHCOSPROD-41024 - Configuración CPOE (actualizar rama al trunk, desarrollo)
- EHCOSPROD-36776 - Llamador de pacientes: poder configurar los llamadores por centro-sección (error compilación, estabilización 72)
- revisar documentación de los evolutivos de la 5.15 que haya analizado
- EHCOSPROD-38922: Daily. Soporte
Backlog:</t>
        </r>
        <r>
          <rPr>
            <sz val="8"/>
            <color indexed="81"/>
            <rFont val="Tahoma"/>
            <family val="2"/>
          </rPr>
          <t xml:space="preserve">
- Reporte evidencias SONAR febrero en sesión por producto</t>
        </r>
        <r>
          <rPr>
            <b/>
            <sz val="8"/>
            <color indexed="81"/>
            <rFont val="Tahoma"/>
            <family val="2"/>
          </rPr>
          <t xml:space="preserve">
- soporte a remote a partir del 15/02
</t>
        </r>
      </text>
    </comment>
    <comment ref="LQ13" authorId="0" shapeId="0" xr:uid="{00000000-0006-0000-0100-0000F3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EHCOSPROD-36776 - Llamador de pacientes: poder configurar los llamadores por centro-sección (soporte pruebas,  merge trunk en la rama, estabilización 72)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desarrollo)
- revisar documentación de los evolutivos de la 5.15 que haya analizado
- EHCOSPROD-38922: Daily. Soporte
</t>
        </r>
        <r>
          <rPr>
            <b/>
            <sz val="8"/>
            <color indexed="81"/>
            <rFont val="Tahoma"/>
            <family val="2"/>
          </rPr>
          <t>Avance:
- EHCOSPROD-41024 - Configuración CPOE (actualizar rama al trunk, desarrollo)
- EHCOSPROD-38922: Daily. Soporte
Backlog:</t>
        </r>
        <r>
          <rPr>
            <sz val="8"/>
            <color indexed="81"/>
            <rFont val="Tahoma"/>
            <family val="2"/>
          </rPr>
          <t xml:space="preserve">
- Reporte evidencias SONAR febrero en sesión por producto</t>
        </r>
        <r>
          <rPr>
            <b/>
            <sz val="8"/>
            <color indexed="81"/>
            <rFont val="Tahoma"/>
            <family val="2"/>
          </rPr>
          <t xml:space="preserve">
- soporte desarrollos editor de informes en remote a partir del 15/02
</t>
        </r>
      </text>
    </comment>
    <comment ref="LT13" authorId="0" shapeId="0" xr:uid="{00000000-0006-0000-0100-0000F4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EHCOSPROD-36776 - Llamador de pacientes: poder configurar los llamadores por centro-sección (soporte pruebas,  merge trunk en la rama, estabilización 72)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 cargas masivas e importar pruebas, sonar, pruebas, documentación)
- revisar documentación de los evolutivos de la 5.15 que haya analizado
- EHCOSPROD-38922: Daily. Soporte
</t>
        </r>
        <r>
          <rPr>
            <b/>
            <sz val="8"/>
            <color indexed="81"/>
            <rFont val="Tahoma"/>
            <family val="2"/>
          </rPr>
          <t>Avance:
- EHCOSPROD-41024 - Configuración CPOE (actualizar rama al trunk, desarrollo cargas masivas e importar pruebas, pruebas, documentación)
- EHCOSPROD-38922: Daily. Soporte
Backlog:</t>
        </r>
        <r>
          <rPr>
            <sz val="8"/>
            <color indexed="81"/>
            <rFont val="Tahoma"/>
            <family val="2"/>
          </rPr>
          <t xml:space="preserve">
- Reporte evidencias SONAR febrero en sesión por producto
- EHCOSPROD-44241 / EHCOSPROD-44433 - Desarrollo: Facturación: cambio campo Motivo de eliminado de un producto de texto libre a catálogo (desarrollo)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- soporte desarrollos editor de informes en remote
</t>
        </r>
      </text>
    </comment>
    <comment ref="LU13" authorId="0" shapeId="0" xr:uid="{00000000-0006-0000-0100-0000F5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EHCOSPROD-36776 - Llamador de pacientes: poder configurar los llamadores por centro-sección (soporte pruebas,  merge trunk en la rama, estabilización 72)
- EHCOSPROD-44241 / EHCOSPROD-44433 - Desarrollo: Facturación: cambio campo Motivo de eliminado de un producto de texto libre a catálogo (desarrollo) </t>
        </r>
        <r>
          <rPr>
            <b/>
            <sz val="8"/>
            <color indexed="81"/>
            <rFont val="Tahoma"/>
            <family val="2"/>
          </rPr>
          <t xml:space="preserve">inicio 18/02, fin 19/02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 cargas masivas e importar pruebas, sonar, pruebas, documentación) fin 26/02
- revisar documentación de los evolutivos de la 5.15 que haya analizado
- EHCOSPROD-38922: Daily. Soporte
</t>
        </r>
        <r>
          <rPr>
            <b/>
            <sz val="8"/>
            <color indexed="81"/>
            <rFont val="Tahoma"/>
            <family val="2"/>
          </rPr>
          <t>Avance:
- EHCOSPROD-41024 - Configuración CPOE (actualizar rama al trunk, desarrollo cargas masivas e importar pruebas, pruebas)
- EHCOSPROD-38922: Daily. Soporte
Backlog:</t>
        </r>
        <r>
          <rPr>
            <sz val="8"/>
            <color indexed="81"/>
            <rFont val="Tahoma"/>
            <family val="2"/>
          </rPr>
          <t xml:space="preserve">
- Reporte evidencias SONAR febrero en sesión por producto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V13" authorId="0" shapeId="0" xr:uid="{00000000-0006-0000-0100-0000F6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EHCOSPROD-36776 - Llamador de pacientes: poder configurar los llamadores por centro-sección (soporte pruebas,  merge trunk en la rama, estabilización 72, merge al trunk)
- EHCOSPROD-41024 - Configuración CPOE (actualizar rama al trunk, desarrollo cargas masivas e importar pruebas, sonar, pruebas, documentación) fin 26/02
- EHCOSPROD-44241 / EHCOSPROD-44433 - Desarrollo: Facturación: cambio campo Motivo de eliminado de un producto de texto libre a catálogo (desarrollo) </t>
        </r>
        <r>
          <rPr>
            <b/>
            <sz val="8"/>
            <color indexed="81"/>
            <rFont val="Tahoma"/>
            <family val="2"/>
          </rPr>
          <t xml:space="preserve">inicio 18/02, fin 19/02
</t>
        </r>
        <r>
          <rPr>
            <sz val="8"/>
            <color indexed="81"/>
            <rFont val="Tahoma"/>
            <family val="2"/>
          </rPr>
          <t xml:space="preserve">- revisar documentación de los evolutivos de la 5.15 que haya analizado
- EHCOSPROD-38922: Daily. Soporte
</t>
        </r>
        <r>
          <rPr>
            <b/>
            <sz val="8"/>
            <color indexed="81"/>
            <rFont val="Tahoma"/>
            <family val="2"/>
          </rPr>
          <t>Avance:
- EHCOSPROD-41024 - Configuración CPOE (actualizar rama al trunk, desarrollo cargas masivas e importar pruebas, sonar, pruebas, documentación)
- EHCOSPROD-38922: Daily. Soporte
Backlog:</t>
        </r>
        <r>
          <rPr>
            <sz val="8"/>
            <color indexed="81"/>
            <rFont val="Tahoma"/>
            <family val="2"/>
          </rPr>
          <t xml:space="preserve">
- Reporte evidencias SONAR febrero en sesión por producto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W13" authorId="0" shapeId="0" xr:uid="{00000000-0006-0000-0100-0000F7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EHCOSPROD-36776 - Llamador de pacientes: poder configurar los llamadores por centro-sección (merge trunk en la rama, estabilización 72 y despliegue, merge al trunk): EHCOSPROD-44515
- EHCOSPROD-44241 / EHCOSPROD-44433 - Desarrollo: Facturación: cambio campo Motivo de eliminado de un producto de texto libre a catálogo (desarrollo) inicio 18/02, fin 19/02
- EHCOSPROD-41024 - Configuración CPOE (actualizar rama al trunk, desarrollo cargas masivas e importar pruebas, sonar, pruebas, documentación) fin 26/02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revisar documentación de los evolutivos de la 5.15 que haya analizado
- EHCOSPROD-38922: Daily. Soporte
</t>
        </r>
        <r>
          <rPr>
            <b/>
            <sz val="8"/>
            <color indexed="81"/>
            <rFont val="Tahoma"/>
            <family val="2"/>
          </rPr>
          <t>Avance:
- EHCOSPROD-36776 - Llamador de pacientes: poder configurar los llamadores por centro-sección (merge trunk en la rama, estabilización 72 y despliegue, merge al trunk): EHCOSPROD-44515
- acudir a la oficina y entrega promociones
- EHCOSPROD-44241 / EHCOSPROD-44433 - Desarrollo: Facturación: cambio campo Motivo de eliminado de un producto de texto libre a catálogo (desarrollo) inicio 18/02, fin 19/02
- EHCOSPROD-38922: Daily. Soporte
Backlog:</t>
        </r>
        <r>
          <rPr>
            <sz val="8"/>
            <color indexed="81"/>
            <rFont val="Tahoma"/>
            <family val="2"/>
          </rPr>
          <t xml:space="preserve">
- Reporte evidencias SONAR febrero en sesión por producto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X13" authorId="0" shapeId="0" xr:uid="{00000000-0006-0000-0100-0000F8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EHCOSPROD-36776 - Llamador de pacientes: poder configurar los llamadores por centro-sección (merge trunk en la rama, estabilización 72 y despliegue, merge al trunk)
- EHCOSPROD-44241 / EHCOSPROD-44433 - Desarrollo: Facturación: cambio campo Motivo de eliminado de un producto de texto libre a catálogo (actualizar rama con el trunk, estabilización pendiente despliegue, merge al trunk)
- EHCOSPROD-41024 - Configuración CPOE (actualizar rama al trunk, desarrollo cargas masivas e importar pruebas, sonar, pruebas, documentación) fin 26/02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revisar documentación de los evolutivos de la 5.15 que haya analizado (incluir marca confidencialidad)
- EHCOSPROD-38922: Daily. Soporte
</t>
        </r>
        <r>
          <rPr>
            <b/>
            <sz val="8"/>
            <color indexed="81"/>
            <rFont val="Tahoma"/>
            <family val="2"/>
          </rPr>
          <t>Avance:
- EHCOSPROD-36776 - Llamador de pacientes: poder configurar los llamadores por centro-sección (merge trunk en la rama, estabilización 72 y despliegue, merge al trunk)
- EHCOSPROD-44241 / EHCOSPROD-44433 - Desarrollo: Facturación: cambio campo Motivo de eliminado de un producto de texto libre a catálogo (actualizar rama con el trunk, desarrollo, pruebas, sonar, documentación)
- revisar documentación de los evolutivos de la 5.15 que haya analizado (incluir marca confidencialidad)
- EHCOSPROD-41024 - Configuración CPOE (actualizar rama al trunk, desarrollo cargas masivas e importar pruebas, sonar, pruebas, documentación)
- EHCOSPROD-38922: Daily. Soporte
Backlog:</t>
        </r>
        <r>
          <rPr>
            <sz val="8"/>
            <color indexed="81"/>
            <rFont val="Tahoma"/>
            <family val="2"/>
          </rPr>
          <t xml:space="preserve">
- EHCOSPROD-38631 - MC-Facturación y presupuesto (desarrollo junto a Marcela y Hope)
- Reporte evidencias SONAR febrero en sesión por producto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B13" authorId="0" shapeId="0" xr:uid="{00000000-0006-0000-0100-0000F9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EHCOSPROD-36776 - Llamador de pacientes: poder configurar los llamadores por centro-sección (actualizar rama con el trunk, merge al trunk)
- EHCOSPROD-44241 / EHCOSPROD-44433 - Desarrollo: Facturación: cambio campo Motivo de eliminado de un producto de texto libre a catálogo (actualizar rama con el trunk, ejecución de scripts y estabilización 72)
- EHCOSPROD-38631 - MC-Facturación y presupuesto (preparar entorno, lectura documentación, desarrollo junto a Marcela y Hope) fin 05/03
- revisar documentación de los evolutivos de la 5.15 que haya analizado (incluir marca confidencialidad)
- EHCOSPROD-38922: Daily. Soporte
</t>
        </r>
        <r>
          <rPr>
            <b/>
            <sz val="8"/>
            <color indexed="81"/>
            <rFont val="Tahoma"/>
            <family val="2"/>
          </rPr>
          <t>Avance:
- EHCOSPROD-36776 - Llamador de pacientes: poder configurar los llamadores por centro-sección (actualizar rama con el trunk, merge al trunk)
- EHCOSPROD-44241 / EHCOSPROD-44433 - Desarrollo: Facturación: cambio campo Motivo de eliminado de un producto de texto libre a catálogo (actualizar rama con el trunk, ejecución de scripts, despliegues y estabilización 72)
- EHCOSPROD-38631 - MC-Facturación y presupuesto (preparar entorno, lectura documentación, desarrollo junto a Marcela y Hope) fin 05/03
- EHCOSPROD-38922: Daily. Soporte
Backlog:</t>
        </r>
        <r>
          <rPr>
            <sz val="8"/>
            <color indexed="81"/>
            <rFont val="Tahoma"/>
            <family val="2"/>
          </rPr>
          <t xml:space="preserve">
- EHCOSPROD-41024 - Configuración CPOE (actualizar rama al trunk, desarrollo cargas masivas e importar pruebas, sonar, pruebas, documentación) fin 26/02
- Reporte evidencias SONAR febrero en sesión por producto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C13" authorId="0" shapeId="0" xr:uid="{00000000-0006-0000-0100-0000FA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EHCOSPROD-36776 - Llamador de pacientes: poder configurar los llamadores por centro-sección (registrar horas de merge)
- EHCOSPROD-44241 / EHCOSPROD-44433 - Desarrollo: Facturación: cambio campo Motivo de eliminado de un producto de texto libre a catálogo (actualizar rama con el trunk, estabilización 72)
- EHCOSPROD-38631 - MC-Facturación y presupuesto (desarrollo junto a Marcela y Hope) fin 05/03
- revisar documentación de los evolutivos de la 5.15 que haya analizado (incluir marca confidencialidad)
- EHCOSPROD-38922: Daily. Soporte
</t>
        </r>
        <r>
          <rPr>
            <b/>
            <sz val="8"/>
            <color indexed="81"/>
            <rFont val="Tahoma"/>
            <family val="2"/>
          </rPr>
          <t>Avance:
- EHCOSPROD-36776 - Llamador de pacientes: poder configurar los llamadores por centro-sección (registrar horas de merge)
- EHCOSPROD-38631 - MC-Facturación y presupuesto (desarrollo junto a Marcela y Hope) fin 05/03
- revisar documentación de los evolutivos de la 5.15 que haya analizado (incluir marca confidencialidad)
- EHCOSPROD-38922: Daily. Soporte
Backlog:</t>
        </r>
        <r>
          <rPr>
            <sz val="8"/>
            <color indexed="81"/>
            <rFont val="Tahoma"/>
            <family val="2"/>
          </rPr>
          <t xml:space="preserve">
- EHCOSPROD-41024 - Configuración CPOE (actualizar rama al trunk, desarrollo cargas masivas e importar pruebas, sonar, pruebas, documentación) fin 26/02
- Reporte evidencias SONAR febrero en sesión por producto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D13" authorId="0" shapeId="0" xr:uid="{00000000-0006-0000-0100-0000FB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EHCOSPROD-44241 / EHCOSPROD-44433 - Desarrollo: Facturación: cambio campo Motivo de eliminado de un producto de texto libre a catálogo (actualizar rama con el trunk, estabilización 72, merge al trunk)
- EHCOSPROD-38631 - MC-Facturación y presupuesto (desarrollo junto a Marcela y Hope) fin 05/03
- revisar documentación de los evolutivos de la 5.15 que haya analizado (incluir marca confidencialidad)
- EHCOSPROD-38922: Daily. Soporte
</t>
        </r>
        <r>
          <rPr>
            <b/>
            <sz val="8"/>
            <color indexed="81"/>
            <rFont val="Tahoma"/>
            <family val="2"/>
          </rPr>
          <t>Avance:
- EHCOSPROD-44241 / EHCOSPROD-44433 - Desarrollo: Facturación: cambio campo Motivo de eliminado de un producto de texto libre a catálogo (actualizar rama con el trunk, estabilización 72, merge al trunk)
- EHCOSPROD-38631 - MC-Facturación y presupuesto (desarrollo junto a Marcela y Hope) fin 05/03 (agregar funcionalidad df)
- EHCOSPROD-38922: Daily. Soporte
Backlog:</t>
        </r>
        <r>
          <rPr>
            <sz val="8"/>
            <color indexed="81"/>
            <rFont val="Tahoma"/>
            <family val="2"/>
          </rPr>
          <t xml:space="preserve">
- EHCOSPROD-41024 - Configuración CPOE (actualizar rama al trunk, desarrollo cargas masivas e importar pruebas, sonar, pruebas, documentación) fin 26/02
- Reporte evidencias SONAR febrero en sesión por producto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E13" authorId="0" shapeId="0" xr:uid="{00000000-0006-0000-0100-0000FC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(desarrollo junto a Marcela y Hope) fin 05/03
- revisar documentación de los evolutivos de la 5.15 que haya analizado (incluir marca confidencialidad)
- EHCOSPROD-38922: Daily. Soporte
</t>
        </r>
        <r>
          <rPr>
            <b/>
            <sz val="8"/>
            <color indexed="81"/>
            <rFont val="Tahoma"/>
            <family val="2"/>
          </rPr>
          <t>Avance:
EHCOSPROD-38631 - MC-Facturación y presupuesto (PUNTO DE CONTROL Y MARTES OTRO)
Soporte con Sara
Backlog:</t>
        </r>
        <r>
          <rPr>
            <sz val="8"/>
            <color indexed="81"/>
            <rFont val="Tahoma"/>
            <family val="2"/>
          </rPr>
          <t xml:space="preserve">
- EHCOSPROD-41024 - Configuración CPOE (actualizar rama al trunk, desarrollo cargas masivas e importar pruebas, sonar, pruebas, documentación) fin 26/02
- Reporte evidencias SONAR febrero en sesión por producto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H13" authorId="0" shapeId="0" xr:uid="{00000000-0006-0000-0100-0000FD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(desarrollo junto a Marcela y Hope) fin 05/03
- revisar documentación de los evolutivos de la 5.15 que haya analizado (incluir marca confidencialidad)
- EHCOSPROD-38922: Daily. Soporte
</t>
        </r>
        <r>
          <rPr>
            <b/>
            <sz val="8"/>
            <color indexed="81"/>
            <rFont val="Tahoma"/>
            <family val="2"/>
          </rPr>
          <t>Avance:
- EHCOSPROD-38631 - MC-Facturación y presupuesto (desarrollo junto a Marcela y Hope) fin 05/03
- EHCOSPROD-38922: Daily. Soporte
Backlog:</t>
        </r>
        <r>
          <rPr>
            <sz val="8"/>
            <color indexed="81"/>
            <rFont val="Tahoma"/>
            <family val="2"/>
          </rPr>
          <t xml:space="preserve">
- EHCOSPROD-41024 - Configuración CPOE (actualizar rama al trunk, desarrollo cargas masivas e importar pruebas, sonar, pruebas, documentación) fin 26/02
- Reporte evidencias SONAR febrero en sesión por producto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I13" authorId="0" shapeId="0" xr:uid="{00000000-0006-0000-0100-0000FE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(desarrollo junto a Marcela y Hope) fin 05/03
- revisar documentación de los evolutivos de la 5.15 que haya analizado (incluir marca confidencialidad)
- EHCOSPROD-38922: Daily. Soporte
</t>
        </r>
        <r>
          <rPr>
            <b/>
            <sz val="8"/>
            <color indexed="81"/>
            <rFont val="Tahoma"/>
            <family val="2"/>
          </rPr>
          <t>Avance:
- EHCOSPROD-38631 - MC-Facturación y presupuesto (desarrollo junto a Marcela y Hope) fin 05/03
- Punto de control evolutivo
- EHCOSPROD-38922: Daily. Soporte
Backlog:</t>
        </r>
        <r>
          <rPr>
            <sz val="8"/>
            <color indexed="81"/>
            <rFont val="Tahoma"/>
            <family val="2"/>
          </rPr>
          <t xml:space="preserve">
- EHCOSPROD-41024 - Configuración CPOE (actualizar rama al trunk, desarrollo cargas masivas e importar pruebas, sonar, pruebas, documentación) fin 26/02
- Reporte evidencias SONAR febrero en sesión por producto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J13" authorId="0" shapeId="0" xr:uid="{00000000-0006-0000-0100-0000FF00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(desarrollo junto a Marcela y Hope) fin 05/03
- revisar documentación de los evolutivos de la 5.15 que haya analizado (incluir marca confidencialidad)
- EHCOSPROD-38922: Daily. Soporte
</t>
        </r>
        <r>
          <rPr>
            <b/>
            <sz val="8"/>
            <color indexed="81"/>
            <rFont val="Tahoma"/>
            <family val="2"/>
          </rPr>
          <t>Avance:
- EHCOSPROD-38631 - MC-Facturación y presupuesto (desarrollo junto a Marcela y Hope) fin 09/03
- EHCOSPROD-38922: Daily. Soporte
Backlog:</t>
        </r>
        <r>
          <rPr>
            <sz val="8"/>
            <color indexed="81"/>
            <rFont val="Tahoma"/>
            <family val="2"/>
          </rPr>
          <t xml:space="preserve">
- EHCOSPROD-41024 - Configuración CPOE (actualizar rama al trunk, desarrollo cargas masivas e importar pruebas, sonar, pruebas, documentación) fin 26/02
- Reporte evidencias SONAR febrero en sesión por producto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K13" authorId="0" shapeId="0" xr:uid="{00000000-0006-0000-0100-00000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(desarrollo junto a Marcela y Hope) fin 11/03
- Reporte evidencias SONAR febrero en sesión por producto
- EHCOSPROD-38922: Daily. Soporte
</t>
        </r>
        <r>
          <rPr>
            <b/>
            <sz val="8"/>
            <color indexed="81"/>
            <rFont val="Tahoma"/>
            <family val="2"/>
          </rPr>
          <t>Avance:
- EHCOSPROD-38631 - MC-Facturación y presupuesto (desarrollo junto a Marcela y Hope) fin 11/03
- Revision y reestimacion de tareas modificaciones.
Backlog:</t>
        </r>
        <r>
          <rPr>
            <sz val="8"/>
            <color indexed="81"/>
            <rFont val="Tahoma"/>
            <family val="2"/>
          </rPr>
          <t xml:space="preserve">
- EHCOSPROD-41024 - Configuración CPOE (actualizar rama al trunk, desarrollo cargas masivas e importar pruebas, sonar, pruebas, documentación)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L13" authorId="0" shapeId="0" xr:uid="{00000000-0006-0000-0100-00000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(desarrollo junto a Marcela y Hope) fin 11/03 (Analisis y modificaciones estimacion tareas en correo, plasmar en el funcional).
- Reporte evidencias SONAR febrero en sesión por producto
- EHCOSPROD-38922: Daily. Soporte
</t>
        </r>
        <r>
          <rPr>
            <b/>
            <sz val="8"/>
            <color indexed="81"/>
            <rFont val="Tahoma"/>
            <family val="2"/>
          </rPr>
          <t>Avance:
- EHCOSPROD-38631 - MC-Facturación y presupuesto (desarrollo junto a Marcela y Hope) fin 11/03 (Analisis y modificaciones estimacion tareas en correo, plasmar en el funcional). Analisis y df.
Backlog:</t>
        </r>
        <r>
          <rPr>
            <sz val="8"/>
            <color indexed="81"/>
            <rFont val="Tahoma"/>
            <family val="2"/>
          </rPr>
          <t xml:space="preserve">
- EHCOSPROD-41024 - Configuración CPOE (actualizar rama al trunk, desarrollo cargas masivas e importar pruebas, sonar, pruebas, documentación)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O13" authorId="0" shapeId="0" xr:uid="{00000000-0006-0000-0100-000002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(desarrollo junto a Marcela y Hope) fin 11/03 (Analisis y modificaciones estimacion tareas en correo, plasmar en el funcional). Completar tareas.
- Configuración de CPOE.
- Reporte evidencias SONAR febrero en sesión por producto
- EHCOSPROD-38922: Daily. Soporte
</t>
        </r>
        <r>
          <rPr>
            <b/>
            <sz val="8"/>
            <color indexed="81"/>
            <rFont val="Tahoma"/>
            <family val="2"/>
          </rPr>
          <t>Avance:
- EHCOSPROD-38631 - MC-Facturación y presupuesto (desarrollo junto a Marcela y Hope) fin 11/03 (Analisis y modificaciones estimacion tareas en correo, plasmar en el funcional).
- Punto de control.
- EHCOSPROD-38922: Daily. Soporte
Backlog:</t>
        </r>
        <r>
          <rPr>
            <sz val="8"/>
            <color indexed="81"/>
            <rFont val="Tahoma"/>
            <family val="2"/>
          </rPr>
          <t xml:space="preserve">
- EHCOSPROD-41024 - Configuración CPOE (actualizar rama al trunk, desarrollo cargas masivas e importar pruebas, sonar, pruebas, documentación)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P13" authorId="0" shapeId="0" xr:uid="{00000000-0006-0000-0100-000003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(desarrollo junto a Marcela y Hope) fin 11/03 (Analisis y modificaciones estimacion tareas en correo, plasmar en el funcional). Comenzar modificaciones y agregar cambios. y  Preguntar plan de pruebas
- Reporte evidencias SONAR febrero en sesión por producto
- EHCOSPROD-38922: Daily. Soporte
</t>
        </r>
        <r>
          <rPr>
            <b/>
            <sz val="8"/>
            <color indexed="81"/>
            <rFont val="Tahoma"/>
            <family val="2"/>
          </rPr>
          <t>Avance:
- EHCOSPROD-38631 - MC-Facturación y presupuesto (desarrollo junto a Marcela y Hope) fin 11/03 (Analisis y modificaciones estimacion tareas en correo, plasmar en el funcional).
- EHCOSPROD-38922: Daily. Soporte
Backlog:</t>
        </r>
        <r>
          <rPr>
            <sz val="8"/>
            <color indexed="81"/>
            <rFont val="Tahoma"/>
            <family val="2"/>
          </rPr>
          <t xml:space="preserve">
- EHCOSPROD-41024 - Configuración CPOE (actualizar rama al trunk, desarrollo cargas masivas e importar pruebas, sonar, pruebas, documentación)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Q13" authorId="0" shapeId="0" xr:uid="{00000000-0006-0000-0100-00000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(desarrollo junto a Marcela y Hope) fin 11/03 (Analisis y modificaciones estimacion tareas en correo, plasmar en el funcional). Comenzar modificaciones y agregar cambios. y  Preguntar plan de pruebas
- EHCOSPROD-41024 - Configuración CPOE (actualizar rama al trunk, desarrollo cargas masivas e importar pruebas, sonar, pruebas, documentación)
- Reporte evidencias SONAR febrero en sesión por producto
- EHCOSPROD-38922: Daily. Soporte
</t>
        </r>
        <r>
          <rPr>
            <b/>
            <sz val="8"/>
            <color indexed="81"/>
            <rFont val="Tahoma"/>
            <family val="2"/>
          </rPr>
          <t>Avance:
- EHCOSPROD-38631 - MC-Facturación y presupuesto (desarrollo junto a Marcela y Hope) fin 11/03 (Analisis y modificaciones estimacion tareas en correo, plasmar en el funcional). Comenzar modificaciones y agregar cambios.  - Preguntar plan de pruebas
mAÑANA PARTE SONAR
Backlog:
EHCOSPROD-40726 Escalas migracion -&gt; Estimación Victor, segun fechas. Desarrollo Victor</t>
        </r>
        <r>
          <rPr>
            <sz val="8"/>
            <color indexed="81"/>
            <rFont val="Tahoma"/>
            <family val="2"/>
          </rPr>
          <t xml:space="preserve">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R13" authorId="0" shapeId="0" xr:uid="{00000000-0006-0000-0100-00000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(desarrollo junto a Marcela y Hope) fin 11/03 (Analisis y modificaciones estimacion tareas en correo, plasmar en el funcional). Comenzar modificaciones y agregar cambios. y  Preguntar plan de pruebas
- EHCOSPROD-41024 - Configuración CPOE (actualizar rama al trunk, desarrollo cargas masivas e importar pruebas, sonar, pruebas, documentación)
- Reporte evidencias SONAR febrero en sesión por producto
</t>
        </r>
        <r>
          <rPr>
            <b/>
            <sz val="8"/>
            <color indexed="81"/>
            <rFont val="Tahoma"/>
            <family val="2"/>
          </rPr>
          <t>Avance:
- Sesiones por producto
- Preparacion informe sonar
- EHCOSPROD-38631 - MC-Facturación y presupuesto (desarrollo junto a Marcela y Hope) fin 11/03 (Analisis y modificaciones estimacion tareas en correo, plasmar en el funcional). Comenzar modificaciones y agregar cambios. y  Plan de pruebas
Backlog:
EHCOSPROD-40726 Escalas migracion -&gt; Estimación Victor, segun fechas. Desarrollo Victor</t>
        </r>
        <r>
          <rPr>
            <sz val="8"/>
            <color indexed="81"/>
            <rFont val="Tahoma"/>
            <family val="2"/>
          </rPr>
          <t xml:space="preserve">
- Unificar componentes de Escalas: opción de generar pdf para escalas existentes para modo consulta y quitar el de escalas de clinic .  Mapeo entre escalas de uno y otro componente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S13" authorId="0" shapeId="0" xr:uid="{00000000-0006-0000-0100-000006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 cargas masivas e importar pruebas, sonar, pruebas, documentación) (Cambiar estado)
- Reporte evidencias SONAR febrero en sesión por producto
- EHCOSPROD-38631 - MC-Facturación y presupuesto (desarrollo junto a Marcela y Hope) fin 11/03 (Analisis y modificaciones estimacion tareas en correo, plasmar en el funcional). Comenzar modificaciones y agregar cambios.  Documentación.
- EHCOSPROD-38922: Daily. Soporte
</t>
        </r>
        <r>
          <rPr>
            <b/>
            <sz val="8"/>
            <color indexed="81"/>
            <rFont val="Tahoma"/>
            <family val="2"/>
          </rPr>
          <t>Avance:
- EHCOSPROD-41024 - Configuración CPOE (actualizar rama al trunk, desarrollo cargas masivas e importar pruebas, sonar, pruebas, documentación) (Cambiar estado)
- Reporte evidencias SONAR febrero en sesión por producto
- EHCOSPROD-38631 - MC-Facturación y presupuesto (desarrollo junto a Marcela y Hope) fin 11/03 (Analisis y modificaciones estimacion tareas en correo, plasmar en el funcional). Comenzar modificaciones y agregar cambios.  Documentación.  Sonar  y traspaso de conocimiento
***REvisar evolutivo de alertas
Backlog:
EHCOSPROD-40726 Escalas migracion -&gt; Estimación Victor, segun fechas. Desarrollo Victor</t>
        </r>
        <r>
          <rPr>
            <sz val="8"/>
            <color indexed="81"/>
            <rFont val="Tahoma"/>
            <family val="2"/>
          </rPr>
          <t xml:space="preserve">
- Unificar componentes de Escalas: opción de generar pdf para escalas existentes para modo consulta y quitar el de escalas de clinic .  Mapeo entre escalas de uno y otro componente</t>
        </r>
      </text>
    </comment>
    <comment ref="MV13" authorId="0" shapeId="0" xr:uid="{00000000-0006-0000-0100-000007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 cargas masivas e importar pruebas, sonar, pruebas, documentación) (Cambiar estado) 1 dia y medio desarrollo
- Reporte evidencias SONAR febrero en sesión por producto
- EHCOSPROD-38922: Daily. Soporte
</t>
        </r>
        <r>
          <rPr>
            <b/>
            <sz val="8"/>
            <color indexed="81"/>
            <rFont val="Tahoma"/>
            <family val="2"/>
          </rPr>
          <t>Avance:
- EHCOSPROD-41024 - Configuración CPOE (actualizar rama al trunk, desarrollo cargas masivas e importar pruebas, sonar, pruebas, documentación) (Cambiar estado)
Backlog:
EHCOSPROD-40726 Escalas migracion -&gt; Estimación Victor, segun fechas. Desarrollo Victor</t>
        </r>
        <r>
          <rPr>
            <sz val="8"/>
            <color indexed="81"/>
            <rFont val="Tahoma"/>
            <family val="2"/>
          </rPr>
          <t xml:space="preserve">
- Unificar componentes de Escalas: opción de generar pdf para escalas existentes para modo consulta y quitar el de escalas de clinic .  Mapeo entre escalas de uno y otro componente</t>
        </r>
      </text>
    </comment>
    <comment ref="MW13" authorId="0" shapeId="0" xr:uid="{00000000-0006-0000-0100-000008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 cargas masivas e importar pruebas, sonar, pruebas, documentación) (Pedir plan de pruebas y falta documentar)
- Reporte evidencias SONAR febrero en sesión por producto
- EHCOSPROD-38922: Daily. Soporte
</t>
        </r>
        <r>
          <rPr>
            <b/>
            <sz val="8"/>
            <color indexed="81"/>
            <rFont val="Tahoma"/>
            <family val="2"/>
          </rPr>
          <t>Avance:
- Desarrollo cpoe falta procedimiento y pruebas. 
Backlog:
EHCOSPROD-40726 Escalas migracion -&gt; Estimación Victor, segun fechas. Desarrollo Victor</t>
        </r>
        <r>
          <rPr>
            <sz val="8"/>
            <color indexed="81"/>
            <rFont val="Tahoma"/>
            <family val="2"/>
          </rPr>
          <t xml:space="preserve">
- Unificar componentes de Escalas: opción de generar pdf para escalas existentes para modo consulta y quitar el de escalas de clinic .  Mapeo entre escalas de uno y otro componente</t>
        </r>
      </text>
    </comment>
    <comment ref="MX13" authorId="0" shapeId="0" xr:uid="{00000000-0006-0000-0100-00000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 cargas masivas e importar pruebas, sonar, pruebas, documentación) (Plan pruebas  23/04 y falta documentar) pruebas y terminar procediiento 
- Reporte evidencias SONAR febrero en sesión por producto
- EHCOSPROD-38922: Daily. Soporte
</t>
        </r>
        <r>
          <rPr>
            <b/>
            <sz val="8"/>
            <color indexed="81"/>
            <rFont val="Tahoma"/>
            <family val="2"/>
          </rPr>
          <t>Avance:
- EHCOSPROD-41024 - Configuración CPOE (actualizar rama al trunk, desarrollo cargas masivas e importar pruebas, sonar, pruebas, documentación) 
Documentacion y cerrar.
Backlog:
EHCOSPROD-40726 Escalas migracion -&gt; Estimación Victor, segun fechas. Desarrollo Victor</t>
        </r>
        <r>
          <rPr>
            <sz val="8"/>
            <color indexed="81"/>
            <rFont val="Tahoma"/>
            <family val="2"/>
          </rPr>
          <t xml:space="preserve">
- Unificar componentes de Escalas: opción de generar pdf para escalas existentes para modo consulta y quitar el de escalas de clinic .  Mapeo entre escalas de uno y otro componente</t>
        </r>
      </text>
    </comment>
    <comment ref="MY13" authorId="0" shapeId="0" xr:uid="{00000000-0006-0000-0100-00000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 cargas masivas e importar pruebas, sonar, pruebas, documentación) (Plan pruebas  23/04 y falta documentar) pruebas y terminar procediiento 
- Reporte evidencias SONAR febrero en sesión por producto
- EHCOSPROD-38922: Daily. Soporte
</t>
        </r>
        <r>
          <rPr>
            <b/>
            <sz val="8"/>
            <color indexed="81"/>
            <rFont val="Tahoma"/>
            <family val="2"/>
          </rPr>
          <t>Avance:
- EHCOSPROD-41024 - Configuración CPOE (actualizar rama al trunk, desarrollo cargas masivas e importar pruebas, sonar, pruebas, documentación) (Plan pruebas  23/04 y falta documentar) pruebas y terminar procediento. Terminar de procedimiento oracle. y pruebas y documentación.
Backlog:
EHCOSPROD-40726 Escalas migracion -&gt; Estimación Victor, segun fechas. Desarrollo Victor</t>
        </r>
        <r>
          <rPr>
            <sz val="8"/>
            <color indexed="81"/>
            <rFont val="Tahoma"/>
            <family val="2"/>
          </rPr>
          <t xml:space="preserve">
- Unificar componentes de Escalas: opción de generar pdf para escalas existentes para modo consulta y quitar el de escalas de clinic .  Mapeo entre escalas de uno y otro componente</t>
        </r>
      </text>
    </comment>
    <comment ref="ND13" authorId="0" shapeId="0" xr:uid="{00000000-0006-0000-0100-00000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 cargas masivas e importar pruebas, sonar, pruebas, documentación) (Plan pruebas  23/04 y falta documentar) pruebas y terminar procediiento . Documentación. finalizar
- Reporte evidencias SONAR febrero en sesión por producto
- EHCOSPROD-40726 (Análisis)
- EHCOSPROD-38922: Daily. Soporte
</t>
        </r>
        <r>
          <rPr>
            <b/>
            <sz val="8"/>
            <color indexed="81"/>
            <rFont val="Tahoma"/>
            <family val="2"/>
          </rPr>
          <t>Avance:
- EHCOSPROD-41024 - Configuración CPOE (actualizar rama al trunk, desarrollo cargas masivas e importar pruebas, sonar, pruebas, documentación) (Plan pruebas  23/04 y falta documentar) pruebas y terminar procediiento . Documentación. finalizar
Backlog:
EHCOSPROD-40726 Escalas migracion -&gt; Estimación Victor, segun fechas. Desarrollo Victor</t>
        </r>
        <r>
          <rPr>
            <sz val="8"/>
            <color indexed="81"/>
            <rFont val="Tahoma"/>
            <family val="2"/>
          </rPr>
          <t xml:space="preserve">
- Unificar componentes de Escalas: opción de generar pdf para escalas existentes para modo consulta y quitar el de escalas de clinic .  Mapeo entre escalas de uno y otro componente</t>
        </r>
      </text>
    </comment>
    <comment ref="NE13" authorId="0" shapeId="0" xr:uid="{00000000-0006-0000-0100-00000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 cargas masivas e importar pruebas, sonar, pruebas, documentación) (Plan pruebas ) Finalizado faltaría estabilización.
- Reporte evidencias SONAR febrero en sesión por producto
- EHCOSPROD-40726  Escalas(Análisis) Finalizar
- EHCOSPROD-38922: Daily. Soporte
</t>
        </r>
        <r>
          <rPr>
            <b/>
            <sz val="8"/>
            <color indexed="81"/>
            <rFont val="Tahoma"/>
            <family val="2"/>
          </rPr>
          <t>Avance:
- EHCOSPROD-40726  Escalas(Análisis)
Backlog:
EHCOSPROD-40726 Escalas migracion -&gt; Estimación Victor, segun fechas. Desarrollo Victor</t>
        </r>
        <r>
          <rPr>
            <sz val="8"/>
            <color indexed="81"/>
            <rFont val="Tahoma"/>
            <family val="2"/>
          </rPr>
          <t xml:space="preserve">
- Unificar componentes de Escalas: opción de generar pdf para escalas existentes para modo consulta y quitar el de escalas de clinic .  Mapeo entre escalas de uno y otro componente</t>
        </r>
      </text>
    </comment>
    <comment ref="NF13" authorId="0" shapeId="0" xr:uid="{00000000-0006-0000-0100-00000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 cargas masivas e importar pruebas, sonar, pruebas, documentación) (Plan pruebas ) Finalizado faltaría estabilización.
EHCOSPROD-40726 Escalas migracion -&gt; Estimación Victor,
- Reporte evidencias SONAR febrero en sesión por producto
- EHCOSPROD-40726  Escalas(Análisis) Finalizar
- EHCOSPROD-38922: Daily. Soporte
</t>
        </r>
        <r>
          <rPr>
            <b/>
            <sz val="8"/>
            <color indexed="81"/>
            <rFont val="Tahoma"/>
            <family val="2"/>
          </rPr>
          <t>Avance:
-EHCOSPROD-40726 Escalas migracion -&gt; Estimación Victor,
Backlog:
EHCOSPROD-40726 Escalas migracion -&gt; Estimación Victor, segun fechas. Desarrollo Victor</t>
        </r>
        <r>
          <rPr>
            <sz val="8"/>
            <color indexed="81"/>
            <rFont val="Tahoma"/>
            <family val="2"/>
          </rPr>
          <t xml:space="preserve">
- Unificar componentes de Escalas: opción de generar pdf para escalas existentes para modo consulta y quitar el de escalas de clinic .  Mapeo entre escalas de uno y otro componente</t>
        </r>
      </text>
    </comment>
    <comment ref="NG13" authorId="0" shapeId="0" xr:uid="{00000000-0006-0000-0100-00000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 cargas masivas e importar pruebas, sonar, pruebas, documentación) (Plan pruebas ) Finalizado faltaría estabilización.
EHCOSPROD-40726 Escalas migracion -&gt; Iniciar evolutivo,
- Reporte evidencias SONAR febrero en sesión por producto
- EHCOSPROD-38922: Daily. Soporte
</t>
        </r>
        <r>
          <rPr>
            <b/>
            <sz val="8"/>
            <color indexed="81"/>
            <rFont val="Tahoma"/>
            <family val="2"/>
          </rPr>
          <t xml:space="preserve">Avance:
- Preparacion del evolutivo y Escalas. EHCOSPROD-40726
Backlog:
</t>
        </r>
      </text>
    </comment>
    <comment ref="NJ13" authorId="0" shapeId="0" xr:uid="{00000000-0006-0000-0100-00000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EHCOSPROD-41024 - Configuración CPOE (actualizar rama al trunk, desarrollo cargas masivas e importar pruebas, sonar, pruebas, documentación) (Plan pruebas ) Finalizado faltaría estabilización.
EHCOSPROD-40726 Escalas migracion -&gt;</t>
        </r>
        <r>
          <rPr>
            <b/>
            <sz val="8"/>
            <color indexed="81"/>
            <rFont val="Tahoma"/>
            <family val="2"/>
          </rPr>
          <t xml:space="preserve"> Iniciar evolutivo</t>
        </r>
        <r>
          <rPr>
            <sz val="8"/>
            <color indexed="81"/>
            <rFont val="Tahoma"/>
            <family val="2"/>
          </rPr>
          <t xml:space="preserve">,
- Reporte evidencias SONAR febrero en sesión por producto
- EHCOSPROD-38922: Daily. Soporte
</t>
        </r>
        <r>
          <rPr>
            <b/>
            <sz val="8"/>
            <color indexed="81"/>
            <rFont val="Tahoma"/>
            <family val="2"/>
          </rPr>
          <t xml:space="preserve">Avance:
EHCOSPROD-40726 comenzar migración, falta migrar relacion con episodios
Backlog:
</t>
        </r>
      </text>
    </comment>
    <comment ref="NK13" authorId="0" shapeId="0" xr:uid="{00000000-0006-0000-0100-00001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 cargas masivas e importar pruebas, sonar, pruebas, documentación) (Plan pruebas ) Finalizado faltaría estabilización.
EHCOSPROD-40726 Escalas migracion
Hoy pantalla de migración de enfermería
Hoy Pantalla a migrar  escalas
- Reporte evidencias SONAR febrero en sesión por producto
- EHCOSPROD-38922: Daily. Soporte
</t>
        </r>
        <r>
          <rPr>
            <b/>
            <sz val="8"/>
            <color indexed="81"/>
            <rFont val="Tahoma"/>
            <family val="2"/>
          </rPr>
          <t xml:space="preserve">Avance:
- EHCOSPROD-40726.
--------------------------------------------------------------
- EHCOSPROD-40726 Finalizar y pruebas
Backlog:
</t>
        </r>
      </text>
    </comment>
    <comment ref="NL13" authorId="0" shapeId="0" xr:uid="{00000000-0006-0000-0100-00001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EHCOSPROD-41024 - Configuración CPOE (actualizar rama al trunk, desarrollo cargas masivas e importar pruebas, sonar, pruebas, documentación) (Plan pruebas ) Finalizado faltaría estabilización.
EHCOSPROD-40726 Escalas migracion
Hoy pantalla de migración de enfermería
Hoy Pantalla a migrar  escalas
- Reporte evidencias SONAR febrero en sesión por producto
- EHCOSPROD-38922: Daily. Soporte
</t>
        </r>
        <r>
          <rPr>
            <b/>
            <sz val="8"/>
            <color indexed="81"/>
            <rFont val="Tahoma"/>
            <family val="2"/>
          </rPr>
          <t xml:space="preserve">Avance:
- Evolutivo  de escalas (pruebas)
HOy finalizar evolutivo y documentación
Backlog:
</t>
        </r>
      </text>
    </comment>
    <comment ref="KD14" authorId="2" shapeId="0" xr:uid="{00000000-0006-0000-0100-00001201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
revisar tareas de GC con Gino, revisar temas post liberacion con el db updater
Por hacer:
desplegar trunk y trunk de UCI
no llego correo de GC porque gerardo esta con licencia
</t>
        </r>
      </text>
    </comment>
    <comment ref="KE14" authorId="2" shapeId="0" xr:uid="{00000000-0006-0000-0100-00001301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despliegue del trunk en entorno 66 y 117
actualizo entorno UCI y se reviso analisis sonar que no se estaba ejecutando.
Por hacer: despliegue evolutivo ehSmartOncology
despliegue trunk entorno 66 y 117
despliegue trunk smartICU</t>
        </r>
      </text>
    </comment>
    <comment ref="KF14" authorId="2" shapeId="0" xr:uid="{00000000-0006-0000-0100-00001401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despliegue del trunk en entorno 66 y 117
despliegue entorno 161 (oncologia)
revision de pipline de release y documento para gino.
Por hacer: Despliegue del trunk en entorno 66 y 117</t>
        </r>
      </text>
    </comment>
    <comment ref="KG14" authorId="2" shapeId="0" xr:uid="{00000000-0006-0000-0100-00001501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instalacion oracle para alfonso
despliegue trunk maquina 66 y 117
revisión de documentacion para backup
revisión de dbUpdate con Javier
Por hacer:
revisión de dbUpdate con Javier
despliegue de remote
despliegue de UCI
despliegue trunk 66 y 117</t>
        </r>
      </text>
    </comment>
    <comment ref="KH14" authorId="2" shapeId="0" xr:uid="{00000000-0006-0000-0100-00001601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despliegue del trunk entorno 66 y 117, se corrigio error en clinic con cambios realizados por smartUCI
despliegues remote y smartUCI
reunion con Javier Rios y hector por dbUpdater.
Por hacer:finalizar documentacion para Gino
revision de scripts por actualizacion
despliegue del trunk 66 y 117
despliegue del smartUCI y remote.</t>
        </r>
      </text>
    </comment>
    <comment ref="LF14" authorId="0" shapeId="0" xr:uid="{00000000-0006-0000-0100-000017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Puesta al día
- Tareas GC</t>
        </r>
        <r>
          <rPr>
            <b/>
            <sz val="8"/>
            <color indexed="81"/>
            <rFont val="Tahoma"/>
            <family val="2"/>
          </rPr>
          <t xml:space="preserve">
Avance:
- Puesta al día
- formación iwok
- Tareas GC
Backlog:
</t>
        </r>
      </text>
    </comment>
    <comment ref="LG14" authorId="0" shapeId="0" xr:uid="{00000000-0006-0000-0100-000018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</t>
        </r>
        <r>
          <rPr>
            <b/>
            <sz val="8"/>
            <color indexed="81"/>
            <rFont val="Tahoma"/>
            <family val="2"/>
          </rPr>
          <t xml:space="preserve">
Avance:
- Tareas GC
Backlog:
</t>
        </r>
      </text>
    </comment>
    <comment ref="LH14" authorId="0" shapeId="0" xr:uid="{00000000-0006-0000-0100-00001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LI14" authorId="0" shapeId="0" xr:uid="{00000000-0006-0000-0100-00001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LJ14" authorId="0" shapeId="0" xr:uid="{00000000-0006-0000-0100-00001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base de datos solo schema para postgres actualizada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LM14" authorId="0" shapeId="0" xr:uid="{00000000-0006-0000-0100-00001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base de datos solo schema para postgres actualizada</t>
        </r>
        <r>
          <rPr>
            <b/>
            <sz val="8"/>
            <color indexed="81"/>
            <rFont val="Tahoma"/>
            <family val="2"/>
          </rPr>
          <t xml:space="preserve">
Avance:
- Tareas GC
- revisión jar de scripts 5.14.3
Backlog:
</t>
        </r>
      </text>
    </comment>
    <comment ref="LN14" authorId="0" shapeId="0" xr:uid="{00000000-0006-0000-0100-00001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EHCOSPROD-44242: privilegios registro actividad
- base de datos solo schema para postgres actualizada</t>
        </r>
        <r>
          <rPr>
            <b/>
            <sz val="8"/>
            <color indexed="81"/>
            <rFont val="Tahoma"/>
            <family val="2"/>
          </rPr>
          <t xml:space="preserve">
Avance:
- Tareas GC
- base de datos solo schema para postgres actualizada
Backlog:
</t>
        </r>
      </text>
    </comment>
    <comment ref="LO14" authorId="0" shapeId="0" xr:uid="{00000000-0006-0000-0100-00001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base de datos solo schema para postgres actualizada</t>
        </r>
        <r>
          <rPr>
            <b/>
            <sz val="8"/>
            <color indexed="81"/>
            <rFont val="Tahoma"/>
            <family val="2"/>
          </rPr>
          <t xml:space="preserve">
Avance:
- Tareas GC
- sesiones por producto
- base de datos solo schema para postgres actualizada
Backlog:
</t>
        </r>
      </text>
    </comment>
    <comment ref="LP14" authorId="0" shapeId="0" xr:uid="{00000000-0006-0000-0100-00001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base de datos solo schema para postgres actualizada
- borrado de carpeta scripts 5.15</t>
        </r>
        <r>
          <rPr>
            <b/>
            <sz val="8"/>
            <color indexed="81"/>
            <rFont val="Tahoma"/>
            <family val="2"/>
          </rPr>
          <t xml:space="preserve">
Avance:
Backlog:
- Ausencia el viernes 12/02
- ejecutar herramienta sclass en el trunk</t>
        </r>
      </text>
    </comment>
    <comment ref="LT14" authorId="0" shapeId="0" xr:uid="{00000000-0006-0000-0100-00002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</t>
        </r>
        <r>
          <rPr>
            <b/>
            <sz val="8"/>
            <color indexed="81"/>
            <rFont val="Tahoma"/>
            <family val="2"/>
          </rPr>
          <t xml:space="preserve">
Avance:
- Tareas GC
Backlog:
</t>
        </r>
        <r>
          <rPr>
            <sz val="8"/>
            <color indexed="81"/>
            <rFont val="Tahoma"/>
            <family val="2"/>
          </rPr>
          <t>- ejecutar herramienta sclass en el trunk
- crear tarea que genere reporte de los scripts de test por versión para incluirlo en el DL. Concatenar ruta del script + descripción del insert en la tabla de log</t>
        </r>
      </text>
    </comment>
    <comment ref="LU14" authorId="0" shapeId="0" xr:uid="{00000000-0006-0000-0100-00002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Avance:
- Tareas GC
Backlog:
</t>
        </r>
        <r>
          <rPr>
            <sz val="8"/>
            <color indexed="81"/>
            <rFont val="Tahoma"/>
            <family val="2"/>
          </rPr>
          <t xml:space="preserve">- ejecutar herramienta sclass en el trunk cuando se hayan subido todos los desarrollos de la 5.15R
</t>
        </r>
      </text>
    </comment>
    <comment ref="LV14" authorId="0" shapeId="0" xr:uid="{00000000-0006-0000-0100-000022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
- ejecutar herramienta sclass en el trunk cuando se hayan subido todos los desarrollos de la 5.15R</t>
        </r>
        <r>
          <rPr>
            <b/>
            <sz val="8"/>
            <color indexed="81"/>
            <rFont val="Tahoma"/>
            <family val="2"/>
          </rPr>
          <t xml:space="preserve">
Avance:
- Tareas GC
- crear tarea que genere reporte de los scripts de test por versión para incluirlo en el DL. Concatenar ruta del script + descripción del insert en la tabla de log
Backlog: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W14" authorId="0" shapeId="0" xr:uid="{00000000-0006-0000-0100-000023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
- ejecutar herramienta sclass en el trunk cuando se hayan subido todos los desarrollos de la 5.15R</t>
        </r>
        <r>
          <rPr>
            <b/>
            <sz val="8"/>
            <color indexed="81"/>
            <rFont val="Tahoma"/>
            <family val="2"/>
          </rPr>
          <t xml:space="preserve">
Avance:
-</t>
        </r>
        <r>
          <rPr>
            <sz val="8"/>
            <color indexed="81"/>
            <rFont val="Tahoma"/>
            <family val="2"/>
          </rPr>
          <t>se modifico la version de dump de produccion
-en remote no se realizo despliegue
-actualizacion entornos informados en el correo.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X14" authorId="0" shapeId="0" xr:uid="{00000000-0006-0000-0100-00002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Avance:
- Tareas GC
- crear tarea que genere reporte de los scripts de test por versión para incluirlo en el DL. Concatenar ruta del script + descripción del insert en la tabla de log
Backlog:
- ejecutar herramienta sclass en el trunk cuando se hayan subido todos los desarrollos de la 5.15R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A14" authorId="0" shapeId="0" xr:uid="{00000000-0006-0000-0100-00002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Avance:
- Tareas GC
- crear tarea que genere reporte de los scripts de test por versión para incluirlo en el DL. Concatenar ruta del script + descripción del insert en la tabla de log
Backlog:
- ejecutar herramienta sclass en el trunk cuando se hayan subido todos los desarrollos de la 5.15R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B14" authorId="0" shapeId="0" xr:uid="{00000000-0006-0000-0100-000026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Tareas GC
-no inicia maquina virtual entorno 77
-restaurar base de datos en entorno 131 (bdd04)
- crear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Backlog:
- ejecutar herramienta sclass en el trunk cuando se hayan subido todos los desarrollos de la 5.15R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C14" authorId="0" shapeId="0" xr:uid="{00000000-0006-0000-0100-000027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-liberacion parche 5.13.x
- crear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Avance:
- release 5.13.7
- Tareas GC
- crear tarea que genere reporte de los scripts de test por versión para incluirlo en el DL. Concatenar ruta del script + descripción del insert en la tabla de log
Backlog:
- ejecutar herramienta sclass en el trunk cuando se hayan subido todos los desarrollos de la 5.15R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D14" authorId="0" shapeId="0" xr:uid="{00000000-0006-0000-0100-000028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Avance:
Backlog:
- ejecutar herramienta sclass en el trunk cuando se hayan subido todos los desarrollos de la 5.15R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E14" authorId="0" shapeId="0" xr:uid="{00000000-0006-0000-0100-00002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Avance:
- release 5.4.6
- Tareas GC
- intalacion de pentaho entorno 66
Backlog:
- ejecutar herramienta sclass en el trunk cuando se hayan subido todos los desarrollos de la 5.15R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H14" authorId="0" shapeId="0" xr:uid="{00000000-0006-0000-0100-00002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Avance:
- Tareas GC
- configuracion indicadores pentaho entorno 66
Backlog:
- ejecutar herramienta sclass en el trunk cuando se hayan subido todos los desarrollos de la 5.15R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I14" authorId="0" shapeId="0" xr:uid="{00000000-0006-0000-0100-00002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Avance:
- Tareas GC
-probando en jenkins tarea que genere reporte de los scripts de test por versión para incluirlo en el DL.
Backlog:
- ejecutar herramienta sclass en el trunk cuando se hayan subido todos los desarrollos de la 5.15R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J14" authorId="0" shapeId="0" xr:uid="{00000000-0006-0000-0100-00002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Avance:
- Tareas GC
-probando en jenkins tarea que genere reporte de los scripts de test por versión para incluirlo en el DL.
Backlog:
- ejecutar herramienta sclass en el trunk cuando se hayan subido todos los desarrollos de la 5.15R</t>
        </r>
        <r>
          <rPr>
            <sz val="8"/>
            <color indexed="81"/>
            <rFont val="Tahoma"/>
            <family val="2"/>
          </rPr>
          <t xml:space="preserve">
-jueves reunion de centro con Ramon</t>
        </r>
      </text>
    </comment>
    <comment ref="MK14" authorId="0" shapeId="0" xr:uid="{00000000-0006-0000-0100-00002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ejecutar herramienta sclass en el trunk cuando se hayan subido todos los desarrollos de la 5.15R
- crear tarea que genere reporte de los scripts de test por versión para incluirlo en el DL. Concatenar ruta del script + descripción del insert en la tabla de log
-cuando se genere un branch que vaya la carpeta de script y documentacion en la estructura
- reunion de centro con Ramon</t>
        </r>
        <r>
          <rPr>
            <b/>
            <sz val="8"/>
            <color indexed="81"/>
            <rFont val="Tahoma"/>
            <family val="2"/>
          </rPr>
          <t xml:space="preserve">
Avance:
- Tareas GC
-probando en jenkins tarea que genere reporte de los scripts de test por versión para incluirlo en el DL.
-ejecucion de herramienta sclass
-reunion con Ramon
Backlog:</t>
        </r>
      </text>
    </comment>
    <comment ref="ML14" authorId="0" shapeId="0" xr:uid="{00000000-0006-0000-0100-00002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
-cuando se genere un branch que vaya la carpeta de script y documentacion en la estructura</t>
        </r>
        <r>
          <rPr>
            <b/>
            <sz val="8"/>
            <color indexed="81"/>
            <rFont val="Tahoma"/>
            <family val="2"/>
          </rPr>
          <t xml:space="preserve">
Avance:
-Tareas GC
-daily
-tarea de generar reporte de script ha dado error en las pruebas.
-creacion de carpeta script y documentacion en nuevos branch
Backlog:</t>
        </r>
      </text>
    </comment>
    <comment ref="MO14" authorId="0" shapeId="0" xr:uid="{00000000-0006-0000-0100-00002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Avance:
- Tareas GC
- crear tarea que genere reporte de los scripts de test por versión para incluirlo en el DL. Concatenar ruta del script + descripción del insert en la tabla de log
• Movimiento de bases de datos al entorno 131: se exporta base de datos de origen y se importa en host 131
Backlog:</t>
        </r>
      </text>
    </comment>
    <comment ref="MP14" authorId="0" shapeId="0" xr:uid="{00000000-0006-0000-0100-00003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crear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Avance:
- Tareas GC
-probando en jenkins tarea que genere reporte de los scripts de test por versión para incluirlo en el DL.
Backlog:</t>
        </r>
      </text>
    </comment>
    <comment ref="MQ14" authorId="0" shapeId="0" xr:uid="{00000000-0006-0000-0100-00003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pruebas de tarea que genere reporte de los scripts de test por versión para incluirlo en el DL. Concatenar ruta del script + descripción del insert en la tabla de log</t>
        </r>
        <r>
          <rPr>
            <b/>
            <sz val="8"/>
            <color indexed="81"/>
            <rFont val="Tahoma"/>
            <family val="2"/>
          </rPr>
          <t xml:space="preserve">
Avance:
- Tareas GC
- pruebas de tarea que genere reporte de los scripts de test por versión para incluirlo en el DL. Concatenar ruta del script + descripción del insert en la tabla de log
- migracion BDD 131
Backlog:</t>
        </r>
      </text>
    </comment>
    <comment ref="MR14" authorId="0" shapeId="0" xr:uid="{00000000-0006-0000-0100-000032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pruebas de tarea que genere reporte de los scripts de test por versión para incluirlo en el DL. Concatenar ruta del script + descripción del insert en la tabla de log
-actualizacion BDD de Remotehs a version 2.4</t>
        </r>
        <r>
          <rPr>
            <b/>
            <sz val="8"/>
            <color indexed="81"/>
            <rFont val="Tahoma"/>
            <family val="2"/>
          </rPr>
          <t xml:space="preserve">
Avance:
- Tareas GC
- actualizacion BDD de Remotehs a version 2.4
- liberacion 5.13.8
- pruebas de tarea que genere reporte de los scripts de test por versión para incluirlo en el DL. Concatenar ruta del script + descripción del insert en la tabla de log
Backlog:</t>
        </r>
      </text>
    </comment>
    <comment ref="MS14" authorId="0" shapeId="0" xr:uid="{00000000-0006-0000-0100-000033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Tareas GC
- documentacion de tarea que genere reporte de los scripts de test por versión para incluirlo en el DL. Concatenar ruta del script + descripción del insert en la tabla de log
</t>
        </r>
        <r>
          <rPr>
            <b/>
            <sz val="8"/>
            <color indexed="81"/>
            <rFont val="Tahoma"/>
            <family val="2"/>
          </rPr>
          <t xml:space="preserve">
Avance:
Backlog:</t>
        </r>
      </text>
    </comment>
    <comment ref="MV14" authorId="12" shapeId="0" xr:uid="{00000000-0006-0000-0100-000034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Tareas de solicitudes de despliegue
Subida scripts de Remotehs
Avance:
Despliegue trunk de Remotehs, problemas script.
Validación upgrade BBDD a la versión 2.4 de Remotehs 
Entorno 76 multi-producto y la 117 Clinic-uci con Oracle
Proceso obtención de logs para scripts de test.
Entorno 128 no se actualizó con 41024.
Backlog:</t>
      </text>
    </comment>
    <comment ref="MW14" authorId="13" shapeId="0" xr:uid="{00000000-0006-0000-0100-000035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Tareas de solicitudes de despliegue
Subida scripts de Remotehs
Avance:
Despliegue trunk de Remotehs, problemas script.
Validación upgrade BBDD a la versión 2.4 de Remotehs 
Entorno 76 multi-producto y la 117 Clinic-uci con Oracle
Proceso obtención de logs para scripts de test.
Entorno 128 no se actualizó con 41024.
Backlog:</t>
      </text>
    </comment>
    <comment ref="MX14" authorId="14" shapeId="0" xr:uid="{00000000-0006-0000-0100-000036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Tareas de solicitudes de despliegue
Subida scripts de Remotehs
Avance:
Despliegue trunk de Remotehs, problemas script.
Validación upgrade BBDD a la versión 2.4 de Remotehs 
Entorno 76 multi-producto y la 117 Clinic-uci con Oracle
Proceso obtención de logs para scripts de test.
Entorno 128 no se actualizó con 41024.
Backlog:</t>
      </text>
    </comment>
    <comment ref="MY14" authorId="0" shapeId="0" xr:uid="{00000000-0006-0000-0100-000037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Tareas de solicitudes de despliegue
Revision error al actualizar BD Oracle stand alone </t>
        </r>
        <r>
          <rPr>
            <b/>
            <sz val="8"/>
            <color indexed="81"/>
            <rFont val="Tahoma"/>
            <family val="2"/>
          </rPr>
          <t xml:space="preserve">
Avance:
Tareas de despliegue
</t>
        </r>
        <r>
          <rPr>
            <b/>
            <u/>
            <sz val="8"/>
            <color indexed="81"/>
            <rFont val="Tahoma"/>
            <family val="2"/>
          </rPr>
          <t>Finalizacion</t>
        </r>
        <r>
          <rPr>
            <b/>
            <sz val="8"/>
            <color indexed="81"/>
            <rFont val="Tahoma"/>
            <family val="2"/>
          </rPr>
          <t xml:space="preserve"> pruebas de tarea que genere reporte de los scripts de test por versión para incluirlo en el DL. Se envia correo.
Revison errores de sintaxis en scripts
Backlog:
</t>
        </r>
      </text>
    </comment>
    <comment ref="MZ14" authorId="0" shapeId="0" xr:uid="{00000000-0006-0000-0100-000038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Tareas de solicitudes de despliegue
Revision error al actualizar BD Oracle stand alone (scr</t>
        </r>
        <r>
          <rPr>
            <b/>
            <sz val="8"/>
            <color indexed="81"/>
            <rFont val="Tahoma"/>
            <family val="2"/>
          </rPr>
          <t xml:space="preserve">
Avance:
Tareas de solicitudes de despliegue
revision BD standalone
Finalizacion pruebas de tarea que genere reporte de los scripts de test por versión para incluirlo en el DL
Backlog:
</t>
        </r>
      </text>
    </comment>
    <comment ref="NC14" authorId="0" shapeId="0" xr:uid="{00000000-0006-0000-0100-00003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Tareas de solicitudes de despliegue
Revision error al actualizar BD Oracle stand alone (scr</t>
        </r>
        <r>
          <rPr>
            <b/>
            <sz val="8"/>
            <color indexed="81"/>
            <rFont val="Tahoma"/>
            <family val="2"/>
          </rPr>
          <t xml:space="preserve">
Avance:
Tareas de solicitudes de despliegue
revision BD standalone
Backlog:
</t>
        </r>
      </text>
    </comment>
    <comment ref="ND14" authorId="0" shapeId="0" xr:uid="{00000000-0006-0000-0100-00003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Tareas de solicitudes de despliegue
Revision error al actualizar BD Oracle stand alone
</t>
        </r>
        <r>
          <rPr>
            <b/>
            <sz val="8"/>
            <color indexed="81"/>
            <rFont val="Tahoma"/>
            <family val="2"/>
          </rPr>
          <t xml:space="preserve">
Avance:
Tareas de solicitudes de despliegue
revision BD standalone
se solicito dump de ICU
Backlog:
</t>
        </r>
      </text>
    </comment>
    <comment ref="NE14" authorId="0" shapeId="0" xr:uid="{00000000-0006-0000-0100-00003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Tareas de solicitudes de despliegue
Revision error al actualizar BD Oracle stand alone</t>
        </r>
        <r>
          <rPr>
            <b/>
            <sz val="8"/>
            <color indexed="81"/>
            <rFont val="Tahoma"/>
            <family val="2"/>
          </rPr>
          <t xml:space="preserve">
Avance:
solo se hizo despliegue del trunk, 128 y 75
verificacion scripts de postgres con maqueta limpia
problema caida steps
daily
Backlog:
</t>
        </r>
      </text>
    </comment>
    <comment ref="NF14" authorId="0" shapeId="0" xr:uid="{00000000-0006-0000-0100-00003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Tareas de solicitudes de despliegue
Revision error al actualizar BD Oracle stand alone
seguimos con problema caida steps
</t>
        </r>
        <r>
          <rPr>
            <b/>
            <sz val="8"/>
            <color indexed="81"/>
            <rFont val="Tahoma"/>
            <family val="2"/>
          </rPr>
          <t xml:space="preserve">
Avance:
tareas de solicitudes de despliegue 
todos se hicieron manual excepto el de la 5.4 de ICU
revision maqueta postgres.
Backlog:
</t>
        </r>
      </text>
    </comment>
    <comment ref="NG14" authorId="0" shapeId="0" xr:uid="{00000000-0006-0000-0100-00003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Tareas de solicitudes de despliegue.
hay que crear las traducciones.
seguimos con problema caida steps
</t>
        </r>
        <r>
          <rPr>
            <b/>
            <sz val="8"/>
            <color indexed="81"/>
            <rFont val="Tahoma"/>
            <family val="2"/>
          </rPr>
          <t xml:space="preserve">
Avance:
tarea de solicitud de despliegue - realizado manualmente.
Realizacion traducciones
daily
Backlog:
</t>
        </r>
      </text>
    </comment>
    <comment ref="NJ14" authorId="0" shapeId="0" xr:uid="{00000000-0006-0000-0100-00003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Tareas de solicitudes de despliegue.
Validar traducciones.
</t>
        </r>
        <r>
          <rPr>
            <b/>
            <sz val="8"/>
            <color indexed="81"/>
            <rFont val="Tahoma"/>
            <family val="2"/>
          </rPr>
          <t xml:space="preserve">
Avance:
tareas de despligues
revision de traducciones
daily
Backlog:
</t>
        </r>
      </text>
    </comment>
    <comment ref="NK14" authorId="0" shapeId="0" xr:uid="{00000000-0006-0000-0100-00003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Tareas de solicitudes de despliegue.
Validar traducciones parte de labels
</t>
        </r>
        <r>
          <rPr>
            <b/>
            <sz val="8"/>
            <color indexed="81"/>
            <rFont val="Tahoma"/>
            <family val="2"/>
          </rPr>
          <t xml:space="preserve">
Avance:
tareas de despligues
revision de traducciones
daily
Backlog:
</t>
        </r>
      </text>
    </comment>
    <comment ref="NL14" authorId="0" shapeId="0" xr:uid="{00000000-0006-0000-0100-00004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Tareas de solicitudes de despliegue.
Validar traducciones parte de labels
</t>
        </r>
        <r>
          <rPr>
            <b/>
            <sz val="8"/>
            <color indexed="81"/>
            <rFont val="Tahoma"/>
            <family val="2"/>
          </rPr>
          <t xml:space="preserve">
Avance:
tareas solicitudes de despliegue
daily
Backlog:
</t>
        </r>
      </text>
    </comment>
    <comment ref="KE15" authorId="0" shapeId="0" xr:uid="{00000000-0006-0000-0100-000041010000}">
      <text>
        <r>
          <rPr>
            <sz val="8"/>
            <color indexed="81"/>
            <rFont val="Tahoma"/>
            <family val="2"/>
          </rPr>
          <t>Este día no se trabajó, pero se toma de vacaciones debido a que el 14 de agosto se imputó como vacaciones pero finalmente se trabajó</t>
        </r>
      </text>
    </comment>
    <comment ref="KG15" authorId="0" shapeId="0" xr:uid="{00000000-0006-0000-0100-000042010000}">
      <text>
        <r>
          <rPr>
            <b/>
            <sz val="8"/>
            <color indexed="81"/>
            <rFont val="Tahoma"/>
            <family val="2"/>
          </rPr>
          <t>Permiso por familiar ingresado</t>
        </r>
      </text>
    </comment>
    <comment ref="KH15" authorId="0" shapeId="0" xr:uid="{00000000-0006-0000-0100-000043010000}">
      <text>
        <r>
          <rPr>
            <b/>
            <sz val="8"/>
            <color indexed="81"/>
            <rFont val="Tahoma"/>
            <family val="2"/>
          </rPr>
          <t>Permiso por familiar ingresado</t>
        </r>
      </text>
    </comment>
    <comment ref="KK15" authorId="0" shapeId="0" xr:uid="{00000000-0006-0000-0100-00004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EHCOSPROD-38924: daily, Soporte técnico
- Annual.
5.15R
- EHCOSPROD-39004 - Formulários (merge, ajustes punto de control, sonar, pruebas, documentación) fin 17/12. Registrar horas punto de control y ajustes
- EHCOSPROD-41970 - Formulários - Macros a nivel de usuario (análisis técnico)
- Oncología (estabilización): EHCOSPROD-42738
- EHCOSPROD-42844: Taller de Nuevos Desarrolladores ehCOS -&gt; revisar plan de formación, calendario de sesiones, con el contenido, los horarios y formadores de cada sesión. Plantean 16h semanales para un total de 40h, comenzando el 18/01/2021
5.15R
- correctivos: EHCOSPROD-42760 (5.6 UCI)
</t>
        </r>
        <r>
          <rPr>
            <b/>
            <sz val="8"/>
            <color indexed="81"/>
            <rFont val="Tahoma"/>
            <family val="2"/>
          </rPr>
          <t>Avance:</t>
        </r>
        <r>
          <rPr>
            <sz val="8"/>
            <color indexed="81"/>
            <rFont val="Tahoma"/>
            <family val="2"/>
          </rPr>
          <t xml:space="preserve">
- EHCOSPROD-38924: daily, Soporte técnico, puesta al día
5.15R
- EHCOSPROD-39004 - Formulários (merge, ajustes punto de control, sonar, pruebas, documentación)
- Oncología (estabilización): EHCOSPROD-42738
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EHCOSPROD-41711 - Añadir configurabilidad en el marco de la hoja de registro de Información de enfermería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EHCOSPROD-40187 - Multi-firma - Campos específicos e históricos de cambios por usuario (análisis técnico)
- EHCOSPROD-40163 - Creación de un período de tiempo para modificación de informes (enviado correo con propuesta para poder realizar acciones genéricas al cargar el informe)
- eliminar componentes que ya no se usan (ehSocialWork, ehTariffSettings, etc)
- Integración: Ordenar canales Mirth. Continuar Mirth prueba y documentación. certificación HL7, realizar examen. Guia de interoperabilidad completa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L15" authorId="0" shapeId="0" xr:uid="{00000000-0006-0000-0100-00004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EHCOSPROD-38924: daily, Soporte técnico
- Annual.
5.15R
- EHCOSPROD-41711 - Añadir configurabilidad en el marco de la hoja de registro de Información de enfermería (revisar con Aida)
- EHCOSPROD-41970 - Formulários - Macros a nivel de usuario (análisis técnico)
- Estimaciones alto nivel Melo
- Oncología (estabilización): 
- EHCOSPROD-42844: Taller de Nuevos Desarrolladores ehCOS -&gt; revisar plan de formación, calendario de sesiones, con el contenido, los horarios y formadores de cada sesión. Plantean 16h semanales para un total de 40h, comenzando el 18/01/2021
- EHCOSPROD-39004 - Formulários (merge trunk a la rama, estabilización)
- correctivos: EHCOSPROD-42760 (5.6 UCI)
</t>
        </r>
        <r>
          <rPr>
            <b/>
            <sz val="8"/>
            <color indexed="81"/>
            <rFont val="Tahoma"/>
            <family val="2"/>
          </rPr>
          <t>Avance:</t>
        </r>
        <r>
          <rPr>
            <sz val="8"/>
            <color indexed="81"/>
            <rFont val="Tahoma"/>
            <family val="2"/>
          </rPr>
          <t xml:space="preserve">
- EHCOSPROD-38924: daily, Soporte técnico
5.15R
- EHCOSPROD-41711 - Añadir configurabilidad en el marco de la hoja de registro de Información de enfermería (revisar)
- EHCOSPROD-39004 - Formulários (merge trunk a la rama, estabilización)
- EHCOSPROD-41970 - Formulários - Macros a nivel de usuario (análisis técnico)
- Estimaciones alto nivel Melo
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EHCOSPROD-40187 - Multi-firma - Campos específicos e históricos de cambios por usuario (análisis técnico)
- EHCOSPROD-40163 - Creación de un período de tiempo para modificación de informes (enviado correo con propuesta para poder realizar acciones genéricas al cargar el informe)
- eliminar componentes que ya no se usan (ehSocialWork, ehTariffSettings, etc)
- Integración: Ordenar canales Mirth. Continuar Mirth prueba y documentación. certificación HL7, realizar examen. Guia de interoperabilidad completa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M15" authorId="0" shapeId="0" xr:uid="{00000000-0006-0000-0100-000046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EHCOSPROD-38924: daily, Soporte técnico
- Annual.
5.15R
- Estimaciones alto nivel Melo
- Oncología (estabilización)
- correctivos: EHCOSPROD-42760 (5.6 UCI)
- EHCOSPROD-39004 - Formulários (merge trunk a la rama, estabilización)
- EHCOSPROD-41711 - Añadir configurabilidad en el marco de la hoja de registro de Información de enfermería (análisis técnico)
- EHCOSPROD-36776 - Llamador de pacientes: poder configurar los llamadores por centro-sección (análisis técnico)
- EHCOSPROD-42844: Taller de Nuevos Desarrolladores ehCOS -&gt; revisar plan de formación, calendario de sesiones, con el contenido, los horarios y formadores de cada sesión. Plantean 16h semanales para un total de 40h, comenzando el 18/01/2021
- EHCOSPROD-41970 - Formulários - Macros a nivel de usuario (desarrollo)
</t>
        </r>
        <r>
          <rPr>
            <b/>
            <sz val="8"/>
            <color indexed="81"/>
            <rFont val="Tahoma"/>
            <family val="2"/>
          </rPr>
          <t>Avance:</t>
        </r>
        <r>
          <rPr>
            <sz val="8"/>
            <color indexed="81"/>
            <rFont val="Tahoma"/>
            <family val="2"/>
          </rPr>
          <t xml:space="preserve">
- EHCOSPROD-38924: daily, Soporte técnico (merge Javi)
5.15R
- Estimaciones alto nivel Melo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EHCOSPROD-40187 - Multi-firma - Campos específicos e históricos de cambios por usuario (análisis técnico)
- EHCOSPROD-40163 - Creación de un período de tiempo para modificación de informes (enviado correo con propuesta para poder realizar acciones genéricas al cargar el informe)
- eliminar componentes que ya no se usan (ehSocialWork, ehTariffSettings, etc)
- Integración: Ordenar canales Mirth. Continuar Mirth prueba y documentación. certificación HL7, realizar examen. Guia de interoperabilidad completa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N15" authorId="0" shapeId="0" xr:uid="{00000000-0006-0000-0100-000047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EHCOSPROD-38924: daily, Soporte técnico
- reunión ehcos
- Annual.
5.15R
- Estimaciones alto nivel Melo
- Oncología (estabilización)
- correctivos: EHCOSPROD-42760 (5.6 UCI)
- EHCOSPROD-41711 - Añadir configurabilidad en el marco de la hoja de registro de Información de enfermería (análisis técnico) inicio 14/01
- EHCOSPROD-36776 - Llamador de pacientes: poder configurar los llamadores por centro-sección (análisis técnico) inicio 15/01
- EHCOSPROD-41970 - Formulários - Macros a nivel de usuario (desarrollo) inicio 18/01/2021, fin 20/01/2021
- EHCOSPROD-39004 - Formulários (merge trunk a la rama, estabilización)
- EHCOSPROD-42844: Taller de Nuevos Desarrolladores ehCOS -&gt; preparar formación, revisar calendario de sesiones
</t>
        </r>
        <r>
          <rPr>
            <b/>
            <sz val="8"/>
            <color indexed="81"/>
            <rFont val="Tahoma"/>
            <family val="2"/>
          </rPr>
          <t xml:space="preserve">Avance:
</t>
        </r>
        <r>
          <rPr>
            <sz val="8"/>
            <color indexed="81"/>
            <rFont val="Tahoma"/>
            <family val="2"/>
          </rPr>
          <t>- EHCOSPROD-38924: daily, Soporte técnico (reunión con Mario para impresión)
- reunión ehcos
5.15R
- correctivos: EHCOSPROD-42760 (5.6 UCI)
- EHCOSPROD-36776 - Llamador de pacientes: poder configurar los llamadores por centro-sección (análisis técnico) inicio 15/01
- EHCOSPROD-41970 - Formulários - Macros a nivel de usuario (desarrollo)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EHCOSPROD-40187 - Multi-firma - Campos específicos e históricos de cambios por usuario (análisis técnico)
- EHCOSPROD-40163 - Creación de un período de tiempo para modificación de informes (enviado correo con propuesta para poder realizar acciones genéricas al cargar el informe)
- eliminar componentes que ya no se usan (ehSocialWork, ehTariffSettings, etc)
- Integración: Ordenar canales Mirth. Continuar Mirth prueba y documentación. certificación HL7, realizar examen. Guia de interoperabilidad completa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O15" authorId="0" shapeId="0" xr:uid="{00000000-0006-0000-0100-000048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EHCOSPROD-38924: daily, Soporte técnico
- Annual.
- soporte a Portugal sobre canales de integración
5.15R
- Estimaciones alto nivel Melo
- Oncología (estabilización)
- EHCOSPROD-41711 - Añadir configurabilidad en el marco de la hoja de registro de Información de enfermería (desarrollo) fin 15/01
- EHCOSPROD-41970 - Formulários - Macros a nivel de usuario (desarrollo) inicio 18/01/2021, fin 20/01/2021
- EHCOSPROD-36776 - Llamador de pacientes: poder configurar los llamadores por centro-sección (seguimiento y soporte, generar rama)
- EHCOSPROD-39004 - Formulários (merge trunk a la rama, estabilización)
- EHCOSPROD-42844: Taller de Nuevos Desarrolladores ehCOS -&gt; preparar formación, revisar calendario de sesiones
</t>
        </r>
        <r>
          <rPr>
            <b/>
            <sz val="8"/>
            <color indexed="81"/>
            <rFont val="Tahoma"/>
            <family val="2"/>
          </rPr>
          <t xml:space="preserve">Avance:
</t>
        </r>
        <r>
          <rPr>
            <sz val="8"/>
            <color indexed="81"/>
            <rFont val="Tahoma"/>
            <family val="2"/>
          </rPr>
          <t>- EHCOSPROD-38924: daily, Soporte técnico
5.15R
- EHCOSPROD-41970 - Formulários - Macros a nivel de usuario (desarrollo) inicio 18/01/2021, fin 20/01/2021
- EHCOSPROD-36776 - Llamador de pacientes: poder configurar los llamadores por centro-sección (seguimiento y soporte, generar rama)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EHCOSPROD-40187 - Multi-firma - Campos específicos e históricos de cambios por usuario (análisis técnico)
- EHCOSPROD-40163 - Creación de un período de tiempo para modificación de informes (enviado correo con propuesta para poder realizar acciones genéricas al cargar el informe)
- eliminar componentes que ya no se usan (ehSocialWork, ehTariffSettings, etc)
- Integración: Ordenar canales Mirth. Continuar Mirth prueba y documentación. certificación HL7, realizar examen. Guia de interoperabilidad completa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R15" authorId="0" shapeId="0" xr:uid="{00000000-0006-0000-0100-00004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EHCOSPROD-38924: daily, Soporte técnico
- Annual.
- soporte a Portugal sobre canales de integración
5.15R
- EHCOSPROD-41711 - Añadir configurabilidad en el marco de la hoja de registro de Información de enfermería (análisis y estimación) fin 18/01
- Oncología (estabilización)
- EHCOSPROD-41970 - Formulários - Macros a nivel de usuario (desarrollo) inicio 18/01/2021, fin 20/01/2021
- EHCOSPROD-36776 - Llamador de pacientes: poder configurar los llamadores por centro-sección (seguimiento y soporte, generar rama)
- EHCOSPROD-42844: Taller de Nuevos Desarrolladores ehCOS -&gt; preparar sesiones formación (28/01 al 3/02)
- EHCOSPROD-39004 - Formulários (merge trunk a la rama, estabilización)
- Estimaciones alto nivel Melo
</t>
        </r>
        <r>
          <rPr>
            <b/>
            <sz val="8"/>
            <color indexed="81"/>
            <rFont val="Tahoma"/>
            <family val="2"/>
          </rPr>
          <t xml:space="preserve">Avance:
</t>
        </r>
        <r>
          <rPr>
            <sz val="8"/>
            <color indexed="81"/>
            <rFont val="Tahoma"/>
            <family val="2"/>
          </rPr>
          <t xml:space="preserve">- EHCOSPROD-38924: daily, Soporte técnico
- soporte a Portugal sobre canales de integración
5.15R
- EHCOSPROD-36776 - Llamador de pacientes: poder configurar los llamadores por centro-sección (seguimiento y soporte, generar rama)
- Oncología (estabilización)
- EHCOSPROD-41711 - Añadir configurabilidad en el marco de la hoja de registro de Información de enfermería (reunión con Mario y Germán)
- EHCOSPROD-42844: Taller de Nuevos Desarrolladores ehCOS -&gt; preparar sesiones formación (28/01 al 3/02)
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EHCOSPROD-40187 - Multi-firma - Campos específicos e históricos de cambios por usuario (análisis técnico)
- EHCOSPROD-40163 - Creación de un período de tiempo para modificación de informes (enviado correo con propuesta para poder realizar acciones genéricas al cargar el informe)
- eliminar componentes que ya no se usan (ehSocialWork, ehTariffSettings, etc)
- Integración: Ordenar canales Mirth. Continuar Mirth prueba y documentación. certificación HL7, realizar examen. Guia de interoperabilidad completa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S15" authorId="0" shapeId="0" xr:uid="{00000000-0006-0000-0100-00004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EHCOSPROD-41970 - Formulários - Macros a nivel de usuario (desarrollo) inicio 18/01/2021, fin 20/01/2021
- EHCOSPROD-41711 - Añadir configurabilidad en el marco de la hoja de registro de Información de enfermería (desarrollo) inicio 21/01, fin 21/01
- Oncología (estabilización)
- EHCOSPROD-36776 - Llamador de pacientes: poder configurar los llamadores por centro-sección (seguimiento y soporte)
- EHCOSPROD-42844: Taller de Nuevos Desarrolladores ehCOS -&gt; preparar sesiones formación (28/01 al 3/02)
- EHCOSPROD-39004 - Formulários (actualizar rama con el trunk, estabilización pendiente de despliegue junto con EHCOSPROD-41970)
- EHCOSPROD-38924: daily, Soporte técnico
- Estimaciones alto nivel Melo
- soporte a Portugal sobre canales de integración
- Annual.
</t>
        </r>
        <r>
          <rPr>
            <b/>
            <sz val="8"/>
            <color indexed="81"/>
            <rFont val="Tahoma"/>
            <family val="2"/>
          </rPr>
          <t xml:space="preserve">Avance:
</t>
        </r>
        <r>
          <rPr>
            <sz val="8"/>
            <color indexed="81"/>
            <rFont val="Tahoma"/>
            <family val="2"/>
          </rPr>
          <t>- EHCOSPROD-41970 - Formulários - Macros a nivel de usuario (desarrollo)
- Oncología (estabilización)
- EHCOSPROD-38924: daily, Soporte técnico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EHCOSPROD-40187 - Multi-firma - Campos específicos e históricos de cambios por usuario (análisis técnico)
- EHCOSPROD-40163 - Creación de un período de tiempo para modificación de informes (enviado correo con propuesta para poder realizar acciones genéricas al cargar el informe)
- eliminar componentes que ya no se usan (ehSocialWork, ehTariffSettings, etc)
- Integración: Ordenar canales Mirth. Continuar Mirth prueba y documentación. certificación HL7, realizar examen. Guia de interoperabilidad completa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T15" authorId="0" shapeId="0" xr:uid="{00000000-0006-0000-0100-00004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EHCOSPROD-41970 - Formulários - Macros a nivel de usuario (doducmentación, registrar avance en excel) inicio 18/01/2021, fin 20/01/2021
- EHCOSPROD-41711 - Añadir configurabilidad en el marco de la hoja de registro de Información de enfermería (desarrollo) inicio 21/01, fin 21/01
- Oncología (estabilización)
- EHCOSPROD-36776 - Llamador de pacientes: poder configurar los llamadores por centro-sección (seguimiento y soporte)
- EHCOSPROD-42844: Taller de Nuevos Desarrolladores ehCOS -&gt; preparar sesiones formación (28/01 al 3/02)
- EHCOSPROD-39004 - Formulários (actualizar rama con el trunk, estabilización pendiente de despliegue junto con EHCOSPROD-41970)
- EHCOSPROD-38924: daily, Soporte técnico
- Estimaciones alto nivel Melo
- soporte a Portugal sobre canales de integración
- Annual.
- Daily
</t>
        </r>
        <r>
          <rPr>
            <b/>
            <sz val="8"/>
            <color indexed="81"/>
            <rFont val="Tahoma"/>
            <family val="2"/>
          </rPr>
          <t xml:space="preserve">Avance:
- EHCOSPROD-41970 - Formulários - Macros a nivel de usuario (documentación, desarrollo)
- EHCOSPROD-41711 - Añadir configurabilidad en el marco de la hoja de registro de Información de enfermería (desarrollo)
- EHCOSPROD-38924: daily, Soporte técnico
Backlog:
</t>
        </r>
        <r>
          <rPr>
            <sz val="8"/>
            <color indexed="81"/>
            <rFont val="Tahoma"/>
            <family val="2"/>
          </rPr>
          <t>- EHCOSPROD-40187 - Multi-firma - Campos específicos e históricos de cambios por usuario (análisis técnico)
- EHCOSPROD-40163 - Creación de un período de tiempo para modificación de informes (enviado correo con propuesta para poder realizar acciones genéricas al cargar el informe)
- eliminar componentes que ya no se usan (ehSocialWork, ehTariffSettings, etc)
- Integración: Ordenar canales Mirth. Continuar Mirth prueba y documentación. certificación HL7, realizar examen. Guia de interoperabilidad completa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U15" authorId="0" shapeId="0" xr:uid="{00000000-0006-0000-0100-00004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EHCOSPROD-41711 - Añadir configurabilidad en el marco de la hoja de registro de Información de enfermería (desarrollo) inicio 21/01, fin 21/01
- Oncología (estabilización)
- EHCOSPROD-42844: Taller de Nuevos Desarrolladores ehCOS -&gt; preparar sesiones formación (28/01 al 3/02)
- EHCOSPROD-39004, EHCOSPROD-41970 - Formulários (actualizar rama con el trunk, estabilización pendiente de despliegue)
- EHCOSPROD-38924: daily, Soporte técnico
- Estimaciones alto nivel Melo
- soporte a Portugal sobre canales de integración
- Annual
</t>
        </r>
        <r>
          <rPr>
            <b/>
            <sz val="8"/>
            <color indexed="81"/>
            <rFont val="Tahoma"/>
            <family val="2"/>
          </rPr>
          <t xml:space="preserve">Avance:
- EHCOSPROD-41711 - Añadir configurabilidad en el marco de la hoja de registro de Información de enfermería (desarrollo)
- EHCOSPROD-42844: Taller de Nuevos Desarrolladores ehCOS -&gt; preparar sesiones formación (28/01 al 3/02)
- EHCOSPROD-38924: daily, Soporte técnico
Backlog:
</t>
        </r>
        <r>
          <rPr>
            <sz val="8"/>
            <color indexed="81"/>
            <rFont val="Tahoma"/>
            <family val="2"/>
          </rPr>
          <t>- EHCOSPROD-40187 - Multi-firma - Campos específicos e históricos de cambios por usuario (análisis técnico)
- EHCOSPROD-40163 - Creación de un período de tiempo para modificación de informes (enviado correo con propuesta para poder realizar acciones genéricas al cargar el informe)
- eliminar componentes que ya no se usan (ehSocialWork, ehTariffSettings, etc)
- Integración: Ordenar canales Mirth. Continuar Mirth prueba y documentación. certificación HL7, realizar examen. Guia de interoperabilidad completa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Y15" authorId="0" shapeId="0" xr:uid="{00000000-0006-0000-0100-00004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a Portugal sobre canales de integración
- Estimaciones alto nivel Melo
- correctivo trunk: EHCOSPROD-42760 - Error al abrir informe tras el cambio de diagnósticos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EHCOSPROD-41711 - Añadir configurabilidad en el marco de la hoja de registro de Información de enfermería (desarrollo) inicio 21/01, fin 21/01
- EHCOSPROD-40187 - Multi-firma - Campos específicos e históricos de cambios por usuario (análisis técnico)
- Oncología (estabilización)
- EHCOSPROD-42844: Taller de Nuevos Desarrolladores ehCOS -&gt; preparar sesiones formación (28/01 al 3/02)
- EHCOSPROD-39004, EHCOSPROD-41970 - Formulários (actualizar rama con el trunk, estabilización pendiente de despliegue)
- EHCOSPROD-38924: daily, Soporte técnico
- Annual
</t>
        </r>
        <r>
          <rPr>
            <b/>
            <sz val="8"/>
            <color indexed="81"/>
            <rFont val="Tahoma"/>
            <family val="2"/>
          </rPr>
          <t>Avance:
- reunión revisiones catálogos
- EHCOSPROD-41711 - Añadir configurabilidad en el marco de la hoja de registro de Información de enfermería (desarrollo)
- EHCOSPROD-42844: Taller de Nuevos Desarrolladores ehCOS -&gt; preparar sesiones formación (28/01 al 3/02)
- EHCOSPROD-38924: daily, Soporte técnico
Backlog:</t>
        </r>
        <r>
          <rPr>
            <sz val="8"/>
            <color indexed="81"/>
            <rFont val="Tahoma"/>
            <family val="2"/>
          </rPr>
          <t xml:space="preserve">
- EHCOSPROD-40163 - Creación de un período de tiempo para modificación de informes (enviado correo con propuesta para poder realizar acciones genéricas al cargar el informe)
- ECOSPROD-40354 - Agenda- Configuraciones y Parametrización (análisis técnico)
- eliminar componentes que ya no se usan (ehSocialWork, ehTariffSettings, etc)
- Integración: Ordenar canales Mirth. Continuar Mirth prueba y documentación. certificación HL7, realizar examen. Guia de interoperabilidad completa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Z15" authorId="0" shapeId="0" xr:uid="{00000000-0006-0000-0100-00004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a Portugal sobre canales de integración
- Estimaciones alto nivel Melo tras resolver dudas
- EHCOSPROD-39887 - Fusión de formularios clínicos y administrativos (análisis técnico)
- EHCOSPROD-41711 - Añadir configurabilidad en el marco de la hoja de registro de Información de enfermería (revisión scripts)
- correctivo trunk: EHCOSPROD-42760 - Error al abrir informe tras el cambio de diagnósticos
- EHCOSPROD-42844: Taller de Nuevos Desarrolladores ehCOS -&gt; preparar sesiones formación (28/01 al 3/02)
- Oncología (estabilización)
- Integración: Ordenar canales Mirth. Continuar Mirth prueba y documentación. certificación HL7, realizar examen. Guia de interoperabilidad completa
- EHCOSPROD-38924: daily, Soporte técnico
</t>
        </r>
        <r>
          <rPr>
            <b/>
            <sz val="8"/>
            <color indexed="81"/>
            <rFont val="Tahoma"/>
            <family val="2"/>
          </rPr>
          <t>Avance:
- EHCOSPROD-42844: Taller de Nuevos Desarrolladores ehCOS -&gt; preparar sesiones formación (28/01 al 3/02)
- Estimaciones alto nivel Melo tras resolver dudas
- soporte a Portugal sobre canales de integración
- EHCOSPROD-41711 - Añadir configurabilidad en el marco de la hoja de registro de Información de enfermería (revisión scripts)
- EHCOSPROD-38924: daily, Soporte técnico
Backlog:</t>
        </r>
        <r>
          <rPr>
            <sz val="8"/>
            <color indexed="81"/>
            <rFont val="Tahoma"/>
            <family val="2"/>
          </rPr>
          <t xml:space="preserve">
- Completar Annual
- EHCOSPROD-40187 - Multi-firma - Campos específicos e históricos de cambios por usuario (análisis técnico)
- EHCOSPROD-40354 - Agenda- Configuraciones y Parametrización (análisis técnico)
- EHCOSPROD-40163 - Creación de un período de tiempo para modificación de informes (enviado correo con propuesta para poder realizar acciones genéricas al cargar el informe)
- ECOSPROD-40354 - Agenda- Configuraciones y Parametrización (análisis técnico)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A15" authorId="0" shapeId="0" xr:uid="{00000000-0006-0000-0100-00004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a Portugal sobre canales de integración
- Estimaciones alto nivel Melo tras resolver dudas (desarrollos de cex relacionados)
- EHCOSPROD-39887 - Fusión de formularios clínicos y administrativos (análisis técnico)
- EHCOSPROD-42844: Taller de Nuevos Desarrolladores ehCOS -&gt; preparar sesiones formación (28/01 al 3/02)
- Oncología (estabilización)
- correctivo trunk: EHCOSPROD-42760 - Error al abrir informe tras el cambio de diagnósticos
- Integración: Ordenar canales Mirth. Continuar Mirth prueba y documentación. certificación HL7, realizar examen. Guia de interoperabilidad completa
- EHCOSPROD-38924: daily, Soporte técnico
</t>
        </r>
        <r>
          <rPr>
            <b/>
            <sz val="8"/>
            <color indexed="81"/>
            <rFont val="Tahoma"/>
            <family val="2"/>
          </rPr>
          <t>Avance:
- soporte a Portugal sobre canales de integración
- Estimaciones alto nivel Melo tras resolver dudas (desarrollos de cex relacionados)
- EHCOSPROD-42844: Taller de Nuevos Desarrolladores ehCOS -&gt; preparar sesiones formación (28/01 al 3/02)
- correctivo trunk: impresión informes quitando acción adicional para borrar jrxml plantilla (UCI)
- EHCOSPROD-38924: daily, Soporte técnico
Backlog:</t>
        </r>
        <r>
          <rPr>
            <sz val="8"/>
            <color indexed="81"/>
            <rFont val="Tahoma"/>
            <family val="2"/>
          </rPr>
          <t xml:space="preserve">
- Completar Annual
- EHCOSPROD-40187 - Multi-firma - Campos específicos e históricos de cambios por usuario (análisis técnico)
- EHCOSPROD-40354 - Agenda- Configuraciones y Parametrización (análisis técnico)
- EHCOSPROD-40163 - Creación de un período de tiempo para modificación de informes (enviado correo con propuesta para poder realizar acciones genéricas al cargar el informe)
- ECOSPROD-40354 - Agenda- Configuraciones y Parametrización (análisis técnico)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F15" authorId="0" shapeId="0" xr:uid="{00000000-0006-0000-0100-000050010000}">
      <text>
        <r>
          <rPr>
            <b/>
            <sz val="8"/>
            <color indexed="81"/>
            <rFont val="Tahoma"/>
            <family val="2"/>
          </rPr>
          <t>Permiso por fallecimiento de familiar</t>
        </r>
      </text>
    </comment>
    <comment ref="LG15" authorId="0" shapeId="0" xr:uid="{00000000-0006-0000-0100-000051010000}">
      <text>
        <r>
          <rPr>
            <b/>
            <sz val="8"/>
            <color indexed="81"/>
            <rFont val="Tahoma"/>
            <family val="2"/>
          </rPr>
          <t>Permiso por fallecimiento de familiar</t>
        </r>
      </text>
    </comment>
    <comment ref="LH15" authorId="0" shapeId="0" xr:uid="{00000000-0006-0000-0100-000052010000}">
      <text>
        <r>
          <rPr>
            <b/>
            <sz val="8"/>
            <color indexed="81"/>
            <rFont val="Tahoma"/>
            <family val="2"/>
          </rPr>
          <t>Permiso por fallecimiento de familiar</t>
        </r>
      </text>
    </comment>
    <comment ref="LI15" authorId="0" shapeId="0" xr:uid="{00000000-0006-0000-0100-000053010000}">
      <text>
        <r>
          <rPr>
            <b/>
            <sz val="8"/>
            <color indexed="81"/>
            <rFont val="Tahoma"/>
            <family val="2"/>
          </rPr>
          <t>Permiso por fallecimiento de familiar</t>
        </r>
      </text>
    </comment>
    <comment ref="LT15" authorId="0" shapeId="0" xr:uid="{00000000-0006-0000-0100-00005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puesta al día
- EHCOSPROD-39004 / EHCOSPROD-41970 - Macros (actualizar rama con el trunk, estabilización pendiente de despliegue)
- correctivos 5.15R: EHCOSPROD-42760 - Error al abrir informe tras el cambio de diagnósticos
- EHCOSPROD-40354 / EHCOSPROD-44348 - Análisis técnico: Agendas - Configurações e Parametrização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- EHCOSPROD-42844: Taller de Nuevos Desarrolladores ehCOS -&gt; preparar sesiones formación (28/01 al 3/02)
- EHCOSPROD-38924: daily, Soporte técnico
</t>
        </r>
        <r>
          <rPr>
            <b/>
            <sz val="8"/>
            <color indexed="81"/>
            <rFont val="Tahoma"/>
            <family val="2"/>
          </rPr>
          <t>Avance:
- puesta al día
- EHCOSPROD-39004 / EHCOSPROD-41970 - Macros (actualizar rama con el trunk, estabilización pendiente de despliegue)
- EHCOSPROD-42844: Taller de Nuevos Desarrolladores ehCOS -&gt; preparar sesiones formación (28/01 al 3/02)
- EHCOSPROD-38924: daily, Soporte técnico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EHCOSPROD-40187 - Multi-firma - Campos específicos e históricos de cambios por usuario (análisis técnico)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U15" authorId="0" shapeId="0" xr:uid="{00000000-0006-0000-0100-00005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5.15R: EHCOSPROD-42760 - Error al abrir informe tras el cambio de diagnósticos
- EHCOSPROD-42844: Taller de Nuevos Desarrolladores ehCOS -&gt; preparar sesiones formación (17/02)
- EHCOSPROD-40354 / EHCOSPROD-44348 - Análisis técnico: Agendas - Configurações e Parametrização
- EHCOSPROD-39004 / EHCOSPROD-41970 - Macros (actualizar rama con el trunk, estabilización 128)
- EHCOSPROD-38924: daily, Soporte técnico
</t>
        </r>
        <r>
          <rPr>
            <b/>
            <sz val="8"/>
            <color indexed="81"/>
            <rFont val="Tahoma"/>
            <family val="2"/>
          </rPr>
          <t>Avance:
- correctivos 5.15R: EHCOSPROD-42760 - Error al abrir informe tras el cambio de diagnóstico
- EHCOSPROD-40564 - Pesquisa de Vagas - Horário e data (soporte Javi análisis técnico)
- EHCOSPROD-38924: daily, Soporte técnico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EHCOSPROD-40187 - Multi-firma - Campos específicos e históricos de cambios por usuario (análisis técnico)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V15" authorId="0" shapeId="0" xr:uid="{00000000-0006-0000-0100-000056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EHCOSPROD-42844: Taller de Nuevos Desarrolladores ehCOS -&gt; sesión formación (17/02) Registrar horas de preparación y sesión en JIRA
- EHCOSPROD-40354 / EHCOSPROD-44348 - Análisis técnico: Agendas - Configurações e Parametrização
- EHCOSPROD-39004 / EHCOSPROD-41970 - Macros (actualizar rama con el trunk, estabilización 128)
- EHCOSPROD-38924: daily, Soporte técnico
</t>
        </r>
        <r>
          <rPr>
            <b/>
            <sz val="8"/>
            <color indexed="81"/>
            <rFont val="Tahoma"/>
            <family val="2"/>
          </rPr>
          <t>Avance:
- EHCOSPROD-42844: Taller de Nuevos Desarrolladores ehCOS -&gt; sesión formación (17/02) Registrar horas de preparación y sesión en JIRA
- EHCOSPROD-40354 / EHCOSPROD-44348 - Análisis técnico: Agendas - Configurações e Parametrização
- EHCOSPROD-38924: daily, Soporte técnico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W15" authorId="0" shapeId="0" xr:uid="{00000000-0006-0000-0100-000057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EHCOSPROD-44540 - ehCOS CUF - Ações de Formulários (soporte)
- correctivos 5.15R: EHCOSPROD-44557 - Hoja de enfermería con parámetro no funciona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EHCOSPROD-40354 / EHCOSPROD-44348 - Análisis técnico: Agendas - Configurações e Parametrização
- EHCOSPROD-39004 / EHCOSPROD-41970 - Macros (actualizar rama con el trunk, estabilización 128)
- EHCOSPROD-38924: daily, Soporte técnico
</t>
        </r>
        <r>
          <rPr>
            <b/>
            <sz val="8"/>
            <color indexed="81"/>
            <rFont val="Tahoma"/>
            <family val="2"/>
          </rPr>
          <t>Avance:
- EHCOSPROD-44540 - ehCOS CUF - Ações de Formulários (soporte)
- correctivos 5.15R: EHCOSPROD-44557 - Hoja de enfermería con parámetro no funciona
- EHCOSPROD-40354 / EHCOSPROD-44348 - Análisis técnico: Agendas - Configurações e Parametrização
- EHCOSPROD-38924: daily, Soporte técnico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X15" authorId="0" shapeId="0" xr:uid="{00000000-0006-0000-0100-000058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Análisis técnico: Agendas - Configurações e Parametrização. </t>
        </r>
        <r>
          <rPr>
            <b/>
            <sz val="8"/>
            <color indexed="81"/>
            <rFont val="Tahoma"/>
            <family val="2"/>
          </rPr>
          <t>fin ¿?</t>
        </r>
        <r>
          <rPr>
            <sz val="8"/>
            <color indexed="81"/>
            <rFont val="Tahoma"/>
            <family val="2"/>
          </rPr>
          <t xml:space="preserve">
- EHCOSPROD-39004 / EHCOSPROD-41970 - Macros (actualizar rama con el trunk, estabilización 128)
- revisar documentación de los evolutivos de la 5.15 que haya analizado (incluir marca confidencialidad)
- EHCOSPROD-38924: daily, Soporte técnico
</t>
        </r>
        <r>
          <rPr>
            <b/>
            <sz val="8"/>
            <color indexed="81"/>
            <rFont val="Tahoma"/>
            <family val="2"/>
          </rPr>
          <t>Avance:
- EHCOSPROD-40354 / EHCOSPROD-44348 - Análisis técnico: Agendas - Configurações e Parametrização.
- EHCOSPROD-38924: daily, Soporte técnico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A15" authorId="0" shapeId="0" xr:uid="{00000000-0006-0000-0100-00005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Análisis técnico: Agendas - Configurações e Parametrização. </t>
        </r>
        <r>
          <rPr>
            <b/>
            <sz val="8"/>
            <color indexed="81"/>
            <rFont val="Tahoma"/>
            <family val="2"/>
          </rPr>
          <t>fin 23/02 (cambiar estado análisis a en progreso, revisión con Sandra)</t>
        </r>
        <r>
          <rPr>
            <sz val="8"/>
            <color indexed="81"/>
            <rFont val="Tahoma"/>
            <family val="2"/>
          </rPr>
          <t xml:space="preserve">
- EHCOSPROD-39004 / EHCOSPROD-41970 - Macros (actualizar rama con el trunk, estabilización 128)
- revisar documentación de los evolutivos de la 5.15 que haya analizado (incluir marca confidencialidad)
- EHCOSPROD-38924: daily, Soporte técnico
</t>
        </r>
        <r>
          <rPr>
            <b/>
            <sz val="8"/>
            <color indexed="81"/>
            <rFont val="Tahoma"/>
            <family val="2"/>
          </rPr>
          <t>Avance:
- EHCOSPROD-40354 / EHCOSPROD-44348 - Análisis técnico: Agendas - Configurações e Parametrização.
- Soporte técnico
- EHCOSPROD-38924: daily, 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B15" authorId="0" shapeId="0" xr:uid="{00000000-0006-0000-0100-00005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Análisis técnico: Agendas - Configurações e Parametrização. </t>
        </r>
        <r>
          <rPr>
            <b/>
            <sz val="8"/>
            <color indexed="81"/>
            <rFont val="Tahoma"/>
            <family val="2"/>
          </rPr>
          <t>fin 23/02</t>
        </r>
        <r>
          <rPr>
            <sz val="8"/>
            <color indexed="81"/>
            <rFont val="Tahoma"/>
            <family val="2"/>
          </rPr>
          <t xml:space="preserve">
- EHCOSPROD-39004 / EHCOSPROD-41970 - Macros (actualizar rama con el trunk, estabilización 128)
- EHCOSPROD-38924: daily, Soporte técnico
</t>
        </r>
        <r>
          <rPr>
            <b/>
            <sz val="8"/>
            <color indexed="81"/>
            <rFont val="Tahoma"/>
            <family val="2"/>
          </rPr>
          <t>Avance:
- EHCOSPROD-40354 / EHCOSPROD-44348 - Análisis técnico: Agendas - Configurações e Parametrização
- EHCOSPROD-39004 / EHCOSPROD-41970 - Macros (actualizar rama con el trunk, merge al trunk)
- Soporte Portugal: revisión triggers editor de informes
- EHCOSPROD-38924: daily, Soporte técnico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C15" authorId="0" shapeId="0" xr:uid="{00000000-0006-0000-0100-00005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Análisis técnico: Agendas - Configurações e Parametrização. </t>
        </r>
        <r>
          <rPr>
            <b/>
            <sz val="8"/>
            <color indexed="81"/>
            <rFont val="Tahoma"/>
            <family val="2"/>
          </rPr>
          <t>fin 24/02</t>
        </r>
        <r>
          <rPr>
            <sz val="8"/>
            <color indexed="81"/>
            <rFont val="Tahoma"/>
            <family val="2"/>
          </rPr>
          <t xml:space="preserve">
- correctivos 5.15R: EHCOSPROD-44673 - PMG/Hospital de día/Programar solicitud de turno agendas avanzadas - ERROR LOG.
- EHCOSPROD-38924: daily, Soporte técnico
</t>
        </r>
        <r>
          <rPr>
            <b/>
            <sz val="8"/>
            <color indexed="81"/>
            <rFont val="Tahoma"/>
            <family val="2"/>
          </rPr>
          <t>Avance:
- EHCOSPROD-40354 / EHCOSPROD-44348 - Análisis técnico: Agendas - Configurações e Parametrização.
- EHCOSPROD-38924: daily, Soporte técnico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D15" authorId="0" shapeId="0" xr:uid="{00000000-0006-0000-0100-00005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Análisis técnico: Agendas - Configurações e Parametrização (generar rama y aplicar cambios entidades). </t>
        </r>
        <r>
          <rPr>
            <b/>
            <sz val="8"/>
            <color indexed="81"/>
            <rFont val="Tahoma"/>
            <family val="2"/>
          </rPr>
          <t>fin 25/02</t>
        </r>
        <r>
          <rPr>
            <sz val="8"/>
            <color indexed="81"/>
            <rFont val="Tahoma"/>
            <family val="2"/>
          </rPr>
          <t xml:space="preserve">
- correctivos 5.14R: editor de informes (EHCOSPROD-44766, EHCOSPROD-44765, EHCOSPROD-44763, EHCOSPROD-44762)
- correctivos 5.15R: EHCOSPROD-44673 - PMG/Hospital de día/Programar solicitud de turno agendas avanzadas - ERROR LOG.
- EHCOSPROD-38924: daily, Soporte técnico
</t>
        </r>
        <r>
          <rPr>
            <b/>
            <sz val="8"/>
            <color indexed="81"/>
            <rFont val="Tahoma"/>
            <family val="2"/>
          </rPr>
          <t>Avance:
- correctivos 5.14R: editor de informes (EHCOSPROD-44766, EHCOSPROD-44765, EHCOSPROD-44763, EHCOSPROD-44762)
- correctivos 5.15R: EHCOSPROD-44673 - PMG/Hospital de día/Programar solicitud de turno agendas avanzadas - ERROR LOG.
- EHCOSPROD-38924: daily, Soporte técnico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E15" authorId="0" shapeId="0" xr:uid="{00000000-0006-0000-0100-00005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Análisis técnico: Agendas - Configurações e Parametrização (generar rama y aplicar cambios entidades). </t>
        </r>
        <r>
          <rPr>
            <b/>
            <sz val="8"/>
            <color indexed="81"/>
            <rFont val="Tahoma"/>
            <family val="2"/>
          </rPr>
          <t>fin 25/02</t>
        </r>
        <r>
          <rPr>
            <sz val="8"/>
            <color indexed="81"/>
            <rFont val="Tahoma"/>
            <family val="2"/>
          </rPr>
          <t xml:space="preserve">
- EHCOSPROD-40354 / EHCOSPROD-44348 - Desarrollo: Agendas - Configurações e Parametrização .
- correctivos 5.14R: editor de informes (EHCOSPROD-44763)
- EHCOSPROD-38924: daily, Soporte técnico
</t>
        </r>
        <r>
          <rPr>
            <b/>
            <sz val="8"/>
            <color indexed="81"/>
            <rFont val="Tahoma"/>
            <family val="2"/>
          </rPr>
          <t>Avance:
EHCOSPROD-40354 / EHCOSPROD-44348 - Análisis técnico: Agendas - Configurações e Parametrização (generar rama y aplicar cambios entidades). cerrar  dt entidades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H15" authorId="0" shapeId="0" xr:uid="{00000000-0006-0000-0100-00005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.
- EHCOSPROD-38924: daily, Soporte técnico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. 
- EHCOSPROD-38924: daily, Soporte técnico Gestión
- Reunión Sandra estado resumenes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I15" authorId="0" shapeId="0" xr:uid="{00000000-0006-0000-0100-00005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.
- EHCOSPROD-38924: daily, Soporte técnico Gestión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. (Desarrollo)
-Revisión Javier Hurtado Problemas servicio rest autentificación
- EHCOSPROD-38924: daily, Soporte técnico Gestión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J15" authorId="0" shapeId="0" xr:uid="{00000000-0006-0000-0100-00006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.
- EHCOSPROD-38924: daily, Soporte técnico Gestión
- Reunión editor Mario (falta agregar fecha)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.
- EHCOSPROD-38924: daily, Soporte técnico Gestión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K15" authorId="0" shapeId="0" xr:uid="{00000000-0006-0000-0100-00006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Revisión dudas editor de informes con Mario
- EHCOSPROD-38924: daily, Soporte técnico Gestión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- EHCOSPROD-38924: daily, Soporte técnico Gestión (seguimiento)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L15" authorId="0" shapeId="0" xr:uid="{00000000-0006-0000-0100-000062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O15" authorId="0" shapeId="0" xr:uid="{00000000-0006-0000-0100-000063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</t>
        </r>
        <r>
          <rPr>
            <b/>
            <sz val="8"/>
            <color indexed="81"/>
            <rFont val="Tahoma"/>
            <family val="2"/>
          </rPr>
          <t>Avance:
daily y preparación 
Ayuda patricio entorno y soporte 
Preparación y organización de tareas 
Daily temuco 
Dudas y soportes 
Reunión escalas 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P15" authorId="0" shapeId="0" xr:uid="{00000000-0006-0000-0100-00006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- EHCOSPROD-38924: daily, Soporte técnico Gestión y reuniones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Q15" authorId="0" shapeId="0" xr:uid="{00000000-0006-0000-0100-00006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- EHCOSPROD-38924: daily, Soporte técnico Gestión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R15" authorId="0" shapeId="0" xr:uid="{00000000-0006-0000-0100-000066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</t>
        </r>
        <r>
          <rPr>
            <b/>
            <sz val="8"/>
            <color indexed="81"/>
            <rFont val="Tahoma"/>
            <family val="2"/>
          </rPr>
          <t>Avance:
- Sesiones por producto
- EHCOSPROD-40354 / EHCOSPROD-44348 - Desarrollo: Agendas - Configurações e Parametrização (desarrollo con Patricio)
- EHCOSPROD-38924: daily, Soporte técnico Gestión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S15" authorId="0" shapeId="0" xr:uid="{00000000-0006-0000-0100-000067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- EHCOSPROD-38924: daily, Soporte técnico Gestión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V15" authorId="0" shapeId="0" xr:uid="{00000000-0006-0000-0100-000068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- EHCOSPROD-38924: daily, Soporte técnico Gestión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W15" authorId="0" shapeId="0" xr:uid="{00000000-0006-0000-0100-00006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- Seguimiento de evolutivos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- EHCOSPROD-38924: daily, Soporte técnico Gestión
- Seguimiento de evolutivos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X15" authorId="0" shapeId="0" xr:uid="{00000000-0006-0000-0100-00006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- Seguimiento de evolutivos
</t>
        </r>
        <r>
          <rPr>
            <b/>
            <sz val="8"/>
            <color indexed="81"/>
            <rFont val="Tahoma"/>
            <family val="2"/>
          </rPr>
          <t>Avance: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Y15" authorId="0" shapeId="0" xr:uid="{00000000-0006-0000-0100-00006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- Seguimiento de evolutivos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- EHCOSPROD-38924: daily, Soporte técnico Gestión
- Seguimiento de evolutivos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NC15" authorId="0" shapeId="0" xr:uid="{00000000-0006-0000-0100-00006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- Seguimiento de evolutivos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- EHCOSPROD-38924: daily, Soporte técnico Gestión
- Seguimiento de evolutivos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ND15" authorId="0" shapeId="0" xr:uid="{00000000-0006-0000-0100-00006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- Seguimiento de evolutivos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- EHCOSPROD-38924: daily, Soporte técnico Gestión
- Seguimiento de evolutivos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NE15" authorId="0" shapeId="0" xr:uid="{00000000-0006-0000-0100-00006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- Seguimiento de evolutivos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- EHCOSPROD-38924: daily, Soporte técnico Gestión
- Seguimiento de evolutivos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NF15" authorId="0" shapeId="0" xr:uid="{00000000-0006-0000-0100-00006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- Seguimiento de evolutivos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- EHCOSPROD-38924: daily, Soporte técnico Gestión
- Seguimiento de evolutivos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NG15" authorId="0" shapeId="0" xr:uid="{00000000-0006-0000-0100-00007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- Seguimiento de evolutivos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- EHCOSPROD-38924: daily, Soporte técnico Gestión
- Seguimiento de evolutivos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NJ15" authorId="0" shapeId="0" xr:uid="{00000000-0006-0000-0100-00007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- Seguimiento de evolutivos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- EHCOSPROD-38924: daily, Soporte técnico Gestión
- Seguimiento de evolutivos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NK15" authorId="0" shapeId="0" xr:uid="{00000000-0006-0000-0100-000072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- Seguimiento de evolutivos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NL15" authorId="0" shapeId="0" xr:uid="{00000000-0006-0000-0100-000073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- Seguimiento de evolutivos
</t>
        </r>
        <r>
          <rPr>
            <b/>
            <sz val="8"/>
            <color indexed="81"/>
            <rFont val="Tahoma"/>
            <family val="2"/>
          </rPr>
          <t>Avance:
- EHCOSPROD-40354 / EHCOSPROD-44348 - Desarrollo: Agendas - Configurações e Parametrização (desarrollo con Patricio)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R16" authorId="0" shapeId="0" xr:uid="{00000000-0006-0000-0100-00007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actualización entorno desarrollo
- correctivos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S16" authorId="0" shapeId="0" xr:uid="{00000000-0006-0000-0100-00007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EHCOSPROD-39455 (estabilización)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correctivos 5.15R
- Daily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T16" authorId="0" shapeId="0" xr:uid="{00000000-0006-0000-0100-000076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U16" authorId="0" shapeId="0" xr:uid="{00000000-0006-0000-0100-000077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</t>
        </r>
      </text>
    </comment>
    <comment ref="KV16" authorId="0" shapeId="0" xr:uid="{00000000-0006-0000-0100-000078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actualización entorno desarrollo
- correctivos 5.15 R
- mejora de incono evolutivo EHCOSPROD-39455</t>
        </r>
        <r>
          <rPr>
            <b/>
            <sz val="8"/>
            <color indexed="81"/>
            <rFont val="Tahoma"/>
            <family val="2"/>
          </rPr>
          <t xml:space="preserve">
Avance:
Daily
5.15R
- actualización entorno desarrollo
- correctivos 5.15 R
- mejora de incono evolutivo EHCOSPROD-39455
Backlog:
</t>
        </r>
      </text>
    </comment>
    <comment ref="KY16" authorId="0" shapeId="0" xr:uid="{00000000-0006-0000-0100-00007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 R
- EHCOSPROD-41024 - Configuración CPOE (leer documentación, preparar entorno, desarrollo)
- Daily</t>
        </r>
        <r>
          <rPr>
            <b/>
            <sz val="8"/>
            <color indexed="81"/>
            <rFont val="Tahoma"/>
            <family val="2"/>
          </rPr>
          <t xml:space="preserve">
Avance:
- problemas acceso steps (1h)
- correctivos 5.15 R
- EHCOSPROD-41024 - Configuración CPOE (leer documentación, preparar entorno, desarrollo)
- Daily
Backlog:
</t>
        </r>
      </text>
    </comment>
    <comment ref="KZ16" authorId="0" shapeId="0" xr:uid="{00000000-0006-0000-0100-00007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EHCOSPROD-41024 - Configuración CPOE (desarrollo)
- correctivos 5.15R: EHCOSPROD-33929
- Daily</t>
        </r>
        <r>
          <rPr>
            <b/>
            <sz val="8"/>
            <color indexed="81"/>
            <rFont val="Tahoma"/>
            <family val="2"/>
          </rPr>
          <t xml:space="preserve">
Avance:
- EHCOSPROD-41024 - Configuración CPOE (desarrollo)
- correctivos 5.15R: EHCOSPROD-33929
- Daily
Backlog:
</t>
        </r>
      </text>
    </comment>
    <comment ref="LA16" authorId="0" shapeId="0" xr:uid="{00000000-0006-0000-0100-00007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EHCOSPROD-41024 - Configuración CPOE (desarrollo) fin 16/02
- correctivos 5.15R: EHCOSPROD-33929
- Daily</t>
        </r>
        <r>
          <rPr>
            <b/>
            <sz val="8"/>
            <color indexed="81"/>
            <rFont val="Tahoma"/>
            <family val="2"/>
          </rPr>
          <t xml:space="preserve">
Avance:
- EHCOSPROD-41024 - Configuración CPOE (desarrollo)
- Daily
Backlog:
</t>
        </r>
      </text>
    </comment>
    <comment ref="LB16" authorId="0" shapeId="0" xr:uid="{00000000-0006-0000-0100-00007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EHCOSPROD-41024 - Configuración CPOE (desarrollo) fin 16/02
- Daily</t>
        </r>
        <r>
          <rPr>
            <b/>
            <sz val="8"/>
            <color indexed="81"/>
            <rFont val="Tahoma"/>
            <family val="2"/>
          </rPr>
          <t xml:space="preserve">
Avance:
sesion testlink
revision funcional con sandra
- EHCOSPROD-41024 - Configuración CPOE (desarrollo)
Backlog:
</t>
        </r>
      </text>
    </comment>
    <comment ref="LC16" authorId="0" shapeId="0" xr:uid="{00000000-0006-0000-0100-00007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EHCOSPROD-41024 - Configuración CPOE (desarrollo) fin 16/02
- Daily</t>
        </r>
        <r>
          <rPr>
            <b/>
            <sz val="8"/>
            <color indexed="81"/>
            <rFont val="Tahoma"/>
            <family val="2"/>
          </rPr>
          <t xml:space="preserve">
Avance:
- EHCOSPROD-41024 - Configuración CPOE (desarrollo)
- Daily
Backlog:
</t>
        </r>
      </text>
    </comment>
    <comment ref="LF16" authorId="0" shapeId="0" xr:uid="{00000000-0006-0000-0100-00007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EHCOSPROD-41024 - Configuración CPOE (desarrollo) fin 16/02
- Daily</t>
        </r>
        <r>
          <rPr>
            <b/>
            <sz val="8"/>
            <color indexed="81"/>
            <rFont val="Tahoma"/>
            <family val="2"/>
          </rPr>
          <t xml:space="preserve">
Avance:
- EHCOSPROD-41024 - Configuración CPOE (desarrollo)
- formación iwok
- Daily
Backlog:
</t>
        </r>
      </text>
    </comment>
    <comment ref="LG16" authorId="0" shapeId="0" xr:uid="{00000000-0006-0000-0100-00007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EHCOSPROD-41024 - Configuración CPOE (desarrollo) fin 16/02
- Daily</t>
        </r>
        <r>
          <rPr>
            <b/>
            <sz val="8"/>
            <color indexed="81"/>
            <rFont val="Tahoma"/>
            <family val="2"/>
          </rPr>
          <t xml:space="preserve">
Avance:
- EHCOSPROD-41024 - Configuración CPOE (desarrollo)
- Daily
Backlog:
</t>
        </r>
      </text>
    </comment>
    <comment ref="LH16" authorId="0" shapeId="0" xr:uid="{00000000-0006-0000-0100-000080010000}">
      <text>
        <r>
          <rPr>
            <b/>
            <sz val="8"/>
            <color indexed="81"/>
            <rFont val="Tahoma"/>
            <family val="2"/>
          </rPr>
          <t xml:space="preserve">Tareas planificadas:
Baja médica por 11 días
Avance:
Backlog:
</t>
        </r>
        <r>
          <rPr>
            <sz val="8"/>
            <color indexed="81"/>
            <rFont val="Tahoma"/>
            <family val="2"/>
          </rPr>
          <t>- EHCOSPROD-41024 - Configuración CPOE (desarrollo) fin 16/02
- Daily</t>
        </r>
      </text>
    </comment>
    <comment ref="LQ16" authorId="0" shapeId="0" xr:uid="{00000000-0006-0000-0100-00008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Detectar los puntos de clinic donde se utiliza el módulo de escalas  (registro de parto, editor de informes, árbol episodio, etc. 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EHCOSPROD-41024 - Configuración CPOE (actualizar rama, documentación)
- correctivos 5.15R
- Daily</t>
        </r>
        <r>
          <rPr>
            <b/>
            <sz val="8"/>
            <color indexed="81"/>
            <rFont val="Tahoma"/>
            <family val="2"/>
          </rPr>
          <t xml:space="preserve">
Avance:
- Detectar los puntos de clinic donde se utiliza el módulo de escalas  (registro de parto, editor de informes, árbol episodio, etc. )
- EHCOSPROD-41024 - Configuración CPOE (actualizar rama, documentación)
- actualización trunk y correctivos 5.15R
- Daily
Backlog:
</t>
        </r>
      </text>
    </comment>
    <comment ref="LT16" authorId="0" shapeId="0" xr:uid="{00000000-0006-0000-0100-000082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Validación EFR no agendamento (lectura documentación, traspaso conocimiento Gino, desarrollo) fin 22/02
- correctivos 5.15R
- Daily</t>
        </r>
        <r>
          <rPr>
            <b/>
            <sz val="8"/>
            <color indexed="81"/>
            <rFont val="Tahoma"/>
            <family val="2"/>
          </rPr>
          <t xml:space="preserve">
Avance:
- correctivos 5.15R
- EHCOSPROD-39890 - Validación EFR no agendamento (lectura documentación, traspaso conocimiento Gino, desarrollo) fin 22/02
- Daily
Backlog:
- EHCOSPROD-41029 - CPOE- Nuevo layout (retomar desarrollo tras estimación de cambios de proyecto)
- Vacaciones 5 días Junio (pdte confirmar)</t>
        </r>
      </text>
    </comment>
    <comment ref="LU16" authorId="0" shapeId="0" xr:uid="{00000000-0006-0000-0100-000083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Validación EFR no agendamento (traspaso conocimiento Gino, desarrollo) fin 19/02
- correctivos 5.15R
- Daily</t>
        </r>
        <r>
          <rPr>
            <b/>
            <sz val="8"/>
            <color indexed="81"/>
            <rFont val="Tahoma"/>
            <family val="2"/>
          </rPr>
          <t xml:space="preserve">
Avance:
- EHCOSPROD-39890 - Validación EFR no agendamento (traspaso conocimiento Gino, desarrollo, pruebas)
- Daily
Backlog:
- EHCOSPROD-41029 - CPOE- Nuevo layout (retomar desarrollo tras estimación de cambios de proyecto)
- Vacaciones 5 días Junio (pdte confirmar)</t>
        </r>
      </text>
    </comment>
    <comment ref="LV16" authorId="0" shapeId="0" xr:uid="{00000000-0006-0000-0100-00008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Validación EFR no agendamento (traspaso conocimiento Gino, desarrollo) fin 19/02
- correctivos 5.15R
- Daily</t>
        </r>
        <r>
          <rPr>
            <b/>
            <sz val="8"/>
            <color indexed="81"/>
            <rFont val="Tahoma"/>
            <family val="2"/>
          </rPr>
          <t xml:space="preserve">
Avance:
- EHCOSPROD-39890 - Validación EFR no agendamento (traspaso conocimiento Gino, desarrollo, pruebas, documentación)
- Daily
Backlog:
- EHCOSPROD-41029 - CPOE- Nuevo layout (retomar desarrollo tras estimación de cambios de proyecto)
- Vacaciones 5 días Junio (pdte confirmar)</t>
        </r>
      </text>
    </comment>
    <comment ref="LW16" authorId="0" shapeId="0" xr:uid="{00000000-0006-0000-0100-00008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Validación EFR no agendamento (traspaso conocimiento Gino, pruebas, sonar, ajustes, documentación, actualizar rama con el trunk) fin 19/02
- EHCOSPROD-41029 - CPOE- Nuevo layout (retomar desarrollo tras estimación de cambios de proyecto, revisar modificaciones, actualizar entorno desarrollo)
- Daily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-EHCOSPROD-39890 - Validación EFR no agendamento (ejecucion casos de pruebas en testlink)</t>
        </r>
        <r>
          <rPr>
            <b/>
            <sz val="8"/>
            <color indexed="81"/>
            <rFont val="Tahoma"/>
            <family val="2"/>
          </rPr>
          <t xml:space="preserve">
Backlog:
- Vacaciones 5 días Junio (pdte confirmar)</t>
        </r>
      </text>
    </comment>
    <comment ref="LX16" authorId="0" shapeId="0" xr:uid="{00000000-0006-0000-0100-000086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Validación EFR no agendamento (finalizar pruebas) fin 19/02
- EHCOSPROD-41029 - CPOE- Nuevo layout (retomar desarrollo tras estimación de cambios de proyecto, revisar modificaciones en el DF y lista de tareas, actualizar entorno desarrollo, reunión con Sandra para comprobar tareas a realizar)
- Daily</t>
        </r>
        <r>
          <rPr>
            <b/>
            <sz val="8"/>
            <color indexed="81"/>
            <rFont val="Tahoma"/>
            <family val="2"/>
          </rPr>
          <t xml:space="preserve">
Avance:
- EHCOSPROD-39890 - Validación EFR no agendamento (finalizar pruebas testlink, documentación)
- EHCOSPROD-41029 - CPOE- Nuevo layout (retomar desarrollo tras estimación de cambios de proyecto, revisar modificaciones en el DF y lista de tareas, actualizar entorno desarrollo, reunión con Sandra para comprobar tareas a realizar)
- correctivos 5.15R
- Daily
Backlog:
- Vacaciones 5 días Junio (pdte confirmar)</t>
        </r>
      </text>
    </comment>
    <comment ref="MA16" authorId="0" shapeId="0" xr:uid="{00000000-0006-0000-0100-000087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Validación EFR no agendamento (actualizar rama con el trunk, estabilización pendiente despliegue)
- EHCOSPROD-41029 - CPOE- Nuevo layout (retomar desarrollo tras estimación de cambios de proyecto, revisar modificaciones en el DF y lista de tareas, actualizar entorno desarrollo, reunión con Sandra para comprobar tareas a realizar)
- correctivos 5.15R
- Daily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(retomar desarrollo tras estimación de cambios de proyecto, revisar modificaciones en el DF y lista de tareas, actualizar entorno desarrollo, reunión con Sandra para comprobar tareas a realizar)
- Daily
Backlog:
- Vacaciones 5 días Junio (pdte confirmar)</t>
        </r>
      </text>
    </comment>
    <comment ref="MB16" authorId="0" shapeId="0" xr:uid="{00000000-0006-0000-0100-000088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Validación EFR no agendamento (actualizar rama con el trunk, estabilización 128)
- EHCOSPROD-41029 - CPOE- Nuevo layout (retomar desarrollo tras estimación de cambios de proyecto, revisar modificaciones en el DF y lista de tareas, actualizar entorno desarrollo, reunión con Sandra para comprobar tareas a realizar)
- correctivos 5.15R
- Daily</t>
        </r>
        <r>
          <rPr>
            <b/>
            <sz val="8"/>
            <color indexed="81"/>
            <rFont val="Tahoma"/>
            <family val="2"/>
          </rPr>
          <t xml:space="preserve">
Avance:
EHCOSPROD-39890 - Validación EFR no agendamento (merge del trunk a la rama)
- EHCOSPROD-41029 - CPOE- Nuevo layout (desarrollo)
-daily
Backlog:
- Vacaciones 5 días Junio (pdte confirmar)</t>
        </r>
      </text>
    </comment>
    <comment ref="MC16" authorId="0" shapeId="0" xr:uid="{00000000-0006-0000-0100-00008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Validación EFR no agendamento (estabilización 128)
- EHCOSPROD-41029 - CPOE- Nuevo layout (retomar desarrollo tras estimación de cambios de proyecto, revisar modificaciones en el DF y lista de tareas, actualizar entorno desarrollo, reunión con Sandra para comprobar tareas a realizar)
- Daily</t>
        </r>
        <r>
          <rPr>
            <b/>
            <sz val="8"/>
            <color indexed="81"/>
            <rFont val="Tahoma"/>
            <family val="2"/>
          </rPr>
          <t xml:space="preserve">
Avance:
EHCOSPROD-39890 - Validación EFR no agendamento (revision de script y flujo)
- EHCOSPROD-41029 - CPOE- Nuevo layout (seguimiento con Sandra, desarrollo, merge con el trunk para actualizacion de rama)
-daily
Backlog:
- Vacaciones 5 días Junio (pdte confirmar)</t>
        </r>
      </text>
    </comment>
    <comment ref="MD16" authorId="0" shapeId="0" xr:uid="{00000000-0006-0000-0100-00008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Validación EFR no agendamento (estabilización 128)
- EHCOSPROD-41029 - CPOE- Nuevo layout (retomar desarrollo tras estimación de cambios de proyecto, revisar modificaciones en el DF y lista de tareas, actualizar entorno desarrollo, reunión con Sandra para comprobar tareas a realizar)
- Daily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(seguimiento con Sandra, desarrollo)
-daily
Backlog:
- Vacaciones 5 días Junio (pdte confirmar)</t>
        </r>
      </text>
    </comment>
    <comment ref="ME16" authorId="0" shapeId="0" xr:uid="{00000000-0006-0000-0100-00008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Validación EFR no agendamento (estabilización 128)
- EHCOSPROD-41029 - CPOE- Nuevo layout (retomar desarrollo tras estimación de cambios de proyecto, revisar modificaciones en el DF y lista de tareas, actualizar entorno desarrollo, reunión con Sandra para comprobar tareas a realizar)
- Daily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(seguimiento con Sandra, desarrollo)
-daily
Backlog:
- Vacaciones 5 días Junio (pdte confirmar)</t>
        </r>
      </text>
    </comment>
    <comment ref="MH16" authorId="0" shapeId="0" xr:uid="{00000000-0006-0000-0100-00008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Merge al trunk
- EHCOSPROD-41029 - CPOE- Nuevo layout (retomar desarrollo tras estimación de cambios de proyecto, revisar modificaciones en el DF y lista de tareas, actualizar entorno desarrollo, reunión con Sandra para comprobar tareas a realizar)
- Daily</t>
        </r>
        <r>
          <rPr>
            <b/>
            <sz val="8"/>
            <color indexed="81"/>
            <rFont val="Tahoma"/>
            <family val="2"/>
          </rPr>
          <t xml:space="preserve">
Avance:
- EHCOSPROD-39890 - Merge al trunk
- EHCOSPROD-41029 - CPOE- Nuevo layout (seguimiento con Sandra, desarrollo arbol de solicitudes)
-daily
Backlog:
- Vacaciones 5 días Junio (pdte confirmar)</t>
        </r>
      </text>
    </comment>
    <comment ref="MI16" authorId="0" shapeId="0" xr:uid="{00000000-0006-0000-0100-00008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Merge al trunk
- EHCOSPROD-41029 - CPOE- Nuevo layout (retomar desarrollo tras estimación de cambios de proyecto, revisar modificaciones en el DF y lista de tareas, actualizar entorno desarrollo, reunión con Sandra para comprobar tareas a realizar)
- Daily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(seguimiento con Sandra, lista con columna favorito)
-daily
Backlog:
- Vacaciones 5 días Junio (pdte confirmar)</t>
        </r>
      </text>
    </comment>
    <comment ref="MJ16" authorId="0" shapeId="0" xr:uid="{00000000-0006-0000-0100-00008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EHCOSPROD-41029 - CPOE- Nuevo layout (retomar desarrollo tras estimación de cambios de proyecto, revisar modificaciones en el DF y lista de tareas, actualizar entorno desarrollo, reunión con Sandra para comprobar tareas a realizar)
- Daily
-compensado medio dia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(seguimiento con Sandra, zona busqueda, carga de favoritos)
-daily
Backlog:
- Vacaciones 5 días Junio (pdte confirmar)
- jueves reunion de centro con Ramon</t>
        </r>
      </text>
    </comment>
    <comment ref="MK16" authorId="0" shapeId="0" xr:uid="{00000000-0006-0000-0100-00008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EHCOSPROD-41029 - CPOE- Nuevo layout (seguimiento con Sandra, desarrollo parte 2)
- correctivos 5.15R: EHCOSPROD-37242
- reunion de centro con Ramon
- Daily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(seguimiento con Sandra, arbol de protocolo)
-daily
-reunion con Ramon
Backlog:
- Vacaciones 5 días Junio (pdte confirmar)</t>
        </r>
      </text>
    </comment>
    <comment ref="ML16" authorId="0" shapeId="0" xr:uid="{00000000-0006-0000-0100-00009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EHCOSPROD-41029 - CPOE- Nuevo layout (seguimiento con Sandra, desarrollo parte 2)
- correctivos 5.15R: EHCOSPROD-37242
- Daily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(seguimiento con Sandra, desarrollo filtrado arbol de protocolo)
-Daily
Backlog:
- Vacaciones 5 días Junio (pdte confirmar)</t>
        </r>
      </text>
    </comment>
    <comment ref="MO16" authorId="0" shapeId="0" xr:uid="{00000000-0006-0000-0100-00009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EHCOSPROD-41029 - CPOE- Nuevo layout (seguimiento con Sandra, desarrollo parte 2)
- Daily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(seguimiento con Sandra, desarrollo parte 2)
- Daily
Backlog:
- Vacaciones 5 días Junio (pdte confirmar)</t>
        </r>
      </text>
    </comment>
    <comment ref="MP16" authorId="0" shapeId="0" xr:uid="{00000000-0006-0000-0100-000092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EHCOSPROD-41029 - CPOE- Nuevo layout (seguimiento con Sandra, desarrollo parte 2)
- Daily
- Punto de control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(seguimiento con Sandra, desarrollo parte 2)
- Daily
- Se mueve punto de control para mañana miercoles
Backlog:
- Vacaciones 5 días Junio (pdte confirmar)</t>
        </r>
      </text>
    </comment>
    <comment ref="MQ16" authorId="0" shapeId="0" xr:uid="{00000000-0006-0000-0100-000093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EHCOSPROD-41029 - CPOE- Nuevo layout (seguimiento con Sandra, desarrollo parte 2)
- Daily
- Preparacion punto de control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(seguimiento con Sandra, desarrollo parte 2)
- Daily
- Preparacion punto de control
Backlog:
- Vacaciones 5 días Junio (pdte confirmar)</t>
        </r>
      </text>
    </comment>
    <comment ref="MR16" authorId="0" shapeId="0" xr:uid="{00000000-0006-0000-0100-00009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EHCOSPROD-41029 - CPOE- Nuevo layout (seguimiento con Sandra, desarrollo parte 2)
- Daily
- Punto de control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(seguimiento con Sandra, desarrollo parte 2) 
- punto de control
Backlog:
- Vacaciones 5 días Junio (pdte confirmar)</t>
        </r>
      </text>
    </comment>
    <comment ref="MS16" authorId="0" shapeId="0" xr:uid="{00000000-0006-0000-0100-00009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EHCOSPROD-41029 - CPOE- Nuevo layout (seguimiento con Sandra, desarrollo parte 2)
- Daily
- correciones y cambios posteriores al punto de control</t>
        </r>
        <r>
          <rPr>
            <b/>
            <sz val="8"/>
            <color indexed="81"/>
            <rFont val="Tahoma"/>
            <family val="2"/>
          </rPr>
          <t xml:space="preserve">
Avance:
Backlog:
- Vacaciones 5 días Junio (pdte confirmar)</t>
        </r>
      </text>
    </comment>
    <comment ref="MV16" authorId="15" shapeId="0" xr:uid="{00000000-0006-0000-0100-00009601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EHCOSPROD-41029: Evolutivo gestor solicitudes parte 2 (fines abril).
Avance:
EHCOSPROD-41029: Evolutivo gestor solicitudes parte 2, al 50%.
Backlog:
</t>
      </text>
    </comment>
    <comment ref="MW16" authorId="16" shapeId="0" xr:uid="{00000000-0006-0000-0100-00009701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EHCOSPROD-41029: Evolutivo gestor solicitudes parte 2 (fines abril).
Avance:
EHCOSPROD-41029: Evolutivo gestor solicitudes parte 2, al 50%.
Backlog:
</t>
      </text>
    </comment>
    <comment ref="MX16" authorId="17" shapeId="0" xr:uid="{00000000-0006-0000-0100-00009801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EHCOSPROD-41029: Evolutivo gestor solicitudes parte 2 (fines abril).
Avance:
EHCOSPROD-41029: Evolutivo gestor solicitudes parte 2, al 50%.
Backlog:
</t>
      </text>
    </comment>
    <comment ref="MY16" authorId="0" shapeId="0" xr:uid="{00000000-0006-0000-0100-00009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EHCOSPROD-41029: Evolutivo gestor solicitudes parte 2 (fines abril).
Seguimiento con Sandra 
</t>
        </r>
        <r>
          <rPr>
            <b/>
            <sz val="8"/>
            <color indexed="81"/>
            <rFont val="Tahoma"/>
            <family val="2"/>
          </rPr>
          <t xml:space="preserve">
Avance:
EHCOSPROD-41029: Evolutivo gestor solicitudes parte 2 (fines abril).
Backlog:
EHCOSPROD-41029: Evolutivo gestor solicitudes parte 2 (fines abril). 65% avance</t>
        </r>
      </text>
    </comment>
    <comment ref="MZ16" authorId="0" shapeId="0" xr:uid="{00000000-0006-0000-0100-00009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EHCOSPROD-41029: Evolutivo gestor solicitudes parte 2 (fines abril).
Seguimiento Sandra.
</t>
        </r>
        <r>
          <rPr>
            <b/>
            <sz val="8"/>
            <color indexed="81"/>
            <rFont val="Tahoma"/>
            <family val="2"/>
          </rPr>
          <t xml:space="preserve">
Avance:
EHCOSPROD-41029: Evolutivo gestor solicitudes parte 2 (fines abril). 70%
Seguimiento Sandra.
Backlog:
</t>
        </r>
      </text>
    </comment>
    <comment ref="NC16" authorId="0" shapeId="0" xr:uid="{00000000-0006-0000-0100-00009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EHCOSPROD-41029: Evolutivo gestor solicitudes parte 2 (fines abril).
Seguimiento Sandra.
</t>
        </r>
        <r>
          <rPr>
            <b/>
            <sz val="8"/>
            <color indexed="81"/>
            <rFont val="Tahoma"/>
            <family val="2"/>
          </rPr>
          <t xml:space="preserve">
Avance:
EHCOSPROD-41029: Evolutivo gestor solicitudes parte 2 (fines abril). 70%
Seguimiento Sandra.
daily
Backlog:
</t>
        </r>
      </text>
    </comment>
    <comment ref="ND16" authorId="0" shapeId="0" xr:uid="{00000000-0006-0000-0100-00009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EHCOSPROD-41029: Evolutivo gestor solicitudes parte 2 (fines abril).
Seguimiento Sandra.
</t>
        </r>
        <r>
          <rPr>
            <b/>
            <sz val="8"/>
            <color indexed="81"/>
            <rFont val="Tahoma"/>
            <family val="2"/>
          </rPr>
          <t xml:space="preserve">
Avance:
EHCOSPROD-41029: Evolutivo gestor solicitudes parte 2 (fines abril)
merge del trunk a la rama
Seguimiento Sandra.
daily
Backlog:
</t>
        </r>
      </text>
    </comment>
    <comment ref="NE16" authorId="0" shapeId="0" xr:uid="{00000000-0006-0000-0100-00009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EHCOSPROD-41029: Evolutivo gestor solicitudes parte 2 (fines abril).
Seguimiento Sandra.
</t>
        </r>
        <r>
          <rPr>
            <b/>
            <sz val="8"/>
            <color indexed="81"/>
            <rFont val="Tahoma"/>
            <family val="2"/>
          </rPr>
          <t xml:space="preserve">
Avance:
EHCOSPROD-41029: (desarrollo)
problema caida steps
daily
Backlog:
</t>
        </r>
      </text>
    </comment>
    <comment ref="NF16" authorId="0" shapeId="0" xr:uid="{00000000-0006-0000-0100-00009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EHCOSPROD-41029: Evolutivo gestor solicitudes parte 2 (fines abril).
Seguimiento Sandra.
</t>
        </r>
        <r>
          <rPr>
            <b/>
            <sz val="8"/>
            <color indexed="81"/>
            <rFont val="Tahoma"/>
            <family val="2"/>
          </rPr>
          <t xml:space="preserve">
Avance:
EHCOSPROD-41029 (desarrollo datos especificos de RIS, anatomia patologica)
daily
Backlog:
</t>
        </r>
      </text>
    </comment>
    <comment ref="NG16" authorId="0" shapeId="0" xr:uid="{00000000-0006-0000-0100-00009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EHCOSPROD-41029: Evolutivo gestor solicitudes parte 2 (fines abril).
Seguimiento Sandra.
</t>
        </r>
        <r>
          <rPr>
            <b/>
            <sz val="8"/>
            <color indexed="81"/>
            <rFont val="Tahoma"/>
            <family val="2"/>
          </rPr>
          <t xml:space="preserve">
Avance:
EHCOSPROD-41029 (desarrollo anatomia patologica)
daily
Backlog:
</t>
        </r>
      </text>
    </comment>
    <comment ref="NJ16" authorId="0" shapeId="0" xr:uid="{00000000-0006-0000-0100-0000A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EHCOSPROD-41029: Evolutivo gestor solicitudes parte 2 (fines abril).
Seguimiento Sandra.
</t>
        </r>
        <r>
          <rPr>
            <b/>
            <sz val="8"/>
            <color indexed="81"/>
            <rFont val="Tahoma"/>
            <family val="2"/>
          </rPr>
          <t xml:space="preserve">
Avance:
EHCOSPROD-41029 (finalizacion parte de anatomia patologica)
revision de codigo con mauricio
Backlog:
punto de control</t>
        </r>
      </text>
    </comment>
    <comment ref="NK16" authorId="0" shapeId="0" xr:uid="{00000000-0006-0000-0100-0000A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EHCOSPROD-41029: Evolutivo gestor solicitudes parte 2 (fines abril).
Seguimiento Sandra.
Punto de control
</t>
        </r>
        <r>
          <rPr>
            <b/>
            <sz val="8"/>
            <color indexed="81"/>
            <rFont val="Tahoma"/>
            <family val="2"/>
          </rPr>
          <t xml:space="preserve">
Avance:
EHCOSPROD-41029 (finalizacion parte de anatomia patologica)
revision de codigo con mauricio
Backlog:
punto de control</t>
        </r>
      </text>
    </comment>
    <comment ref="NL16" authorId="0" shapeId="0" xr:uid="{00000000-0006-0000-0100-0000A2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EHCOSPROD-41029: Evolutivo gestor solicitudes parte 2 (fines abril).
Seguimiento Sandra.
Punto de control ( se mueve para hoy)
</t>
        </r>
        <r>
          <rPr>
            <b/>
            <sz val="8"/>
            <color indexed="81"/>
            <rFont val="Tahoma"/>
            <family val="2"/>
          </rPr>
          <t xml:space="preserve">
Avance:
EHCOSPROD-41029: punto de control y correccion de puntos encontrados
daily
Backlog:
punto de control</t>
        </r>
      </text>
    </comment>
    <comment ref="KY17" authorId="0" shapeId="0" xr:uid="{00000000-0006-0000-0100-0000A3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puesta al día
- Tareas GC
- Mantenimiento: correctivos, merges</t>
        </r>
        <r>
          <rPr>
            <b/>
            <sz val="8"/>
            <color indexed="81"/>
            <rFont val="Tahoma"/>
            <family val="2"/>
          </rPr>
          <t xml:space="preserve">
Avance:
- puesta al día
- Tareas GC
Backlog:
</t>
        </r>
      </text>
    </comment>
    <comment ref="KZ17" authorId="0" shapeId="0" xr:uid="{00000000-0006-0000-0100-0000A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 (revisar scripts 5.15 y 6.0, reorganizar y modificar scripts)
- Mantenimiento: correctivos, correctivos, merges
- Daily</t>
        </r>
        <r>
          <rPr>
            <b/>
            <sz val="8"/>
            <color indexed="81"/>
            <rFont val="Tahoma"/>
            <family val="2"/>
          </rPr>
          <t xml:space="preserve">
Avance:
- Tareas GC (revisar scripts 5.15 y 6.0, reorganizar y modificar scripts)
- Mantenimiento: correctivos, correctivos, merges
- Daily
Backlog:
</t>
        </r>
      </text>
    </comment>
    <comment ref="LA17" authorId="0" shapeId="0" xr:uid="{00000000-0006-0000-0100-0000A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Mantenimiento: correctivos, merges
- Daily</t>
        </r>
        <r>
          <rPr>
            <b/>
            <sz val="8"/>
            <color indexed="81"/>
            <rFont val="Tahoma"/>
            <family val="2"/>
          </rPr>
          <t xml:space="preserve">
Avance:
- Tareas GC
- Mantenimiento: correctivos, merges
- Daily
Backlog:
</t>
        </r>
      </text>
    </comment>
    <comment ref="LB17" authorId="0" shapeId="0" xr:uid="{00000000-0006-0000-0100-0000A6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Mantenimiento: correctivos, merges
- Daily</t>
        </r>
        <r>
          <rPr>
            <b/>
            <sz val="8"/>
            <color indexed="81"/>
            <rFont val="Tahoma"/>
            <family val="2"/>
          </rPr>
          <t xml:space="preserve">
Avance:
-tareas GC
-jiras 5.13 mantenimiento
-jira smartICU (secuencia de tablas)
Backlog:
</t>
        </r>
      </text>
    </comment>
    <comment ref="LC17" authorId="0" shapeId="0" xr:uid="{00000000-0006-0000-0100-0000A7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
- Mantenimiento: correctivos 5.13
- Daily</t>
        </r>
        <r>
          <rPr>
            <b/>
            <sz val="8"/>
            <color indexed="81"/>
            <rFont val="Tahoma"/>
            <family val="2"/>
          </rPr>
          <t xml:space="preserve">
Avance:
- Tareas GC
- Mantenimiento: correctivos 5.13, 5.14
- Daily
Backlog:
</t>
        </r>
      </text>
    </comment>
    <comment ref="LF17" authorId="0" shapeId="0" xr:uid="{00000000-0006-0000-0100-0000A8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traspaso de conocimiento Tareas GC
- Mantenimiento: correctivos 5.13
- Daily</t>
        </r>
        <r>
          <rPr>
            <b/>
            <sz val="8"/>
            <color indexed="81"/>
            <rFont val="Tahoma"/>
            <family val="2"/>
          </rPr>
          <t xml:space="preserve">
Avance:
- traspaso de conocimiento Tareas GC
- Mantenimiento: correctivos 5.14
- reunión feedback
- Daily
- formación iwok
Backlog:
</t>
        </r>
      </text>
    </comment>
    <comment ref="LG17" authorId="0" shapeId="0" xr:uid="{00000000-0006-0000-0100-0000A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correctivos 5.14
- EHCOSPROD-44113 - Instalación y pruebas locales de ehClinicalShare
- backlog proyectos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Mantenimiento: correctivos 5.14
- EHCOSPROD-44113 - Instalación y pruebas locales de ehClinicalShare
- Daily
Backlog:
</t>
        </r>
      </text>
    </comment>
    <comment ref="LH17" authorId="0" shapeId="0" xr:uid="{00000000-0006-0000-0100-0000A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correctivos 5.13.X - 5.14.X
- EHCOSPROD-44113 - Instalación y pruebas locales de ehClinicalShare
- backlog proyectos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Mantenimiento: correctivos 5.13.X
- EHCOSPROD-44113 - Instalación y pruebas locales de ehClinicalShare
- Daily
Backlog:
</t>
        </r>
      </text>
    </comment>
    <comment ref="LI17" authorId="0" shapeId="0" xr:uid="{00000000-0006-0000-0100-0000A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correctivos 5.13.X - 5.14.X
- EHCOSPROD-44113 - Instalación y pruebas locales de ehClinicalShare
- backlog proyectos o correctivos 5.15R
- Daily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LJ17" authorId="0" shapeId="0" xr:uid="{00000000-0006-0000-0100-0000A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correctivos 5.13.X - 5.14.X
- EHCOSPROD-44113 - Instalación y pruebas locales de ehClinicalShare (registrar horas de trabajo)
- backlog proyectos o correctivos 5.15R
- Daily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LM17" authorId="0" shapeId="0" xr:uid="{00000000-0006-0000-0100-0000A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correctivos 5.13.X - 5.14.X
- EHCOSPROD-44113 - Instalación y pruebas locales de ehClinicalShare (registrar horas de trabajo)
- backlog proyectos o correctivos 5.15R
- Daily</t>
        </r>
        <r>
          <rPr>
            <b/>
            <sz val="8"/>
            <color indexed="81"/>
            <rFont val="Tahoma"/>
            <family val="2"/>
          </rPr>
          <t xml:space="preserve">
Avance:
- EHCOSPROD-44113 - Instalación y pruebas locales de ehClinicalShare (registrar horas de trabajo)
- Daily, soporte
- Mantenimiento: correctivos 5.13.X
Backlog:
</t>
        </r>
      </text>
    </comment>
    <comment ref="LN17" authorId="0" shapeId="0" xr:uid="{00000000-0006-0000-0100-0000A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EHCOSPROD-44113 - Instalación y pruebas locales de ehClinicalShare (registrar horas de trabajo)
- EHCOSPROD-38631. MC-Facturación y presupuesto (lectura documentación, revisión modelo de datos, preparación de la rama, desarrollo)
- Daily</t>
        </r>
        <r>
          <rPr>
            <b/>
            <sz val="8"/>
            <color indexed="81"/>
            <rFont val="Tahoma"/>
            <family val="2"/>
          </rPr>
          <t xml:space="preserve">
Avance:
- EHCOSPROD-44113 - Instalación y pruebas locales de ehClinicalShare
- EHCOSPROD-38631. MC-Facturación y presupuesto (lectura documentación, revisión modelo de datos, preparación de la rama, desarrollo)
- Daily
Backlog:
</t>
        </r>
      </text>
    </comment>
    <comment ref="LO17" authorId="0" shapeId="0" xr:uid="{00000000-0006-0000-0100-0000A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(lectura documentación, revisión modelo de datos, preparación de la rama, desarrollo)
- EHCOSPROD-44113 - Instalación y pruebas locales de ehClinicalShare (registrar horas de trabajo, documentación)
- Daily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(lectura documentación, revisión modelo de datos, preparación de la rama, desarrollo)
- sesión popr producto
- Daily
Backlog:
</t>
        </r>
      </text>
    </comment>
    <comment ref="LP17" authorId="0" shapeId="0" xr:uid="{00000000-0006-0000-0100-0000B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(desarrollo)
- Daily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(desarrollo, scripts)
- Daily
Backlog:
</t>
        </r>
      </text>
    </comment>
    <comment ref="LQ17" authorId="0" shapeId="0" xr:uid="{00000000-0006-0000-0100-0000B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Tareas GC (backup Ricardo)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EHCOSPROD-38631. MC-Facturación y presupuesto (desarrollo)
- seguimiento remote
- Daily</t>
        </r>
        <r>
          <rPr>
            <b/>
            <sz val="8"/>
            <color indexed="81"/>
            <rFont val="Tahoma"/>
            <family val="2"/>
          </rPr>
          <t xml:space="preserve">
Avance:
- Tareas GC (backup Ricardo)
- EHCOSPROD-38631. MC-Facturación y presupuesto (desarrollo)
- seguimiento remote
- Daily
Backlog:
Traspaso de conocimiento a Emilio Pentaho 
</t>
        </r>
      </text>
    </comment>
    <comment ref="LT17" authorId="0" shapeId="0" xr:uid="{00000000-0006-0000-0100-0000B2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(desarrollo)
- Traspaso de conocimiento a Emilio Pentaho 
- Daily, seguimiento remote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(desarrollo)
- Traspaso de conocimiento a Emilio Pentaho 
- Daily, seguimiento remote
Backlog:
</t>
        </r>
      </text>
    </comment>
    <comment ref="LU17" authorId="0" shapeId="0" xr:uid="{00000000-0006-0000-0100-0000B3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(desarrollo) fin 05/03
- Daily, seguimiento remote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(desarrollo)
- Daily, seguimiento remote
Backlog:
Traspaso de conocimiento a Emilio Pentaho 
</t>
        </r>
      </text>
    </comment>
    <comment ref="LV17" authorId="0" shapeId="0" xr:uid="{00000000-0006-0000-0100-0000B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(desarrollo) fin 05/03
- Daily, seguimiento remote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(desarrollo)
- Daily, seguimiento remote
- entrevista y reuniones con Ramón
Backlog:
Traspaso de conocimiento a Emilio Pentaho 
</t>
        </r>
      </text>
    </comment>
    <comment ref="LW17" authorId="0" shapeId="0" xr:uid="{00000000-0006-0000-0100-0000B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(desarrollo) fin 05/03
- Daily, seguimiento remote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EHCOSPROD-38631. MC-Facturación y presupuesto (desarrollo, pantalla agrupadores) fin 05/03
- Daily, 
- seguimiento remote</t>
        </r>
        <r>
          <rPr>
            <b/>
            <sz val="8"/>
            <color indexed="81"/>
            <rFont val="Tahoma"/>
            <family val="2"/>
          </rPr>
          <t xml:space="preserve">
Backlog:
Traspaso de conocimiento a Emilio Pentaho 
</t>
        </r>
      </text>
    </comment>
    <comment ref="LX17" authorId="0" shapeId="0" xr:uid="{00000000-0006-0000-0100-0000B6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(revisión con Sara, coordinar desarrollo con Marcela) fin 05/03
- Daily, seguimiento remote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(revisión con Sara, coordinar desarrollo con Marcela)
- Daily, seguimiento remote
Backlog:
</t>
        </r>
      </text>
    </comment>
    <comment ref="MA17" authorId="0" shapeId="0" xr:uid="{00000000-0006-0000-0100-0000B7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con Marcela) fin 05/03
- Daily, seguimiento remote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Marcela)
- Daily, seguimiento remote
Backlog:
</t>
        </r>
      </text>
    </comment>
    <comment ref="MB17" authorId="0" shapeId="0" xr:uid="{00000000-0006-0000-0100-0000B8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con Marcela) fin 05/03
- Daily, seguimiento remote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Marcela)
- Daily, 
-seguimiento remote, (merge de Osvaldo)
-reunion con Ramon
-apoyo a alfonso con dudas
Backlog:
</t>
        </r>
      </text>
    </comment>
    <comment ref="MC17" authorId="0" shapeId="0" xr:uid="{00000000-0006-0000-0100-0000B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con Marcela) fin 05/03
- Daily, seguimiento remote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Marcela y Victor)
- Daily, 
-seguimiento remote
-reunion con Ramon
Backlog:
</t>
        </r>
      </text>
    </comment>
    <comment ref="MD17" authorId="0" shapeId="0" xr:uid="{00000000-0006-0000-0100-0000B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con Marcela y victor) fin 05/03
- Daily, seguimiento remote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Marcela y Victor)
- Daily, 
-seguimiento remote
-reunion con Ramon
Backlog:
</t>
        </r>
      </text>
    </comment>
    <comment ref="ME17" authorId="0" shapeId="0" xr:uid="{00000000-0006-0000-0100-0000B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con Marcela y victor) fin 05/03
- Daily, seguimiento remote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Marcela y Victor) - punto de control
- despliegue 72
- Daily, 
-seguimiento remote
-reunion con Ramon
Backlog:
</t>
        </r>
      </text>
    </comment>
    <comment ref="MH17" authorId="0" shapeId="0" xr:uid="{00000000-0006-0000-0100-0000B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con Marcela y victor) fin 05/03
- Daily, seguimiento remote
- Entrevistas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Marcela y Victor) 
- Daily, 
-seguimiento remote, apoyo a Osvaldo en merge
-apoyo a Alfonso y Ricardo en pentaho
- entrevistas para posibles incorporaciones en conjunto con  German
-reunion con Ramon
Backlog:
</t>
        </r>
      </text>
    </comment>
    <comment ref="MI17" authorId="0" shapeId="0" xr:uid="{00000000-0006-0000-0100-0000B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con Marcela y victor, punto de control) fin 05/03
- Daily, seguimiento remote</t>
        </r>
        <r>
          <rPr>
            <b/>
            <sz val="8"/>
            <color indexed="81"/>
            <rFont val="Tahoma"/>
            <family val="2"/>
          </rPr>
          <t xml:space="preserve">
Avance:
-Punto de control EHCOSPROD-38631
- EHCOSPROD-38631. MC-Facturación y presupuesto (desarrollo con Marcela y Victor) 
- Daily, 
-seguimiento remote, apoyo a Osvaldo en merge
-reunion con Ramon por incorporaciones
Backlog:
</t>
        </r>
      </text>
    </comment>
    <comment ref="MJ17" authorId="0" shapeId="0" xr:uid="{00000000-0006-0000-0100-0000B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EHCOSPROD-38631. MC-Facturación y presupuesto (desarrollo con Marcela y victor, punto de control) fin 05/03
- Daily, 
-traspaso informacion a Mario por seguimiento remote
-Reunion con Adrian por Base de datos</t>
        </r>
        <r>
          <rPr>
            <b/>
            <sz val="8"/>
            <color indexed="81"/>
            <rFont val="Tahoma"/>
            <family val="2"/>
          </rPr>
          <t xml:space="preserve">
Avance:
-reunion con Adrian
- EHCOSPROD-38631. MC-Facturación y presupuesto (desarrollo con Marcela y Victor) 
- Daily, 
- traspaso informacion a Mario de remote
Backlog:
-jueves reunion de centro con Ramon</t>
        </r>
      </text>
    </comment>
    <comment ref="MK17" authorId="0" shapeId="0" xr:uid="{00000000-0006-0000-0100-0000B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EHCOSPROD-38631. MC-Facturación y presupuesto (desarrollo con Marcela y victor) fin 09/03
- reunion de centro con Ramon
- Daily, 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Marcela y Victor) 
- Daily, 
- Reunion con Ramon
Backlog:
</t>
        </r>
      </text>
    </comment>
    <comment ref="ML17" authorId="0" shapeId="0" xr:uid="{00000000-0006-0000-0100-0000C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EHCOSPROD-38631. MC-Facturación y presupuesto (desarrollo con Marcela y victor) fin 09/03
- Daily, </t>
        </r>
        <r>
          <rPr>
            <b/>
            <sz val="8"/>
            <color indexed="81"/>
            <rFont val="Tahoma"/>
            <family val="2"/>
          </rPr>
          <t xml:space="preserve">
Avance:
reuniones con Ramon y Marcela
- EHCOSPROD-38631. MC-Facturación y presupuesto (desarrollo con Marcela y victor) 
-daily
Backlog:
</t>
        </r>
      </text>
    </comment>
    <comment ref="MO17" authorId="0" shapeId="0" xr:uid="{00000000-0006-0000-0100-0000C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EHCOSPROD-38631. MC-Facturación y presupuesto (desarrollo con Marcela y victor, merge al trunk y estabilización en el trunk) fin 11/03
- Daily, 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Marcela y victor, merge al trunk y estabilización en el trunk) fin 11/03
- Daily, 
- Reuniones con Ramon
Backlog:
</t>
        </r>
      </text>
    </comment>
    <comment ref="MP17" authorId="0" shapeId="0" xr:uid="{00000000-0006-0000-0100-0000C2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EHCOSPROD-38631. MC-Facturación y presupuesto (desarrollo con Marcela y victor, merge al trunk y estabilización en el trunk) fin 11/03
- Daily, 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Marcela y victor, merge al trunk y estabilización en el trunk) fin 11/03
- Daily, 
Backlog:
</t>
        </r>
      </text>
    </comment>
    <comment ref="MQ17" authorId="0" shapeId="0" xr:uid="{00000000-0006-0000-0100-0000C3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EHCOSPROD-38631. MC-Facturación y presupuesto (desarrollo con Marcela y victor, merge al trunk y estabilización en el trunk) fin 11/03
- Daily, 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Marcela y victor, merge al trunk y estabilización en el trunk) fin 11/03
- Daily, 
- Reuniones con Ramon
Backlog:
</t>
        </r>
      </text>
    </comment>
    <comment ref="MR17" authorId="0" shapeId="0" xr:uid="{00000000-0006-0000-0100-0000C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EHCOSPROD-38631. MC-Facturación y presupuesto (desarrollo con Marcela y victor, merge al trunk y estabilización en el trunk) fin 11/03
- Daily, </t>
        </r>
        <r>
          <rPr>
            <b/>
            <sz val="8"/>
            <color indexed="81"/>
            <rFont val="Tahoma"/>
            <family val="2"/>
          </rPr>
          <t xml:space="preserve">
Avance:
- EHCOSPROD-38631. MC-Facturación y presupuesto (desarrollo con Marcela y victor, merge al trunk y estabilización en el trunk) fin 11/03
- Daily, 
- apoyo Alfonso
Backlog:
</t>
        </r>
      </text>
    </comment>
    <comment ref="MS17" authorId="0" shapeId="0" xr:uid="{00000000-0006-0000-0100-0000C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EHCOSPROD-38631. MC-Facturación y presupuesto (desarrollo con Marcela y victor, merge al trunk y estabilización en el trunk) fin 11/03
- Daily, 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MV17" authorId="18" shapeId="0" xr:uid="{00000000-0006-0000-0100-0000C6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EHCOSPROD-38631 PP evolutivo facturación y reintegración al tronco.
Avance:
EHCOSPROD-38631 PP evolutivo facturación y actualización de rama
Backlog:</t>
      </text>
    </comment>
    <comment ref="MW17" authorId="19" shapeId="0" xr:uid="{00000000-0006-0000-0100-0000C7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EHCOSPROD-38631 PP evolutivo facturación y reintegración al tronco.
Avance:
EHCOSPROD-38631 PP evolutivo facturación y actualización de rama
Backlog:</t>
      </text>
    </comment>
    <comment ref="MX17" authorId="20" shapeId="0" xr:uid="{00000000-0006-0000-0100-0000C8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EHCOSPROD-38631 PP evolutivo facturación y reintegración al tronco.
Avance:
EHCOSPROD-38631 PP evolutivo facturación y actualización de rama
Backlog:</t>
      </text>
    </comment>
    <comment ref="MY17" authorId="0" shapeId="0" xr:uid="{00000000-0006-0000-0100-0000C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Resolucion jiras del evolutivo EHCOSPROD-38631
Planificacion
</t>
        </r>
        <r>
          <rPr>
            <b/>
            <sz val="8"/>
            <color indexed="81"/>
            <rFont val="Tahoma"/>
            <family val="2"/>
          </rPr>
          <t xml:space="preserve">
Avance:
Resolucion jiras del evolutivo EHCOSPROD-38631
Planificacion
Backlog:
</t>
        </r>
      </text>
    </comment>
    <comment ref="MZ17" authorId="0" shapeId="0" xr:uid="{00000000-0006-0000-0100-0000C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Resolucion jiras del evolutivo EHCOSPROD-38631
Planificacion
</t>
        </r>
        <r>
          <rPr>
            <b/>
            <sz val="8"/>
            <color indexed="81"/>
            <rFont val="Tahoma"/>
            <family val="2"/>
          </rPr>
          <t xml:space="preserve">
Avance:
Resolucion jiras del evolutivo EHCOSPROD-38631
Planificacion
EHCOSPROD-38631 Documentacion
Backlog:
</t>
        </r>
      </text>
    </comment>
    <comment ref="NC17" authorId="0" shapeId="0" xr:uid="{00000000-0006-0000-0100-0000C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Planificacion
Correctivos 5.15
</t>
        </r>
        <r>
          <rPr>
            <b/>
            <sz val="8"/>
            <color indexed="81"/>
            <rFont val="Tahoma"/>
            <family val="2"/>
          </rPr>
          <t xml:space="preserve">
Avance:
flujos de pruebas EHCOSPROD-38631
reunion con Marcela
Backlog:
</t>
        </r>
      </text>
    </comment>
    <comment ref="ND17" authorId="0" shapeId="0" xr:uid="{00000000-0006-0000-0100-0000C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Correctivos 5.15
EHCOSPROD-38631 plan de pruebas
somorte al equipo</t>
        </r>
        <r>
          <rPr>
            <b/>
            <sz val="8"/>
            <color indexed="81"/>
            <rFont val="Tahoma"/>
            <family val="2"/>
          </rPr>
          <t xml:space="preserve">
Avance:
ejecucion plan de prueba EHCOSPROD-38631
soporte al equipo
revision mapa de competencias
revision de scripts privilegio que no aparecia en maquina 66
Backlog:
</t>
        </r>
      </text>
    </comment>
    <comment ref="NE17" authorId="0" shapeId="0" xr:uid="{00000000-0006-0000-0100-0000C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Correctivos 5.15
EHCOSPROD-38631 plan de pruebas y correccion de jiras
soporte al equipo
daily</t>
        </r>
        <r>
          <rPr>
            <b/>
            <sz val="8"/>
            <color indexed="81"/>
            <rFont val="Tahoma"/>
            <family val="2"/>
          </rPr>
          <t xml:space="preserve">
Avance:
corrección errores facturación
reunion con Ramon, plan de mejora
problema caida steps
daily
Backlog:
Desde el lunes 29 comienza a revisar los jiras de indicadores.</t>
        </r>
      </text>
    </comment>
    <comment ref="NF17" authorId="0" shapeId="0" xr:uid="{00000000-0006-0000-0100-0000C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
EHCOSPROD-38631 plan de pruebas y correccion de jiras
soporte al equipo
daily
evaluacion mapa de competencias
</t>
        </r>
        <r>
          <rPr>
            <b/>
            <sz val="8"/>
            <color indexed="81"/>
            <rFont val="Tahoma"/>
            <family val="2"/>
          </rPr>
          <t xml:space="preserve">
Avance:
Correccion errores excel 
Evaluacion mapa de competencia.
Backlog:
Desde el lunes 29 comienza a revisar los jiras de indicadores.</t>
        </r>
      </text>
    </comment>
    <comment ref="NG17" authorId="0" shapeId="0" xr:uid="{00000000-0006-0000-0100-0000C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Correctivos 5.15
EHCOSPROD-38631 plan de pruebas y correccion de jiras
soporte al equipo
daily
evaluacion mapa de competencias</t>
        </r>
        <r>
          <rPr>
            <b/>
            <sz val="8"/>
            <color indexed="81"/>
            <rFont val="Tahoma"/>
            <family val="2"/>
          </rPr>
          <t xml:space="preserve">
Avance:
correctivos 5.15 excel
daily
revision mapa de competencias
Backlog:
Desde el lunes 29 comienza a revisar los jiras de indicadores.</t>
        </r>
      </text>
    </comment>
    <comment ref="NJ17" authorId="0" shapeId="0" xr:uid="{00000000-0006-0000-0100-0000D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
EHCOSPROD-42976
soporte al equipo
daily
</t>
        </r>
        <r>
          <rPr>
            <b/>
            <sz val="8"/>
            <color indexed="81"/>
            <rFont val="Tahoma"/>
            <family val="2"/>
          </rPr>
          <t xml:space="preserve">
Avance:
configuracion de entorno con pentaho
EHCOSPROD-42976 -&gt; se finaliza primer indicador (1/3)
daily
Backlog:
Desde el lunes 29 comienza a revisar los jiras de indicadores.</t>
        </r>
      </text>
    </comment>
    <comment ref="NK17" authorId="0" shapeId="0" xr:uid="{00000000-0006-0000-0100-0000D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 indicadores
EHCOSPROD-42976
soporte al equipo
daily
</t>
        </r>
        <r>
          <rPr>
            <b/>
            <sz val="8"/>
            <color indexed="81"/>
            <rFont val="Tahoma"/>
            <family val="2"/>
          </rPr>
          <t xml:space="preserve">
Avance:
Backlog:
Desde el lunes 29 comienza a revisar los jiras de indicadores.</t>
        </r>
      </text>
    </comment>
    <comment ref="NL17" authorId="0" shapeId="0" xr:uid="{00000000-0006-0000-0100-0000D2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 indicadores
EHCOSPROD-42976
soporte al equipo
daily
</t>
        </r>
        <r>
          <rPr>
            <b/>
            <sz val="8"/>
            <color indexed="81"/>
            <rFont val="Tahoma"/>
            <family val="2"/>
          </rPr>
          <t xml:space="preserve">
Avance:
finaliza correctivos EHCOSPROD-42976
daily
Backlog:
Desde el lunes 29 comienza a revisar los jiras de indicadores.</t>
        </r>
      </text>
    </comment>
    <comment ref="KK19" authorId="0" shapeId="0" xr:uid="{00000000-0006-0000-0100-0000D3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EHCOSPROD-38927: daily, envio tareas de gestión de la configuración.
- EHCOSPROD-42844: Taller de Nuevos Desarrolladores ehCOS -&gt; revisar plan de formación, calendario de sesiones, con el contenido, los horarios y formadores de cada sesión. Plantean 16h semanales para un total de 40h, comenzando el 18/01/2021
Mantenimiento
- Seguimiento equipo, soporte: EHCOSPROD-43274 - Error por más de 1000 registros al ingresar al ámbito de atención del Técnico de Ris
5.15R
- Oncología (actualizar rama con el trunk, estabilización, nuevos análisis): EHCOSPROD-42736
- EHCOSPROD-37586 - MULTICENTRO - CPOE (análisis técnico)
- EHCOSPROD-41024 - Configuración CPOE (análisis técnico)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EHCOSPROD-38927: daily, envio tareas de gestión de la configuración, soporte técnico
- EHCOSPROD-37586 - MULTICENTRO - CPOE (análisis técnico)
- EHCOSPROD-42844: Taller de Nuevos Desarrolladores ehCOS -&gt; revisar plan de formación, calendario de sesiones, con el contenido, los horarios y formadores de cada sesión. Plantean 16h semanales para un total de 40h, comenzando el 18/01/2021
Mantenimiento
- Seguimiento equipo, soporte: EHCOSPROD-43274 - Error por más de 1000 registros al ingresar al ámbito de atención del Técnico de Ris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L19" authorId="0" shapeId="0" xr:uid="{00000000-0006-0000-0100-0000D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EHCOSPROD-38927: daily, envio tareas de gestión de la configuración (revisar incidencias cambiadas a pdteTesting)
- EHCOSPROD-37586 - MULTICENTRO - CPOE (análisis técnico)
Mantenimiento
- Seguimiento equipo, soporte: EHCOSPROD-43274 - Error por más de 1000 registros al ingresar al ámbito de atención del Técnico de Ris
5.15R
- Oncología (actualizar rama con el trunk, estabilización, nuevos análisis): EHCOSPROD-42736
- EHCOSPROD-41024 - Configuración CPOE (análisis técnico)
- EHCOSPROD-42844: Taller de Nuevos Desarrolladores ehCOS -&gt; revisar plan de formación, calendario de sesiones, con el contenido, los horarios y formadores de cada sesión. Plantean 16h semanales para un total de 40h, comenzando el 18/01/2021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EHCOSPROD-38927: daily, envio tareas de gestión de la configuración (revisar incidencias cambiadas a pdteTesting)
Mantenimiento
- Seguimiento equipo, soporte: EHCOSPROD-43274 - Error por más de 1000 registros al ingresar al ámbito de atención del Técnico de Ris
5.15R
- EHCOSPROD-37586 - MULTICENTRO - CPOE (análisis técnico)
- Oncología (actualizar rama con el trunk, estabilización, nuevos análisis): EHCOSPROD-42736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M19" authorId="0" shapeId="0" xr:uid="{00000000-0006-0000-0100-0000D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EHCOSPROD-38927: daily, envio tareas de gestión de la configuración (revisar incidencias cambiadas a pdteTesting)
Mantenimiento
- Seguimiento equipo, soporte
5.15R
- EHCOSPROD-37586 - MULTICENTRO - CPOE (análisis técnico, comentario cambios ayer)
- Oncología (actualizar rama con el trunk, estabilización, nuevos análisis): EHCOSPROD-42736
- EHCOSPROD-41024 - Configuración CPOE (análisis técnico)
- EHCOSPROD-42844: Taller de Nuevos Desarrolladores ehCOS -&gt; revisar plan de formación, calendario de sesiones, con el contenido, los horarios y formadores de cada sesión. Plantean 16h semanales para un total de 40h, comenzando el 18/01/2021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EHCOSPROD-38927: daily, envio tareas de gestión de la configuración
Mantenimiento
- correctivos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5.15R
- EHCOSPROD-37586 - MULTICENTRO - CPOE (repartir tareas y dudas)
- Oncología: EHCOSPROD-42736
- EHCOSPROD-41024 - Configuración CPOE (análisis técnico, revisión funcional)
- EHCOSPROD-42844: Taller de Nuevos Desarrolladores ehCOS -&gt;preparar formación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N19" authorId="0" shapeId="0" xr:uid="{00000000-0006-0000-0100-0000D6010000}">
      <text>
        <r>
          <rPr>
            <b/>
            <sz val="8"/>
            <color indexed="81"/>
            <rFont val="Tahoma"/>
            <family val="2"/>
          </rPr>
          <t xml:space="preserve">Tareas planificadas:
- </t>
        </r>
        <r>
          <rPr>
            <sz val="8"/>
            <color indexed="81"/>
            <rFont val="Tahoma"/>
            <family val="2"/>
          </rPr>
          <t xml:space="preserve">EHCOSPROD-38927: daily, envio tareas de gestión de la configuración
- reunión ehcos
Mantenimiento
- Seguimiento equipo, soporte, correctivos 5.13
5.15R
- EHCOSPROD-41024 - Configuración CPOE (análisis técnico)
- EHCOSPROD-37586 - MULTICENTRO - CPOE (soporte y seguimiento)
- Oncología (actualizar rama con el trunk, estabilización)
- EHCOSPROD-42844: Taller de Nuevos Desarrolladores ehCOS -&gt; preparar formación, revisar calendario de sesiones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- EHCOSPROD-38927: daily, envio tareas de gestión de la configuración
- reunión ehcos
Mantenimiento
- Seguimiento equipo, soporte, correctivos 5.13
5.15R
- EHCOSPROD-37586 - MULTICENTRO - CPOE (soporte y seguimiento)
- Oncología (soporte)
- EHCOSPROD-41024 - Configuración CPOE (análisis técnico)
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O19" authorId="0" shapeId="0" xr:uid="{00000000-0006-0000-0100-0000D7010000}">
      <text>
        <r>
          <rPr>
            <b/>
            <sz val="8"/>
            <color indexed="81"/>
            <rFont val="Tahoma"/>
            <family val="2"/>
          </rPr>
          <t xml:space="preserve">Tareas planificadas:
- </t>
        </r>
        <r>
          <rPr>
            <sz val="8"/>
            <color indexed="81"/>
            <rFont val="Tahoma"/>
            <family val="2"/>
          </rPr>
          <t xml:space="preserve">EHCOSPROD-38927: daily, envio tareas de gestión de la configuración
Mantenimiento
- Seguimiento equipo, soporte, correctivos 5.13
- merges
5.15R
- merges
- EHCOSPROD-41024 - Configuración CPOE (análisis técnico) 19/01/2021
- EHCOSPROD-37586 - MULTICENTRO - CPOE (soporte y seguimiento)
- Oncología (actualizar rama con el trunk, estabilización)
- EHCOSPROD-42844: Taller de Nuevos Desarrolladores ehCOS -&gt; preparar formación, revisar calendario de sesiones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EHCOSPROD-38927: daily, envio tareas de gestión de la configuración
Mantenimiento
- Seguimiento equipo, soporte, correctivos 5.13
5.15R
- merges
- EHCOSPROD-41024 - Configuración CPOE (análisis técnico)
- EHCOSPROD-37586 - MULTICENTRO - CPOE (soporte y seguimiento)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R19" authorId="0" shapeId="0" xr:uid="{00000000-0006-0000-0100-0000D8010000}">
      <text>
        <r>
          <rPr>
            <b/>
            <sz val="8"/>
            <color indexed="81"/>
            <rFont val="Tahoma"/>
            <family val="2"/>
          </rPr>
          <t xml:space="preserve">Tareas planificadas:
- </t>
        </r>
        <r>
          <rPr>
            <sz val="8"/>
            <color indexed="81"/>
            <rFont val="Tahoma"/>
            <family val="2"/>
          </rPr>
          <t xml:space="preserve">EHCOSPROD-38927: daily, envio tareas de gestión de la configuración
Mantenimiento
- Seguimiento equipo, soporte, correctivos 5.13, liberación 5.13
- merges
5.15R
- merges
- EHCOSPROD-41024 - Configuración CPOE (análisis técnico) 19/01/2021
- EHCOSPROD-37586 - MULTICENTRO - CPOE (soporte y seguimiento)
- Oncología (actualizar rama con el trunk, estabilización)
- EHCOSPROD-42844: Taller de Nuevos Desarrolladores ehCOS -&gt; preparar sesiones formación (25, 26 y 27 de Enero)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EHCOSPROD-38927: daily, envio tareas de gestión de la configuración
Mantenimiento
- Seguimiento equipo, soporte, correctivos 5.13, soporte liberación 5.13
- merges
- análisis de incidencias solicitado por Susana
5.15R
- EHCOSPROD-37586 - MULTICENTRO - CPOE (soporte y seguimiento)
- EHCOSPROD-41024 - Configuración CPOE (análisis técnico)
- EHCOSPROD-42844: Taller de Nuevos Desarrolladores ehCOS -&gt; preparar sesiones formación (25, 26 y 27 de Enero)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S19" authorId="0" shapeId="0" xr:uid="{00000000-0006-0000-0100-0000D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
- Seguimiento equipo, soporte, correctivos 5.13
- merges
- EHCOSPROD-41024 - Configuración CPOE (análisis técnico) 20/01/2021
- EHCOSPROD-37586 - MULTICENTRO - CPOE (soporte y seguimiento)
- Oncología (actualizar rama con el trunk, estabilización)
- EHCOSPROD-42844: Taller de Nuevos Desarrolladores ehCOS -&gt; sesiones formación (25, 26 y 27 de Enero)
- EHCOSPROD-38927: daily,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envio tareas de gestión de la configuración
- EHCOSPROD-41024 - Configuración CPOE (análisis técnico) 20/01/2021
- soporte errores de despliegue
- EHCOSPROD-37586 - MULTICENTRO - CPOE (soporte y seguimiento)
Mantenimiento
- Seguimiento equipo
- EHCOSPROD-38927: daily,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T19" authorId="0" shapeId="0" xr:uid="{00000000-0006-0000-0100-0000D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
- Seguimiento equipo, soporte, correctivos 5.13
- merges
- EHCOSPROD-41024 - Configuración CPOE (análisis técnico) 20/01/2021
- EHCOSPROD-37586 - MULTICENTRO - CPOE (soporte y seguimiento) -&gt; Hay mucha desviación
- Oncología (actualizar rama con el trunk, estabilización)
- EHCOSPROD-42844: Taller de Nuevos Desarrolladores ehCOS -&gt; sesiones formación (25, 26 y 27 de Enero). incluir uso de eventos con el marco o entre pantallas
- EHCOSPROD-38927: daily,
</t>
        </r>
        <r>
          <rPr>
            <b/>
            <sz val="8"/>
            <color indexed="81"/>
            <rFont val="Tahoma"/>
            <family val="2"/>
          </rPr>
          <t xml:space="preserve">
Avance:
Mantenimiento
- Seguimiento equipo, soporte, correctivos 5.13 (análisis)
envio tareas de gestión de la configuración
- EHCOSPROD-37586 - MULTICENTRO - CPOE (soporte y seguimiento) -&gt; Hay mucha desviación
- EHCOSPROD-41024 - Configuración CPOE (análisis técnico)
- EHCOSPROD-42844: Taller de Nuevos Desarrolladores ehCOS -&gt; sesiones formación (25, 26 y 27 de Enero). incluir uso de eventos con el marco o entre pantallas
- EHCOSPROD-38927: daily,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U19" authorId="0" shapeId="0" xr:uid="{00000000-0006-0000-0100-0000D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
- Seguimiento equipo, soporte, correctivos 5.13
- EHCOSPROD-41024 - Configuración CPOE (análisis técnico) 21/01/2021
- EHCOSPROD-41029 - CPOE | Layout e OrderForm (análisis técnico) inio 21/01, fin 27/01
- EHCOSPROD-37586 - MULTICENTRO - CPOE (soporte y seguimiento)
- EHCOSPROD-42844: Taller de Nuevos Desarrolladores ehCOS -&gt; sesiones formación (25, 26 y 27 de Enero). incluir uso de eventos con el marco o entre pantallas
- EHCOSPROD-38927: daily,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- EHCOSPROD-41024 - Configuración CPOE (soporte y seguimiento)
- EHCOSPROD-37586 - MULTICENTRO - CPOE (soporte y seguimiento)
- EHCOSPROD-41029 - CPOE | Layout e OrderForm (análisis técnico)
- EHCOSPROD-38927: daily,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Y19" authorId="0" shapeId="0" xr:uid="{00000000-0006-0000-0100-0000D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
- Seguimiento equipo, soporte, correctivos 5.13
- EHCOSPROD-41029 - CPOE | Layout e OrderForm (análisis técnico) inio 21/01, fin 27/01
- EHCOSPROD-41024 - Configuración CPOE (soporte y seguimiento, repartir tareas entre Victor y Rodrigo)
- EHCOSPROD-37586 - MULTICENTRO - CPOE (soporte y seguimiento)
- EHCOSPROD-42844: Taller de Nuevos Desarrolladores ehCOS -&gt; sesiones formación (25, 26 y 27 de Enero). incluir uso de eventos con el marco o entre pantallas
- EHCOSPROD-38927: daily,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- EHCOSPROD-37586 - MULTICENTRO - CPOE (soporte y seguimiento)
- EHCOSPROD-41029 - CPOE | Layout e OrderForm (análisis técnico)
- EHCOSPROD-42844: Taller de Nuevos Desarrolladores ehCOS -&gt; sesiones formación (25, 26 y 27 de Enero). incluir uso de eventos con el marco o entre pantallas
- EHCOSPROD-38927: daily,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Z19" authorId="0" shapeId="0" xr:uid="{00000000-0006-0000-0100-0000D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
- Seguimiento equipo, soporte, correctivos 5.13
- EHCOSPROD-41029 - CPOE | Layout e OrderForm (análisis técnico, repartir tareas entre Ricardo Villagrán y Patricio) inio 21/01, fin 27/01
- EHCOSPROD-40310 - Historia clínica oncológica (análisis técnico)
- EHCOSPROD-37586 - MULTICENTRO - CPOE (soporte y seguimiento)
- EHCOSPROD-41024 - Configuración CPOE (soporte y seguimiento, repartir tareas entre Victor y Rodrigo)
- EHCOSPROD-42844: Taller de Nuevos Desarrolladores ehCOS -&gt; sesiones formación (25, 26 y 27 de Enero)
- EHCOSPROD-38927: daily,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- EHCOSPROD-37586 - MULTICENTRO - CPOE (soporte y seguimiento)
- EHCOSPROD-41024 - Configuración CPOE (soporte y seguimiento, repartir tareas entre Victor y Rodrigo)
- EHCOSPROD-41029 - CPOE | Layout e OrderForm (análisis técnico, repartir tareas entre Ricardo Villagrán y Patricio) inio 21/01, fin 27/01
- EHCOSPROD-42844: Taller de Nuevos Desarrolladores ehCOS -&gt; sesiones formación (25, 26 y 27 de Enero)
Mantenimiento
- Seguimiento equipo, soporte, correctivos 5.13
- EHCOSPROD-38927: daily,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A19" authorId="0" shapeId="0" xr:uid="{00000000-0006-0000-0100-0000D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
- Seguimiento equipo, soporte, correctivos 5.13 (merge corrección de prescripción 5.14RC2)
- EHCOSPROD-41029 - CPOE | Layout e OrderForm (análisis técnico, repartir tareas entre Ricardo Villagrán y Patricio) inio 21/01, fin 27/01
- EHCOSPROD-37586 - MULTICENTRO - CPOE (soporte y seguimiento. Análisis causas desviación)
- EHCOSPROD-41024 - Configuración CPOE (soporte y seguimiento, repartir tareas entre Victor y Rodrigo)
- EHCOSPROD-42844: Taller de Nuevos Desarrolladores ehCOS -&gt; sesiones formación (25, 26 y 27 de Enero)
- EHCOSPROD-38927: daily,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
- Seguimiento equipo, soporte, correctivos 5.13 (merge corrección de prescripción 5.14RC2)
- EHCOSPROD-37586 - MULTICENTRO - CPOE (soporte y seguimiento)
- EHCOSPROD-41024 - Configuración CPOE (soporte y seguimiento, revisión parte agendas grupales)
- EHCOSPROD-41029 - CPOE | Layout e OrderForm (análisis técnico, revisión de dudas)
- EHCOSPROD-42844: Taller de Nuevos Desarrolladores ehCOS -&gt; sesiones formación (25, 26 y 27 de Enero)
- EHCOSPROD-38927: daily,
Backlog:
</t>
        </r>
        <r>
          <rPr>
            <sz val="8"/>
            <color indexed="81"/>
            <rFont val="Tahoma"/>
            <family val="2"/>
          </rPr>
          <t>- Rendimiento: movimientos en tablas para optimizaciones. Entorno para pruebas y despliegues automáticos. 
- EHCOSPROD-40310 - Historia clínica oncológica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B19" authorId="0" shapeId="0" xr:uid="{00000000-0006-0000-0100-0000D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
- Seguimiento equipo, soporte, correctivos 5.13 (merge corrección de prescripción 5.14RC2)
- EHCOSPROD-41029 - CPOE | Layout e OrderForm (análisis técnico, repartir tareas entre Ricardo Villagrán y Patricio) inio 21/01, fin 27/01
- EHCOSPROD-40310 - Historia clínica oncológica (leer DF, análisis técnico pendiente cerrar DF)
- EHCOSPROD-37586 - MULTICENTRO - CPOE (soporte y seguimiento. Análisis causas desviación)
- EHCOSPROD-41024 - Configuración CPOE (soporte y seguimiento, repartir tareas entre Victor y Rodrigo)
- EHCOSPROD-38927: daily,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
- Seguimiento equipo, soporte, revisión correctivos (ack envio mensaje)
- EHCOSPROD-41029 - CPOE | Layout e OrderForm (análisis técnico, revisión tareas con Ricardo Villagrán y Patricio)
- EHCOSPROD-37586 - MULTICENTRO - CPOE (soporte y seguimiento. Análisis causas desviación)
- EHCOSPROD-41024 - Configuración CPOE (soporte y seguimiento)
- EHCOSPROD-38927: daily,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C19" authorId="0" shapeId="0" xr:uid="{00000000-0006-0000-0100-0000E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
- Seguimiento equipo, soporte, correctivos 5.13 (merge corrección de prescripción 5.14RC2)
- EHCOSPROD-41029 - CPOE | Layout e OrderForm (análisis técnico, repartir tareas entre Ricardo Villagrán y Patricio) inio 21/01, fin 27/01
- EHCOSPROD-40310 - Historia clínica oncológica (leer DF, análisis técnico pendiente cerrar DF)
- EHCOSPROD-37586 - MULTICENTRO - CPOE (soporte y seguimiento. Análisis causas desviación)
- EHCOSPROD-41024 - Configuración CPOE (soporte y seguimiento, repartir tareas entre Victor y Rodrigo)
- EHCOSPROD-38927: daily,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 (problema entorno 75)
Mantenimiento
- Seguimiento equipo, soporte, correctivos 5.13 (merge corrección de prescripción 5.14RC2)
- EHCOSPROD-41029 - CPOE | Layout e OrderForm (análisis técnico, repartir tareas entre Ricardo Villagrán y Patricio)
- EHCOSPROD-37586 - MULTICENTRO - CPOE (soporte y seguimiento. Análisis causas desviación)
- EHCOSPROD-41024 - Configuración CPOE (soporte y seguimiento, repartir tareas entre Victor y Rodrigo)
- EHCOSPROD-38927: daily,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F19" authorId="0" shapeId="0" xr:uid="{00000000-0006-0000-0100-0000E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
- Seguimiento equipo, soporte, correctivos 5.13 (merge corrección de prescripción 5.14RC2)
- EHCOSPROD-40310 - Historia clínica oncológica (leer DF, análisis técnico pendiente cerrar DF)
- EHCOSPROD-37586 - MULTICENTRO - CPOE (soporte y seguimiento estabilización. Análisis causas desviación)
- EHCOSPROD-41029 - CPOE | Layout e OrderForm (cierre análisis técnico pendiente dudas, soporte y seguimiento Ricardo Villagrán y Patricio) inio 28/01, fin 16/02?
- EHCOSPROD-41024 - Configuración CPOE (soporte y seguimiento, repartir tareas entre Victor y Rodrigo. Revisar avance y plantear punto de control miercoles)
- EHCOSPROD-38927: daily,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
- Seguimiento equipo, soporte, correctivos 5.13 (merge corrección de prescripción 5.14RC2)
- EHCOSPROD-37586 - MULTICENTRO - CPOE (soporte y seguimiento estabilización. Análisis causas desviación)
- EHCOSPROD-41029 - CPOE | Layout e OrderForm (cierre análisis técnico pendiente dudas, soporte y seguimiento Ricardo Villagrán y Patricio) inio 28/01, fin 16/02?
- EHCOSPROD-41024 - Configuración CPOE (soporte y seguimiento, repartir tareas entre Victor y Rodrigo. Revisar avance y plantear punto de control miercoles)
- formación iwok
- EHCOSPROD-38927: daily,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G19" authorId="0" shapeId="0" xr:uid="{00000000-0006-0000-0100-0000E2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
- Seguimiento equipo, soporte, correctivos 5.13
- EHCOSPROD-37586 - MULTICENTRO - CPOE (soporte y seguimiento estabilización. Análisis causas desviación)
- EHCOSPROD-41029 - CPOE | Layout e OrderForm (cierre análisis técnico pendiente dudas, soporte y seguimiento con Ricardo Villagrán y Patricio) inio 28/01, fin 16/02?
- EHCOSPROD-41024 - Configuración CPOE (soporte y seguimiento, con Victor y Rodrigo. punto de control miercoles)
- EHCOSPROD-40310 - Historia clínica oncológica (leer DF, análisis técnico pendiente cerrar DF)
- revisar documentación de los evolutivos de la 5.15 que haya analizado
- EHCOSPROD-38927: daily,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
- Seguimiento equipo, soporte, correctivos 5.13
- EHCOSPROD-41029 - CPOE | Layout e OrderForm (cierre análisis técnico pendiente dudas, soporte y seguimiento con Ricardo Villagrán y Patricio) inio 28/01, fin 16/02?
- EHCOSPROD-41024 - Configuración CPOE (soporte y seguimiento, con Victor y Rodrigo. punto de control miercoles)
- revisar documentación de los evolutivos de la 5.15 que haya analizado
- EHCOSPROD-38927: daily,
Backlog:
</t>
        </r>
        <r>
          <rPr>
            <sz val="8"/>
            <color indexed="81"/>
            <rFont val="Tahoma"/>
            <family val="2"/>
          </rPr>
          <t>- Rendimiento: movimientos en tablas para optimizaciones. Entorno para pruebas y despliegues automáticos. 
- EHCOSPROD-44110 - MULTICENTRO - CPOE para prueba de flujo general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H19" authorId="0" shapeId="0" xr:uid="{00000000-0006-0000-0100-0000E3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Mantenimiento
- Seguimiento equipo, soporte, correctivos 5.13-5.14
- EHCOSPROD-37586 - MULTICENTRO - CPOE (soporte y seguimiento estabilización. Análisis causas desviación)
- EHCOSPROD-41029 - CPOE | Layout e OrderForm (</t>
        </r>
        <r>
          <rPr>
            <b/>
            <sz val="8"/>
            <color indexed="81"/>
            <rFont val="Tahoma"/>
            <family val="2"/>
          </rPr>
          <t>cierre análisis técnico</t>
        </r>
        <r>
          <rPr>
            <sz val="8"/>
            <color indexed="81"/>
            <rFont val="Tahoma"/>
            <family val="2"/>
          </rPr>
          <t xml:space="preserve">, soporte y seguimiento con Ricardo Villagrán y Patricio, punto de control) inio 28/01, fin 16/02?
- EHCOSPROD-41024 - Configuración CPOE (soporte y seguimiento, con Victor y Rodrigo. punto de control miercoles) fin 16/02
- revisar documentación de los evolutivos de la 5.15 que haya analizado
- EHCOSPROD-38927: daily,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
- Seguimiento equipo, soporte, correctivos 5.13-5.14
- EHCOSPROD-41029 - CPOE | Layout e OrderForm (reunión pausado alcance, soporte y seguimiento con Ricardo Villagrán y Patricio)
- EHCOSPROD-41024 - Configuración CPOE (soporte y seguimiento con Victor y Rodrigo. punto de control)
- revisar documentación de los evolutivos de la 5.15 que haya analizado
- EHCOSPROD-38927: daily,
Backlog:
</t>
        </r>
        <r>
          <rPr>
            <sz val="8"/>
            <color indexed="81"/>
            <rFont val="Tahoma"/>
            <family val="2"/>
          </rPr>
          <t>- EHCOSPROD-40310 - Historia clínica oncológica (leer DF, análisis técnico pendiente cerrar DF)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Rendimiento: movimientos en tablas para optimizaciones. Entorno para pruebas y despliegues automáticos. 
- EHCOSPROD-44110 - MULTICENTRO - CPOE para prueba de flujo general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I19" authorId="0" shapeId="0" xr:uid="{00000000-0006-0000-0100-0000E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Mantenimiento
- Seguimiento equipo, soporte, correctivos 5.13-5.14
- EHCOSPROD-37586 - MULTICENTRO - CPOE (merge al trunk y subida de scripts. Análisis causas desviación)
- EHCOSPROD-41029 - CPOE | Layout e OrderForm (</t>
        </r>
        <r>
          <rPr>
            <b/>
            <sz val="8"/>
            <color indexed="81"/>
            <rFont val="Tahoma"/>
            <family val="2"/>
          </rPr>
          <t>cierre análisis técnico</t>
        </r>
        <r>
          <rPr>
            <sz val="8"/>
            <color indexed="81"/>
            <rFont val="Tahoma"/>
            <family val="2"/>
          </rPr>
          <t xml:space="preserve">, soporte y seguimiento con Ricardo Villagrán y Patricio, punto de control) inio 28/01, fin 16/02?
- EHCOSPROD-41024 - Configuración CPOE (soporte y seguimiento, con Victor) fin 01/03
- revisar documentación de los evolutivos de la 5.15 que haya analizado
- EHCOSPROD-38927: daily,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
- Seguimiento equipo, soporte, correctivos 5.13-5.14
- EHCOSPROD-37586 - MULTICENTRO - CPOE (merge al trunk y subida de scripts)
- EHCOSPROD-41029 - CPOE | Layout e OrderForm (cierre análisis técnico, soporte y seguimiento con Ricardo Villagrán y Patricio, punto de control)
- EHCOSPROD-41024 - Configuración CPOE (soporte y seguimiento, con Victor)
- EHCOSPROD-38927: daily,
Backlog:
</t>
        </r>
        <r>
          <rPr>
            <sz val="8"/>
            <color indexed="81"/>
            <rFont val="Tahoma"/>
            <family val="2"/>
          </rPr>
          <t>- EHCOSPROD-40310 - Historia clínica oncológica (leer DF, análisis técnico pendiente cerrar DF)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Rendimiento: movimientos en tablas para optimizaciones. Entorno para pruebas y despliegues automáticos. 
- EHCOSPROD-44110 - MULTICENTRO - CPOE para prueba de flujo general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J19" authorId="0" shapeId="0" xr:uid="{00000000-0006-0000-0100-0000E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
- Seguimiento equipo, soporte, correctivos 5.13 </t>
        </r>
        <r>
          <rPr>
            <b/>
            <sz val="8"/>
            <color indexed="81"/>
            <rFont val="Tahoma"/>
            <family val="2"/>
          </rPr>
          <t>(liberación?)</t>
        </r>
        <r>
          <rPr>
            <sz val="8"/>
            <color indexed="81"/>
            <rFont val="Tahoma"/>
            <family val="2"/>
          </rPr>
          <t xml:space="preserve">
- EHCOSPROD-40310 - Historia clínica oncológica (análisis técnico) fin 09/02
- EHCOSPROD-41029 - CPOE | Layout e OrderForm (</t>
        </r>
        <r>
          <rPr>
            <b/>
            <sz val="8"/>
            <color indexed="81"/>
            <rFont val="Tahoma"/>
            <family val="2"/>
          </rPr>
          <t>cierre análisis técnico pendiente decisión proyecto</t>
        </r>
        <r>
          <rPr>
            <sz val="8"/>
            <color indexed="81"/>
            <rFont val="Tahoma"/>
            <family val="2"/>
          </rPr>
          <t xml:space="preserve">, soporte y seguimiento con Ricardo Villagrán y Patricio) inicio 28/01, fin 16/02?
- EHCOSPROD-41024 - Configuración CPOE (soporte y seguimiento, con Victor) fin 01/03
- revisar documentación de los evolutivos de la 5.15 que haya analizado
- documento de componentes del FWK para enviar a Argentina
- EHCOSPROD-38927: daily,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
- Seguimiento equipo, soporte, correctivos 5.13 (liberación?)
- EHCOSPROD-40310 - Historia clínica oncológica (análisis técnico)
- EHCOSPROD-41029 - CPOE | Layout e OrderForm (cierre análisis técnico pendiente decisión proyecto, soporte y seguimiento con Ricardo Villagrán y Patricio) inicio 28/01, fin 16/02?
- EHCOSPROD-41024 - Configuración CPOE (soporte y seguimiento, con Victor) fin 01/03
- revisar documentación de los evolutivos de la 5.15 que haya analizado
- EHCOSPROD-38927: daily, Soporte merge oncología
Backlog:
</t>
        </r>
        <r>
          <rPr>
            <sz val="8"/>
            <color indexed="81"/>
            <rFont val="Tahoma"/>
            <family val="2"/>
          </rPr>
          <t>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M19" authorId="0" shapeId="0" xr:uid="{00000000-0006-0000-0100-0000E6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
- Seguimiento equipo, soporte, correctivos 5.13 </t>
        </r>
        <r>
          <rPr>
            <b/>
            <sz val="8"/>
            <color indexed="81"/>
            <rFont val="Tahoma"/>
            <family val="2"/>
          </rPr>
          <t>(liberación?)</t>
        </r>
        <r>
          <rPr>
            <sz val="8"/>
            <color indexed="81"/>
            <rFont val="Tahoma"/>
            <family val="2"/>
          </rPr>
          <t xml:space="preserve">
- EHCOSPROD-40310 - Historia clínica oncológica (análisis técnico) fin 09/02
- EHCOSPROD-41029 - CPOE | Layout e OrderForm (</t>
        </r>
        <r>
          <rPr>
            <b/>
            <sz val="8"/>
            <color indexed="81"/>
            <rFont val="Tahoma"/>
            <family val="2"/>
          </rPr>
          <t>cierre análisis técnico pendiente decisión proyecto</t>
        </r>
        <r>
          <rPr>
            <sz val="8"/>
            <color indexed="81"/>
            <rFont val="Tahoma"/>
            <family val="2"/>
          </rPr>
          <t xml:space="preserve">, soporte y seguimiento con Ricardo Villagrán y Patricio) inicio 28/01, fin 16/02?
- EHCOSPROD-41024 - Configuración CPOE (soporte y seguimiento, con Victor) fin 01/03
- revisar documentación de los evolutivos de la 5.15 que haya analizado
- documento de componentes del FWK para enviar a Argentina
- EHCOSPROD-38927: daily,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
- Seguimiento equipo, soporte, correctivos 5.13. reunión con Hernán
- EHCOSPROD-40310 - Historia clínica oncológica (análisis técnico, estimación alto nivel)
- EHCOSPROD-41029 - CPOE | Layout e OrderForm (cierre análisis técnico pendiente decisión proyecto, soporte y seguimiento con Ricardo Villagrán y Patricio)
- EHCOSPROD-41024 - Configuración CPOE (soporte y seguimiento, con Victor)
- revisar documentación de los evolutivos de la 5.15 que haya analizado
- documento de componentes del FWK para enviar a Argentina
- EHCOSPROD-38927: daily, Soporte
Backlog:
</t>
        </r>
        <r>
          <rPr>
            <sz val="8"/>
            <color indexed="81"/>
            <rFont val="Tahoma"/>
            <family val="2"/>
          </rPr>
          <t>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N19" authorId="0" shapeId="0" xr:uid="{00000000-0006-0000-0100-0000E7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
- Seguimiento equipo, soporte, correctivos 5.13 </t>
        </r>
        <r>
          <rPr>
            <b/>
            <sz val="8"/>
            <color indexed="81"/>
            <rFont val="Tahoma"/>
            <family val="2"/>
          </rPr>
          <t>(liberación pendiente pruebas)</t>
        </r>
        <r>
          <rPr>
            <sz val="8"/>
            <color indexed="81"/>
            <rFont val="Tahoma"/>
            <family val="2"/>
          </rPr>
          <t xml:space="preserve">
- EHCOSPROD-40310 - Historia clínica oncológica (análisis técnico) fin 12/02
- EHCOSPROD-41024 - Configuración CPOE (soporte y seguimiento, con Victor) fin 01/03
- EHCOSPROD-41029 - CPOE | Layout e OrderForm (</t>
        </r>
        <r>
          <rPr>
            <b/>
            <sz val="8"/>
            <color indexed="81"/>
            <rFont val="Tahoma"/>
            <family val="2"/>
          </rPr>
          <t>cierre análisis técnico pendiente decisión proyecto</t>
        </r>
        <r>
          <rPr>
            <sz val="8"/>
            <color indexed="81"/>
            <rFont val="Tahoma"/>
            <family val="2"/>
          </rPr>
          <t xml:space="preserve">, soporte y seguimiento con Ricardo Villagrán y Patricio) inicio 28/01, fin 16/02?
- revisar documentación de los evolutivos de la 5.15 que haya analizado
- EHCOSPROD-38927: daily,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
- Seguimiento equipo, soporte, correctivos 5.13
- EHCOSPROD-40310 - Historia clínica oncológica (análisis técnico)
- EHCOSPROD-41024 - Configuración CPOE (soporte y seguimiento, con Victor)
- EHCOSPROD-41029 - CPOE | Layout e OrderForm (cierre análisis técnico pendiente decisión proyecto, soporte y seguimiento con Ricardo Villagrán y Patricio)
- EHCOSPROD-38927: daily, Soporte Marta acciones adicionales
Backlog:
</t>
        </r>
        <r>
          <rPr>
            <sz val="8"/>
            <color indexed="81"/>
            <rFont val="Tahoma"/>
            <family val="2"/>
          </rPr>
          <t>- Rendimiento: movimientos en tablas para optimizaciones. Entorno para pruebas y despliegues automáticos. 
- EHCOSPROD-44110 - MULTICENTRO - CPOE para prueba de flujo general (análisis técnico)
- EHCOSPROD-37586 - MULTICENTRO - CPOE (Revisión análisis causas desviación)
- EHCOSPROD-41715 - Configuración de componentes de la hoja de registro de enfermería por sección (análisis técnico)</t>
        </r>
      </text>
    </comment>
    <comment ref="LO19" authorId="0" shapeId="0" xr:uid="{00000000-0006-0000-0100-0000E8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 </t>
        </r>
        <r>
          <rPr>
            <b/>
            <sz val="8"/>
            <color indexed="81"/>
            <rFont val="Tahoma"/>
            <family val="2"/>
          </rPr>
          <t xml:space="preserve">(liberación pendiente pruebas)
</t>
        </r>
        <r>
          <rPr>
            <sz val="8"/>
            <color indexed="81"/>
            <rFont val="Tahoma"/>
            <family val="2"/>
          </rPr>
          <t>- EHCOSPROD-44127 - Campo versão das entidades
- EHCOSPROD-40310 - Historia clínica oncológica (análisis técnico) fin 12/02
- EHCOSPROD-41024 - Configuración CPOE (soporte y seguimiento, con Victor y Ricardo Villagran) fin 01/03
- EHCOSPROD-41029 - CPOE | Layout e OrderForm (</t>
        </r>
        <r>
          <rPr>
            <b/>
            <sz val="8"/>
            <color indexed="81"/>
            <rFont val="Tahoma"/>
            <family val="2"/>
          </rPr>
          <t>cierre análisis técnico pendiente decisión proyecto</t>
        </r>
        <r>
          <rPr>
            <sz val="8"/>
            <color indexed="81"/>
            <rFont val="Tahoma"/>
            <family val="2"/>
          </rPr>
          <t xml:space="preserve">, soporte y seguimiento con Ricardo Villagrán y Patricio) inicio 28/01, fin 16/02?
- revisar documentación de los evolutivos de la 5.15 que haya analizado
- EHCOSPROD-38927: daily, sesiones por producto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 y soporte
- Seguimiento equipo, soporte, revisión correctivos 5.13
- EHCOSPROD-40310 - Historia clínica oncológica (análisis técnico)
- EHCOSPROD-41024 - Configuración CPOE (soporte y seguimiento, con Victor y Ricardo Villagran)
- EHCOSPROD-41029 - CPOE | Layout e OrderForm (cierre análisis técnico pendiente decisión proyecto, soporte y seguimiento con Ricardo Villagrán y Patricio, punto de control)
- EHCOSPROD-38927: daily, sesiones por producto. Soporte merge Javi Hurtado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
- EHCOSPROD-44110 - MULTICENTRO - CPOE para prueba de flujo general (análisis técnico)
- EHCOSPROD-37586 - MULTICENTRO - CPOE (Revisión análisis causas desviación)
- EHCOSPROD-41715 - Configuración de componentes de la hoja de registro de enfermería por sección (análisis técnico)
</t>
        </r>
        <r>
          <rPr>
            <b/>
            <sz val="8"/>
            <color indexed="81"/>
            <rFont val="Tahoma"/>
            <family val="2"/>
          </rPr>
          <t>- soporte desarrollos editor de informes en remote a partir del 15/02</t>
        </r>
      </text>
    </comment>
    <comment ref="LP19" authorId="0" shapeId="0" xr:uid="{00000000-0006-0000-0100-0000E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5.13.X-5.14.X </t>
        </r>
        <r>
          <rPr>
            <b/>
            <sz val="8"/>
            <color indexed="81"/>
            <rFont val="Tahoma"/>
            <family val="2"/>
          </rPr>
          <t xml:space="preserve">(liberación pendiente pruebas)
</t>
        </r>
        <r>
          <rPr>
            <sz val="8"/>
            <color indexed="81"/>
            <rFont val="Tahoma"/>
            <family val="2"/>
          </rPr>
          <t>- EHCOSPROD-44127 - Campo versão das entidades (asignar a Hernán)
- EHCOSPROD-40310 - Historia clínica oncológica (análisis técnico) fin 12/02
- EHCOSPROD-41024 - Configuración CPOE (soporte y seguimiento, con Victor y Ricardo Villagran) fin 01/03
- EHCOSPROD-41029 - CPOE | Layout e OrderForm (</t>
        </r>
        <r>
          <rPr>
            <b/>
            <sz val="8"/>
            <color indexed="81"/>
            <rFont val="Tahoma"/>
            <family val="2"/>
          </rPr>
          <t>cierre análisis técnico pendiente decisión proyecto</t>
        </r>
        <r>
          <rPr>
            <sz val="8"/>
            <color indexed="81"/>
            <rFont val="Tahoma"/>
            <family val="2"/>
          </rPr>
          <t xml:space="preserve">, soporte y seguimiento con Ricardo Villagrán y Patricio) inicio 28/01, fin 16/02?
- revisar documentación de los evolutivos de la 5.15 que haya analizado
- EHCOSPROD-38927: daily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 y soporte
- Seguimiento equipo, soporte, correctivos 5.13.X (liberación pendiente pruebas)
- EHCOSPROD-44127 - Campo versão das entidades (asignar a Hernán)
- EHCOSPROD-40310 - Historia clínica oncológica (análisis técnico)
- EHCOSPROD-41024 - Configuración CPOE (soporte y seguimiento, con Victor y Ricardo Villagran) fin 01/03
- EHCOSPROD-41029 - CPOE | Layout e OrderForm (cierre análisis técnico pendiente decisión proyecto, soporte y seguimiento con Ricardo Villagrán y Patricio) inicio 28/01, fin 16/02?
- EHCOSPROD-38927: daily
Backlog:
</t>
        </r>
        <r>
          <rPr>
            <sz val="8"/>
            <color indexed="81"/>
            <rFont val="Tahoma"/>
            <family val="2"/>
          </rPr>
          <t xml:space="preserve">- Rendimiento: movimientos en tablas para optimizaciones. Entorno para pruebas y despliegues automáticos. 
- EHCOSPROD-44110 - MULTICENTRO - CPOE para prueba de flujo general (análisis técnico)
- EHCOSPROD-37586 - MULTICENTRO - CPOE (Revisión análisis causas desviación)
- EHCOSPROD-41715 - Configuración de componentes de la hoja de registro de enfermería por sección (análisis técnico)
</t>
        </r>
        <r>
          <rPr>
            <b/>
            <sz val="8"/>
            <color indexed="81"/>
            <rFont val="Tahoma"/>
            <family val="2"/>
          </rPr>
          <t>- soporte desarrollos editor de informes en remote a partir del 15/02</t>
        </r>
      </text>
    </comment>
    <comment ref="LQ19" authorId="0" shapeId="0" xr:uid="{00000000-0006-0000-0100-0000E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5.13.X-5.14.X </t>
        </r>
        <r>
          <rPr>
            <b/>
            <sz val="8"/>
            <color indexed="81"/>
            <rFont val="Tahoma"/>
            <family val="2"/>
          </rPr>
          <t xml:space="preserve">(liberación pendiente pruebas)
</t>
        </r>
        <r>
          <rPr>
            <sz val="8"/>
            <color indexed="81"/>
            <rFont val="Tahoma"/>
            <family val="2"/>
          </rPr>
          <t xml:space="preserve">- EHCOSPROD-44127 - Campo versão das entidades (asignar a Hernán)
- EHCOSPROD-40310 - Historia clínica oncológica (análisis técnico) fin 12/02
- EHCOSPROD-44241 - Facturación: cambio campo Motivo de eliminado de un producto de texto libre a catálogo  (análisis técnico)
- EHCOSPROD-41024 - Configuración CPOE (soporte y seguimiento, con Victor y Ricardo Villagran) fin 01/03
- revisar documentación de los evolutivos de la 5.15 que haya analizado
- EHCOSPROD-38927: daily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 y soporte
- Seguimiento equipo, soporte, correctivos 5.13.X
- EHCOSPROD-40310 - Historia clínica oncológica (análisis técnico)
- EHCOSPROD-41024 - Configuración CPOE (soporte y seguimiento, con Victor y Ricardo Villagran)
- EHCOSPROD-38927: daily
Backlog:
</t>
        </r>
        <r>
          <rPr>
            <sz val="8"/>
            <color indexed="81"/>
            <rFont val="Tahoma"/>
            <family val="2"/>
          </rPr>
          <t>- EHCOSPROD-41029 - CPOE | Layout e OrderForm (cierre análisis técnico pendiente decisión proyecto, soporte y seguimiento con Ricardo Villagrán y Patricio)
- EHCOSPROD-41715 / EHCOSPROD-44400 - DT: Configuración de componentes de la hoja de registro de enfermería por sección 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LT19" authorId="0" shapeId="0" xr:uid="{00000000-0006-0000-0100-0000E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 (EHCOSPROD-42505 - Búsquedas en listas de trabajo nuevas: favoritos)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5.13.X-5.14.X </t>
        </r>
        <r>
          <rPr>
            <b/>
            <sz val="8"/>
            <color indexed="81"/>
            <rFont val="Tahoma"/>
            <family val="2"/>
          </rPr>
          <t xml:space="preserve">(liberación pendiente pruebas)
</t>
        </r>
        <r>
          <rPr>
            <sz val="8"/>
            <color indexed="81"/>
            <rFont val="Tahoma"/>
            <family val="2"/>
          </rPr>
          <t xml:space="preserve">- EHCOSPROD-44127 - Campo versão das entidades (asignar a Hernán)
- EHCOSPROD-40310 - Historia clínica oncológica (análisis técnico) fin 12/02
- EHCOSPROD-44241 / EHCOSPROD-44432 - DT: Facturación: cambio campo Motivo de eliminado de un producto de texto libre a catálogo (análisis técnico)
- EHCOSPROD-41715 / EHCOSPROD-44400 - DT: Configuración de componentes de la hoja de registro de enfermería por sección  (análisis técnico)
- EHCOSPROD-41024 - Configuración CPOE (soporte y seguimiento, con Victor y Ricardo Villagran) fin 01/03
- revisar documentación de los evolutivos de la 5.15 que haya analizado
- EHCOSPROD-41029 - CPOE | Layout e OrderForm (cierre análisis técnico pendiente decisión proyecto, soporte y seguimiento con Ricardo Villagrán y Patricio)
- EHCOSPROD-38927: daily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 (EHCOSPROD-42505 - Búsquedas en listas de trabajo nuevas: favoritos)
Mantenimiento y soporte
- Seguimiento equipo, soporte, correctivos 5.13.X (liberación pendiente pruebas)
- EHCOSPROD-40310 - Historia clínica oncológica (análisis técnico)
- EHCOSPROD-44241 / EHCOSPROD-44432 - DT: Facturación: cambio campo Motivo de eliminado de un producto de texto libre a catálogo (análisis técnico)
- EHCOSPROD-41024 - Configuración CPOE (soporte y seguimiento, con Victor y Ricardo Villagran) fin 01/03
- EHCOSPROD-38927: daily
Backlog:
</t>
        </r>
        <r>
          <rPr>
            <sz val="8"/>
            <color indexed="81"/>
            <rFont val="Tahoma"/>
            <family val="2"/>
          </rPr>
          <t>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LU19" authorId="0" shapeId="0" xr:uid="{00000000-0006-0000-0100-0000E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5.13.X-5.14.X
- EHCOSPROD-40310 - Historia clínica oncológica (cerrar análisis técnico)
- EHCOSPROD-41715 / EHCOSPROD-44400 - DT: Configuración de componentes de la hoja de registro de enfermería por sección  (análisis técnico)
- EHCOSPROD-41024 - Configuración CPOE (soporte y seguimiento, con Victor) fin 26/02
- revisar documentación de los evolutivos de la 5.15 que haya analizado
- EHCOSPROD-44241 / EHCOSPROD-44433 - Desarrollo: Facturación: cambio campo Motivo de eliminado de un producto de texto libre a catálogo (seguimiento desarrollo Victor) inicio 18/02, fin 19/02
- EHCOSPROD-38927: daily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 y soporte
- Seguimiento equipo, soporte, correctivos 5.13.X
- EHCOSPROD-40310 - Historia clínica oncológica (cerrar análisis técnico)
- EHCOSPROD-41715 / EHCOSPROD-44400 - DT: Configuración de componentes de la hoja de registro de enfermería por sección  (análisis técnico)
- EHCOSPROD-41024 - Configuración CPOE (soporte y seguimiento, con Victor) fin 26/02
- EHCOSPROD-41029 - CPOE | Layout e OrderForm (revisión prototipo)
- EHCOSPROD-38927: daily
Backlog:
</t>
        </r>
        <r>
          <rPr>
            <sz val="8"/>
            <color indexed="81"/>
            <rFont val="Tahoma"/>
            <family val="2"/>
          </rPr>
          <t>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LV19" authorId="0" shapeId="0" xr:uid="{00000000-0006-0000-0100-0000E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
- EHCOSPROD-41029 - CPOE | Layout e OrderForm (cierre análisis técnico, soporte y seguimiento Rodrigo)
- EHCOSPROD-41715 / EHCOSPROD-44400 - DT: Configuración de componentes de la hoja de registro de enfermería por sección  (análisis técnico)
- EHCOSPROD-41024 - Configuración CPOE (soporte y seguimiento, con Victor) fin 26/02
- EHCOSPROD-40310 - Historia clínica oncológica (seguimiento y soporte Nicolás)
- revisar documentación de los evolutivos de la 5.15 que haya analizado
- EHCOSPROD-38927: daily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 y soporte
- Seguimiento equipo, soporte
- EHCOSPROD-41029 - CPOE | Layout e OrderForm (análisis técnico)
- EHCOSPROD-41715 / EHCOSPROD-44400 - DT: Configuración de componentes de la hoja de registro de enfermería por sección  (análisis técnico)
- EHCOSPROD-40310 - Historia clínica oncológica (seguimiento y soporte Nicolás)
- EHCOSPROD-38927: daily
Backlog:
</t>
        </r>
        <r>
          <rPr>
            <sz val="8"/>
            <color indexed="81"/>
            <rFont val="Tahoma"/>
            <family val="2"/>
          </rPr>
          <t xml:space="preserve">- EHCOSPROD-44241 / EHCOSPROD-44433 - Desarrollo: Facturación: cambio campo Motivo de eliminado de un producto de texto libre a catálogo (seguimiento desarrollo Victor) </t>
        </r>
        <r>
          <rPr>
            <b/>
            <sz val="8"/>
            <color indexed="81"/>
            <rFont val="Tahoma"/>
            <family val="2"/>
          </rPr>
          <t xml:space="preserve">inicio 18/02, fin 19/02
</t>
        </r>
        <r>
          <rPr>
            <sz val="8"/>
            <color indexed="81"/>
            <rFont val="Tahoma"/>
            <family val="2"/>
          </rPr>
          <t>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LW19" authorId="0" shapeId="0" xr:uid="{00000000-0006-0000-0100-0000E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
- EHCOSPROD-41029 - CPOE | Layout e OrderForm (cierre análisis técnico, soporte y seguimiento Rodrigo)
- EHCOSPROD-41715 / EHCOSPROD-44400 - DT: Configuración de componentes de la hoja de registro de enfermería por sección  (análisis técnico)
- EHCOSPROD-44241 / EHCOSPROD-44433 - Desarrollo: Facturación: cambio campo Motivo de eliminado de un producto de texto libre a catálogo (seguimiento desarrollo Victor) inicio 18/02, fin 19/02
- EHCOSPROD-40310 - Historia clínica oncológica (seguimiento y soporte Nicolás)
- revisar documentación de los evolutivos de la 5.15 que haya analizado
- EHCOSPROD-41024 - Configuración CPOE (soporte y seguimiento, con Victor) fin 26/02
- EHCOSPROD-38927: daily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 y soporte
- Seguimiento equipo, soporte, correctivos 5.13.X. Soporte integraciones
- EHCOSPROD-41029 - CPOE | Layout e OrderForm (análisis técnico)
- EHCOSPROD-44241 / EHCOSPROD-44433 - Desarrollo: Facturación: cambio campo Motivo de eliminado de un producto de texto libre a catálogo (seguimiento desarrollo Victor) inicio 18/02, fin 19/02
- EHCOSPROD-40310 - Historia clínica oncológica (seguimiento y soporte Nicolás)
- EHCOSPROD-38927: daily
Backlog:
</t>
        </r>
        <r>
          <rPr>
            <sz val="8"/>
            <color indexed="81"/>
            <rFont val="Tahoma"/>
            <family val="2"/>
          </rPr>
          <t>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LX19" authorId="0" shapeId="0" xr:uid="{00000000-0006-0000-0100-0000E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 - 5.14X: EHCOSPROD-41489
- EHCOSPROD-41029 - CPOE | Layout e OrderForm (cierre análisis técnico, soporte y seguimiento Rodrigo)
- EHCOSPROD-41715 / EHCOSPROD-44400 - DT: Configuración de componentes de la hoja de registro de enfermería por sección  (análisis técnico)
- EHCOSPROD-44241 / EHCOSPROD-44433 - Desarrollo: Facturación: cambio campo Motivo de eliminado de un producto de texto libre a catálogo (seguimiento desarrollo Victor) inicio 18/02, fin 19/02
- EHCOSPROD-40310 - Historia clínica oncológica (seguimiento y soporte Nicolás)
- EHCOSPROD-41024 - Configuración CPOE (soporte y seguimiento, con Victor) fin 26/02
- revisar documentación de los evolutivos de la 5.15 que haya analizado (incluir marca confidencialidad)
- EHCOSPROD-38927: daily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configuración. restaurar bd Córdoba 130
Mantenimiento y soporte
- Seguimiento equipo, soporte, correctivos 5.13.X, análisis incidencias
- EHCOSPROD-41029 - CPOE | Layout e OrderForm (cierre análisis técnico)
- EHCOSPROD-40310 - Historia clínica oncológica (seguimiento y soporte Nicolás)
- EHCOSPROD-38927: daily
Backlog:
</t>
        </r>
        <r>
          <rPr>
            <sz val="8"/>
            <color indexed="81"/>
            <rFont val="Tahoma"/>
            <family val="2"/>
          </rPr>
          <t>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MA19" authorId="0" shapeId="0" xr:uid="{00000000-0006-0000-0100-0000F0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 - 5.14X: EHCOSPROD-43274, EHCOSPROD-41489, EHCOSPROD-41486
- EHCOSPROD-41029 - CPOE | Layout e OrderForm (cierre análisis técnico, soporte y seguimiento Rodrigo)
- EHCOSPROD-44241 / EHCOSPROD-44433 - Desarrollo: Facturación: cambio campo Motivo de eliminado de un producto de texto libre a catálogo (revisión, pruebas mínimas despliegue)
- EHCOSPROD-40310 - Historia clínica oncológica (seguimiento y soporte Nicolás)
- EHCOSPROD-41024 - Configuración CPOE (soporte y seguimiento, con Victor) fin 26/02
- revisar documentación de los evolutivos de la 5.15 que haya analizado (incluir marca confidencialidad)
- EHCOSPROD-38927: daily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
Mantenimiento y soporte
- Seguimiento equipo, soporte, correctivos 5.13.X
- EHCOSPROD-41029 - CPOE | Layout e OrderForm (cierre análisis técnico)
- EHCOSPROD-40310 - Historia clínica oncológica (seguimiento y soporte Nicolás)
- EHCOSPROD-38927: daily
Backlog:
</t>
        </r>
        <r>
          <rPr>
            <sz val="8"/>
            <color indexed="81"/>
            <rFont val="Tahoma"/>
            <family val="2"/>
          </rPr>
          <t>- EHCOSPROD-41715 / EHCOSPROD-44400 - DT: Configuración de componentes de la hoja de registro de enfermería por sección  (análisis técnico)
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MB19" authorId="0" shapeId="0" xr:uid="{00000000-0006-0000-0100-0000F1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 - 5.14X: EHCOSPROD-44693, EHCOSPROD-41489, EHCOSPROD-41486
- EHCOSPROD-41029 - CPOE | Layout e OrderForm (cierre análisis técnico, soporte y seguimiento Rodrigo)
- EHCOSPROD-44241 / EHCOSPROD-44433 - Desarrollo: Facturación: cambio campo Motivo de eliminado de un producto de texto libre a catálogo (revisión, pruebas mínimas despliegue)
- EHCOSPROD-40310 - Historia clínica oncológica (seguimiento y soporte Nicolás)
- EHCOSPROD-41024 - Configuración CPOE (soporte y seguimiento, con Victor) fin 26/02
- revisar documentación de los evolutivos de la 5.15 que haya analizado (incluir marca confidencialidad)
- EHCOSPROD-38927: daily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configuración. Problemas máquina 77 BD Oracle
Mantenimiento y soporte
- Seguimiento equipo, soporte, correctivos 5.13.X, arrancar release local y generación de licencia
- EHCOSPROD-44241 / EHCOSPROD-44433 - Desarrollo: Facturación: cambio campo Motivo de eliminado de un producto de texto libre a catálogo (revisión, pruebas mínimas despliegue)
- EHCOSPROD-40310 - Historia clínica oncológica (seguimiento y soporte Nicolás)
- EHCOSPROD-38927: daily
Backlog:
</t>
        </r>
        <r>
          <rPr>
            <sz val="8"/>
            <color indexed="81"/>
            <rFont val="Tahoma"/>
            <family val="2"/>
          </rPr>
          <t>- EHCOSPROD-41715 / EHCOSPROD-44400 - DT: Configuración de componentes de la hoja de registro de enfermería por sección  (análisis técnico)
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MC19" authorId="0" shapeId="0" xr:uid="{00000000-0006-0000-0100-0000F2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 Restaurar BD Oracle 77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
- EHCOSPROD-41029 - CPOE | Layout e OrderForm (cierre análisis técnico, soporte y seguimiento Rodrigo)
- EHCOSPROD-41715 / EHCOSPROD-44400 - DT: Configuración de componentes de la hoja de registro de enfermería por sección  (análisis técnico)
- EHCOSPROD-44241 / EHCOSPROD-44433 - Desarrollo: Facturación: cambio campo Motivo de eliminado de un producto de texto libre a catálogo (revisión, pruebas mínimas despliegue)
- EHCOSPROD-40310 - Historia clínica oncológica (seguimiento y soporte Nicolás)
- revisar documentación de los evolutivos de la 5.15 que haya analizado (incluir marca confidencialidad)
- EHCOSPROD-38927: daily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configuración.
Mantenimiento y soporte
- Seguimiento equipo, soporte, correctivos 5.13.X
- EHCOSPROD-41029 - CPOE | Layout e OrderForm (cierre análisis técnico, soporte y seguimiento Rodrigo)
- EHCOSPROD-41715 / EHCOSPROD-44400 - DT: Configuración de componentes de la hoja de registro de enfermería por sección  (análisis técnico)
- EHCOSPROD-40310 - Historia clínica oncológica (seguimiento y soporte Nicolás)
- EHCOSPROD-38927: daily
Backlog: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MD19" authorId="0" shapeId="0" xr:uid="{00000000-0006-0000-0100-0000F3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(cierre análisis técnico, soporte y seguimiento Rodrigo)
- EHCOSPROD-41715 / EHCOSPROD-44400 - DT: Configuración de componentes de la hoja de registro de enfermería por sección  (análisis técnico)
- EHCOSPROD-40310 - Historia clínica oncológica (seguimiento y soporte Nicolás)
- EHCOSPROD-44241 / EHCOSPROD-44433 - Desarrollo: Facturación: cambio campo Motivo de eliminado de un producto de texto libre a catálogo (revisión, pruebas mínimas despliegue)
- revisar documentación de los evolutivos de la 5.15 que haya analizado (incluir marca confidencialidad)
- EHCOSPROD-38927: daily
</t>
        </r>
        <r>
          <rPr>
            <b/>
            <sz val="8"/>
            <color indexed="81"/>
            <rFont val="Tahoma"/>
            <family val="2"/>
          </rPr>
          <t xml:space="preserve">
Avance:
- Seguimiento equipo, soporte, correctivos 5.13.X, correctivos devueltos 5.14R (incidencias devuelta proyectos pruebas entornos incorrectos)
- EHCOSPROD-41029 - CPOE | Layout e OrderForm (cierre análisis técnico, soporte y seguimiento Rodrigo) cerrado.
- EHCOSPROD-41715 / EHCOSPROD-44400 - DT: Configuración de componentes de la hoja de registro de enfermería por sección  (análisis técnico)
- EHCOSPROD-40310 - Historia clínica oncológica (seguimiento y soporte Nicolás)
- EHCOSPROD-38927: daily
Backlog: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ME19" authorId="0" shapeId="0" xr:uid="{00000000-0006-0000-0100-0000F4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(soporte y seguimiento Rodrigo)
- EHCOSPROD-41715 / EHCOSPROD-44400 - DT: Configuración de componentes de la hoja de registro de enfermería por sección  (análisis técnico)
- EHCOSPROD-40310 - Historia clínica oncológica (seguimiento y soporte Nicolás)
- EHCOSPROD-44241 / EHCOSPROD-44433 - Desarrollo: Facturación: cambio campo Motivo de eliminado de un producto de texto libre a catálogo (revisión, pruebas mínimas despliegue)
- revisar documentación de los evolutivos de la 5.15 que haya analizado (incluir marca confidencialidad)
- EHCOSPROD-38927: daily
</t>
        </r>
        <r>
          <rPr>
            <b/>
            <sz val="8"/>
            <color indexed="81"/>
            <rFont val="Tahoma"/>
            <family val="2"/>
          </rPr>
          <t xml:space="preserve">
Avance:
- Seguimiento equipo, soporte, correctivos 5.13.X, correctivos devueltos 5.14R (incidencias devuelta proyectos pruebas entornos incorrectos)
- EHCOSPROD-41029 - CPOE | Layout e OrderForm (cierre análisis técnico, soporte y seguimiento Rodrigo) cerrado.
- EHCOSPROD-41715 / EHCOSPROD-44400 - DT: Configuración de componentes de la hoja de registro de enfermería por sección  (análisis técnico)
- - EHCOSPROD-41029 - CPOE | Layout e OrderForm (soporte y seguimiento Rodrigo) soporte y desarrollo
Backlog: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MH19" authorId="0" shapeId="0" xr:uid="{00000000-0006-0000-0100-0000F5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(soporte y seguimiento Rodrigo)
- EHCOSPROD-41715 / EHCOSPROD-44400 - DT: Configuración de componentes de la hoja de registro de enfermería por sección  (análisis técnico)
- EHCOSPROD-40310 - Historia clínica oncológica (seguimiento y soporte Nicolás)
- EHCOSPROD-44241 / EHCOSPROD-44433 - Desarrollo: Facturación: cambio campo Motivo de eliminado de un producto de texto libre a catálogo (revisión, pruebas mínimas despliegue)
- revisar documentación de los evolutivos de la 5.15 que haya analizado (incluir marca confidencialidad)
- EHCOSPROD-38927: daily
</t>
        </r>
        <r>
          <rPr>
            <b/>
            <sz val="8"/>
            <color indexed="81"/>
            <rFont val="Tahoma"/>
            <family val="2"/>
          </rPr>
          <t xml:space="preserve">
Avance:
- Seguimiento equipo, soporte, correctivos 5.13.X, correctivos devueltos 5.14R *Soporte
- EHCOSPROD-41029 - CPOE | Layout e OrderForm (soporte y seguimiento Rodrigo) *Soporte y desarrollo desplegado 128.
- EHCOSPROD-41715 / EHCOSPROD-44400 - DT: Configuración de componentes de la hoja de registro de enfermería por sección  (análisis técnico)
- EHCOSPROD-40310 - Historia clínica oncológica (seguimiento y soporte Nicolás) 
- EHCOSPROD-44241 / EHCOSPROD-44433 - Desarrollo: Facturación: cambio campo Motivo de eliminado de un producto de texto libre a catálogo (revisión, pruebas mínimas despliegue)
- Soporte Variados
- Soporte Pentaho
Backlog: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MI19" authorId="0" shapeId="0" xr:uid="{00000000-0006-0000-0100-0000F6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Pruebas EHCOSPROD-41029
- EHCOSPROD-41029 - CPOE | Layout e OrderForm (soporte y seguimiento Rodrigo)
- EHCOSPROD-41715 / EHCOSPROD-44400 - DT: Configuración de componentes de la hoja de registro de enfermería por sección  (análisis técnico)
- EHCOSPROD-40310 - Historia clínica oncológica (seguimiento y soporte Nicolás)
- EHCOSPROD-44241 / EHCOSPROD-44433 - Desarrollo: Facturación: cambio campo Motivo de eliminado de un producto de texto libre a catálogo (revisión, pruebas mínimas despliegue)
- revisar documentación de los evolutivos de la 5.15 que haya analizado (incluir marca confidencialidad)
- EHCOSPROD-38927: daily
</t>
        </r>
        <r>
          <rPr>
            <b/>
            <sz val="8"/>
            <color indexed="81"/>
            <rFont val="Tahoma"/>
            <family val="2"/>
          </rPr>
          <t xml:space="preserve">
Avance:
- Seguimiento equipo, soporte, correctivos 5.13.X, correctivos devueltos 5.14R
- Pruebas EHCOSPROD-41029
- EHCOSPROD-41029 - CPOE | Layout e OrderForm (soporte y seguimiento Rodrigo) 
- EHCOSPROD-38927: dailyDesarrollo
Backlog: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MJ19" authorId="0" shapeId="0" xr:uid="{00000000-0006-0000-0100-0000F7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Pruebas EHCOSPROD-41029
- EHCOSPROD-41029 - CPOE | Layout e OrderForm (soporte y seguimiento Rodrigo)
- EHCOSPROD-41715 / EHCOSPROD-44400 - DT: Configuración de componentes de la hoja de registro de enfermería por sección  (seguimiento Nicolás)
- EHCOSPROD-40310 - Historia clínica oncológica (seguimiento y soporte Nicolás) Desarrollo
- revisar documentación de los evolutivos de la 5.15 que haya analizado (incluir marca confidencialidad)
- EHCOSPROD-38927: daily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configuración.
Mantenimiento y soporte
- Seguimiento equipo, soporte, correctivos 5.13.X, correctivos devueltos 5.14R
- EHCOSPROD-41029 - CPOE | Layout e OrderForm (soporte y seguimiento Rodrigo, pruebas)
- EHCOSPROD-40310 - Historia clínica oncológica (seguimiento y soporte Nicolás) Desarrollo
- reunión sobre entornos Oracle 131
- EHCOSPROD-38927: daily
Backlog: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MK19" authorId="0" shapeId="0" xr:uid="{00000000-0006-0000-0100-0000F8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(cerrar análisis técnico, modificar datos en jira, soporte y seguimiento Rodrigo)
- EHCOSPROD-44110 / EHCOSPROD-44363 - AT: MULTICENTRO - CPOE para prueba de flujo general (análisis técnico) fin 04/03
- EHCOSPROD-40310 - Historia clínica oncológica (seguimiento y soporte Nicolás)
- EHCOSPROD-38927: daily
</t>
        </r>
        <r>
          <rPr>
            <b/>
            <sz val="8"/>
            <color indexed="81"/>
            <rFont val="Tahoma"/>
            <family val="2"/>
          </rPr>
          <t xml:space="preserve">
Avance:
- EHCOSPROD-41029 - CPOE | Layout e OrderForm (cerrar análisis técnico, modificar datos en jira, soporte y seguimiento Rodrigo)
- EHCOSPROD-44110 / EHCOSPROD-44363 - AT: MULTICENTRO - CPOE para prueba de flujo general (análisis técnico) fin 04/03
- EHCOSPROD-40310 - Historia clínica oncológica (seguimiento y soporte Nicolás)
Revision con ricardo problemas de scripts.
- EHCOSPROD-41029 CPOE | Layout e OrderForm
Backlog: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ML19" authorId="0" shapeId="0" xr:uid="{00000000-0006-0000-0100-0000F9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(cerrar análisis técnico, modificar datos en jira, soporte y seguimiento Rodrigo)
- EHCOSPROD-44110 / EHCOSPROD-44363 - AT: MULTICENTRO - CPOE para prueba de flujo general (análisis técnico) fin 04/03
- EHCOSPROD-40310 - Historia clínica oncológica (seguimiento y soporte Nicolás)
- EHCOSPROD-44110 MULTICENTRO - CPOE para prueba de flujo general
- EHCOSPROD-38927: daily
</t>
        </r>
        <r>
          <rPr>
            <b/>
            <sz val="8"/>
            <color indexed="81"/>
            <rFont val="Tahoma"/>
            <family val="2"/>
          </rPr>
          <t xml:space="preserve">
Avance:
- Seguimiento equipo, soporte, correctivos 5.13.X, correctivos devueltos 5.14R
- EHCOSPROD-41029 - CPOE | Layout e OrderForm (cerrar análisis técnico, modificar datos en jira, soporte y seguimiento Rodrigo)
- EHCOSPROD-44110 / EHCOSPROD-44363 - AT: MULTICENTRO - CPOE para prueba de flujo general (análisis técnico) fin 04/03
- EHCOSPROD-40310 - Historia clínica oncológica (seguimiento y soporte Nicolás)
- EHCOSPROD-44110 MULTICENTRO - CPOE para prueba de flujo general
Backlog: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MO19" authorId="0" shapeId="0" xr:uid="{00000000-0006-0000-0100-0000FA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(cerrar análisis técnico, modificar datos en jira, soporte y seguimiento Rodrigo) Desarrollo
- EHCOSPROD-44110 / EHCOSPROD-44363 - AT: MULTICENTRO - CPOE para prueba de flujo general (Soporte) fin 04/03
- EHCOSPROD-40310 - Historia clínica oncológica (seguimiento y soporte Nicolás) Desarrollo
- EHCOSPROD-38927: daily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configuración.
Mantenimiento y soporte
- Seguimiento equipo, soporte, correctivos 5.13.X, correctivos devueltos 5.14R
- EHCOSPROD-41029 - CPOE | Layout e OrderForm (cerrar análisis técnico, modificar datos en jira, soporte y seguimiento Rodrigo) 
- EHCOSPROD-40310 - Historia clínica oncológica (seguimiento y soporte Nicolás) Desarrollo
- EHCOSPROD-38927: daily
- Finalizacion analisis gestion de configuraciones
Backlog: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EHCOSPROD-37586 - MULTICENTRO - CPOE (Revisión análisis causas desviación)</t>
        </r>
      </text>
    </comment>
    <comment ref="MP19" authorId="0" shapeId="0" xr:uid="{00000000-0006-0000-0100-0000FB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(cerrar análisis técnico, modificar datos en jira, soporte y seguimiento Rodrigo) Desarrollo. Punto control 11/03
- EHCOSPROD-44110 / EHCOSPROD-44363 - AT: MULTICENTRO - CPOE para prueba de flujo general (Pdte de iniciarlo) fin 04/03
- EHCOSPROD-40310 - Historia clínica oncológica (seguimiento y soporte Nicolás) Punto control 11/03
- EHCOSPROD-38927: daily
</t>
        </r>
        <r>
          <rPr>
            <b/>
            <sz val="8"/>
            <color indexed="81"/>
            <rFont val="Tahoma"/>
            <family val="2"/>
          </rPr>
          <t xml:space="preserve">
Avance:
- EHCOSPROD-41029 - CPOE | Layout e OrderForm (cerrar análisis técnico, modificar datos en jira, soporte y seguimiento Rodrigo) Desarrollo
- EHCOSPROD-40310 - Historia clínica oncológica (seguimiento y soporte Nicolás) Desarrollo
- Soporte Javier H. visor historia clinica
Backlog: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MQ19" authorId="0" shapeId="0" xr:uid="{00000000-0006-0000-0100-0000FC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(cerrar análisis técnico, modificar datos en jira, soporte y seguimiento Rodrigo) Desarrollo. Punto control 11/03
- EHCOSPROD-44110 / EHCOSPROD-44363 - AT: MULTICENTRO - CPOE para prueba de flujo general (Pdte de iniciarlo) fin 04/03
- EHCOSPROD-40310 - Historia clínica oncológica (seguimiento y soporte Nicolás) Punto control 11/03
- EHCOSPROD-38927: daily
</t>
        </r>
        <r>
          <rPr>
            <b/>
            <sz val="8"/>
            <color indexed="81"/>
            <rFont val="Tahoma"/>
            <family val="2"/>
          </rPr>
          <t xml:space="preserve">
Avance:
envio y soporte tareas de gestión de la configuración.
Mantenimiento y soporte
- Seguimiento equipo, soporte, correctivos 5.13.X, correctivos devueltos 5.14R
- EHCOSPROD-41029 - CPOE | Layout e OrderForm (cerrar análisis técnico, modificar datos en jira, soporte y seguimiento Rodrigo) Desarrollo. Punto control 11/03 Desarrollo
- EHCOSPROD-40310 - Historia clínica oncológica (seguimiento y soporte Nicolás) Corrigiendo y impresion
- EHCOSPROD-38927: daily
Backlog:
</t>
        </r>
        <r>
          <rPr>
            <sz val="8"/>
            <color indexed="81"/>
            <rFont val="Tahoma"/>
            <family val="2"/>
          </rPr>
          <t>-ProductEHCOSPROD-37551 Integración con EHR: elaboración de notas de  (Tarea en la excel que poner responsable CLI)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EHCOSPROD-44110 - MULTICENTRO - CPOE para prueba de flujo general (análisis técnico)
- EHCOSPROD-37586 - MULTICENTRO - CPOE (Revisión análisis causas desviación)</t>
        </r>
      </text>
    </comment>
    <comment ref="MR19" authorId="0" shapeId="0" xr:uid="{00000000-0006-0000-0100-0000FD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(cerrar análisis técnico, modificar datos en jira, soporte y seguimiento Rodrigo) Desarrollo. Punto control 11/03
- EHCOSPROD-44110 / EHCOSPROD-44363 - AT: MULTICENTRO - CPOE para prueba de flujo general (Pdte de iniciarlo) fin 04/03
- EHCOSPROD-40310 - Historia clínica oncológica (seguimiento y soporte Nicolás) Punto control 11/03
- EHCOSPROD-38927: daily
-ProductEHCOSPROD-37551 Integración con EHR: elaboración de notas de  (Tarea en la excel que poner responsable CLI)
Punto control
</t>
        </r>
        <r>
          <rPr>
            <b/>
            <sz val="8"/>
            <color indexed="81"/>
            <rFont val="Tahoma"/>
            <family val="2"/>
          </rPr>
          <t xml:space="preserve">
Avance:
- Sesiones por producto
- Seguimiento equipo, soporte, correctivos 5.13.X, correctivos devueltos 5.14R
- EHCOSPROD-41029 - CPOE | Layout e OrderForm (cerrar análisis técnico, modificar datos en jira, soporte y seguimiento Rodrigo) Desarrollo.
- EHCOSPROD-40310 - Historia clínica oncológica (seguimiento y soporte Nicolás) Punto control 11/03
Punto de control cambios oncología. (Revisar cambios)
Backlog: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EHCOSPROD-44110 - MULTICENTRO - CPOE para prueba de flujo general (análisis técnico)
- EHCOSPROD-37586 - MULTICENTRO - CPOE (Revisión análisis causas desviación)
-Analisis refactorización escalas.</t>
        </r>
      </text>
    </comment>
    <comment ref="MS19" authorId="0" shapeId="0" xr:uid="{00000000-0006-0000-0100-0000FE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(cerrar análisis técnico, modificar datos en jira, soporte y seguimiento Rodrigo) Desarrollo.
- EHCOSPROD-44110 / EHCOSPROD-44363 - AT: MULTICENTRO - CPOE para prueba de flujo general (Pdte de iniciarlo) fin 04/03
- EHCOSPROD-40310 - Historia clínica oncológica (seguimiento y soporte Nicolás)
- EHCOSPROD-38927: daily
Punto control
</t>
        </r>
        <r>
          <rPr>
            <b/>
            <sz val="8"/>
            <color indexed="81"/>
            <rFont val="Tahoma"/>
            <family val="2"/>
          </rPr>
          <t xml:space="preserve">
Avance:
- Seguimiento equipo, soporte, correctivos 5.13.X, correctivos devueltos 5.14R. Revisión incidencias de proyecto.
- Revisión incidencia de correcto
- EHCOSPROD-40310 - Historia clínica oncológica (seguimiento y soporte Nicolás)
- EHCOSPROD-41029 - CPOE | Layout e OrderForm (cerrar análisis técnico, modificar datos en jira, soporte y seguimiento Rodrigo) Desarrollo.
- EHCOSPROD-38927: daily
Backlog:
</t>
        </r>
        <r>
          <rPr>
            <sz val="8"/>
            <color indexed="81"/>
            <rFont val="Tahoma"/>
            <family val="2"/>
          </rPr>
          <t>-ProductEHCOSPROD-37551 Integración con EHR: elaboración de notas de  (Tarea en la excel que poner responsable CLI)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EHCOSPROD-37586 - MULTICENTRO - CPOE (Revisión análisis causas desviación)
-Analisis escalas</t>
        </r>
      </text>
    </comment>
    <comment ref="MV19" authorId="0" shapeId="0" xr:uid="{00000000-0006-0000-0100-0000FF01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-ProductEHCOSPROD-37551 Integración con EHR: elaboración de notas de  (Tarea en la excel que poner responsable CLI)
- EHCOSPROD-41029 - CPOE | Layout e OrderForm (cerrar análisis técnico, modificar datos en jira, soporte y seguimiento Rodrigo) Desarrollo.
- EHCOSPROD-44110 / EHCOSPROD-44363 - AT: MULTICENTRO - CPOE para prueba de flujo general (Pdte de iniciarlo) fin 04/03
- EHCOSPROD-40310 - Historia clínica oncológica (seguimiento y soporte Nicolás)
- Upgrade de Clinic standalone.
- EHCOSPROD-38927: daily
Punto control
</t>
        </r>
        <r>
          <rPr>
            <b/>
            <sz val="8"/>
            <color indexed="81"/>
            <rFont val="Tahoma"/>
            <family val="2"/>
          </rPr>
          <t xml:space="preserve">
Avance:
- Seguimiento equipo, soporte, correctivos 5.13.X, correctivos devueltos 5.14R
- EHCOSPROD-41029 - CPOE | Layout e OrderForm (cerrar análisis técnico, modificar datos en jira, soporte y seguimiento Rodrigo) Desarrollo.
- EHCOSPROD-40310 - Historia clínica oncológica (seguimiento y soporte Nicolás)
Backlog:
</t>
        </r>
        <r>
          <rPr>
            <sz val="8"/>
            <color indexed="81"/>
            <rFont val="Tahoma"/>
            <family val="2"/>
          </rPr>
          <t>-ProductEHCOSPROD-37551 Integración con EHR: elaboración de notas de  (Tarea en la excel que poner responsable CLI)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EHCOSPROD-37586 - MULTICENTRO - CPOE (Revisión análisis causas desviación)
-Analisis escalas</t>
        </r>
      </text>
    </comment>
    <comment ref="MW19" authorId="0" shapeId="0" xr:uid="{00000000-0006-0000-0100-000000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-ProductEHCOSPROD-37551 Integración con EHR: elaboración de notas de  (Tarea en la excel que poner responsable CLI)
- EHCOSPROD-41029 - CPOE | Layout e OrderForm (cerrar análisis técnico, modificar datos en jira, soporte y seguimiento Rodrigo) Desarrollo.
- EHCOSPROD-44110 / EHCOSPROD-44363 - AT: MULTICENTRO - CPOE para prueba de flujo general (Pdte de iniciarlo) fin 04/03
- EHCOSPROD-40310 - Historia clínica oncológica (seguimiento y soporte Nicolás)
- EHCOSPROD-38927: daily
Punto control
</t>
        </r>
        <r>
          <rPr>
            <b/>
            <sz val="8"/>
            <color indexed="81"/>
            <rFont val="Tahoma"/>
            <family val="2"/>
          </rPr>
          <t xml:space="preserve">
Avance:
-Seguimiento y soporte evolutivos
-ProductEHCOSPROD-37551 Integración con EHR: elaboración de notas de  (Tarea en la excel que poner responsable CLI)
- EHCOSPROD-41029 - CPOE | Layout e OrderForm (cerrar análisis técnico, modificar datos en jira, soporte y seguimiento Rodrigo) Desarrollo.
- EHCOSPROD-40310 - Historia clínica oncológica (seguimiento y soporte Nicolás)
-Revision error de ricardo Standalone
-Reunion remote
-Rama configuración de paneles
Backlog:
</t>
        </r>
        <r>
          <rPr>
            <sz val="8"/>
            <color indexed="81"/>
            <rFont val="Tahoma"/>
            <family val="2"/>
          </rPr>
          <t>-ProductEHCOSPROD-37551 Integración con EHR: elaboración de notas de  (Tarea en la excel que poner responsable CLI)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EHCOSPROD-37586 - MULTICENTRO - CPOE (Revisión análisis causas desviación)
-Analisis escalas</t>
        </r>
      </text>
    </comment>
    <comment ref="MX19" authorId="0" shapeId="0" xr:uid="{00000000-0006-0000-0100-000001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(desarrollo con Patricio)
- EHCOSPROD-38924: daily, Soporte técnico Gestión
- Seguimiento de evolutivos
</t>
        </r>
        <r>
          <rPr>
            <b/>
            <sz val="8"/>
            <color indexed="81"/>
            <rFont val="Tahoma"/>
            <family val="2"/>
          </rPr>
          <t>Avance:
- Soporte Nicolás incidencia cpoe editor
- Soporte Patricio revisión maquetación
- EHCOSPROD-40354 / EHCOSPROD-44348 - Desarrollo: Agendas - Configurações e Parametrização (desarrollo con Patricio)
- EHCOSPROD-38924: daily, Soporte técnico Gestión
Backlog:</t>
        </r>
        <r>
          <rPr>
            <sz val="8"/>
            <color indexed="81"/>
            <rFont val="Tahoma"/>
            <family val="2"/>
          </rPr>
          <t xml:space="preserve">
- Completar Annual
- Integración: Ordenar canales Mirth. Continuar Mirth prueba y documentación. certificación HL7, realizar examen. Guia de interoperabilidad completa
- soporte a Portugal sobre canales de integración
- Estimaciones alto nivel Melo tras resolver dudas (desarrollos de cex relacionados)
- eliminar componentes que ya no se usan (ehSocialWork, ehTariffSettings, etc)
- Documentación ExtensionPoints
- Optimizaciones: Resumenes horarios pasados ; StandardMaterialAppFormClinicDAO que está en ehCS y debería estar en HK ; entidades de ehCS en ehEMPI se están utilizando para integraciones: BloodGroupRHType, GeneralHistory (servicios, daos)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NC19" authorId="0" shapeId="0" xr:uid="{00000000-0006-0000-0100-000002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-ProductEHCOSPROD-37551 Integración con EHR: elaboración de notas de  (Tarea en la excel que poner responsable CLI)
- EHCOSPROD-41029 - CPOE | Layout e OrderForm (cerrar análisis técnico, modificar datos en jira, soporte y seguimiento Rodrigo) Desarrollo.
- EHCOSPROD-44110 / EHCOSPROD-44363 - AT: MULTICENTRO - CPOE para prueba de flujo general (Pdte de iniciarlo) fin 04/03
- EHCOSPROD-40310 - Historia clínica oncológica (seguimiento y soporte Nicolás)
- EHCOSPROD-38927: daily
- Evolutivo de Remote (avance)
</t>
        </r>
        <r>
          <rPr>
            <b/>
            <sz val="8"/>
            <color indexed="81"/>
            <rFont val="Tahoma"/>
            <family val="2"/>
          </rPr>
          <t xml:space="preserve">
Avance:
- Soporte y seguimientos
- Evolutivo de Remote (avance)
Backlog:
</t>
        </r>
        <r>
          <rPr>
            <sz val="8"/>
            <color indexed="81"/>
            <rFont val="Tahoma"/>
            <family val="2"/>
          </rPr>
          <t>-ProductEHCOSPROD-37551 Integración con EHR: elaboración de notas de  (Tarea en la excel que poner responsable CLI)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EHCOSPROD-37586 - MULTICENTRO - CPOE (Revisión análisis causas desviación)
-Analisis escalas</t>
        </r>
      </text>
    </comment>
    <comment ref="ND19" authorId="0" shapeId="0" xr:uid="{00000000-0006-0000-0100-000003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-ProductEHCOSPROD-37551 Integración con EHR: elaboración de notas de  (Tarea en la excel que poner responsable CLI) Finalizar con documentacion y miniclinic
- EHCOSPROD-41029 - CPOE | Layout e OrderForm (cerrar análisis técnico, modificar datos en jira, soporte y seguimiento Rodrigo) Desarrollo.
- EHCOSPROD-44110 / EHCOSPROD-44363 - AT: MULTICENTRO - CPOE para prueba de flujo general (Pdte de iniciarlo) Iniciar
- EHCOSPROD-40310 - Historia clínica oncológica (seguimiento y soporte Nicolás)
Hoja de enfermeria soporte 
- EHCOSPROD-38927: daily
- EHCOSPROD-41715 / EHCOSPROD-44400 - DT: Configuración de componentes de la hoja de registro de enfermería por sección  (seguimiento y soporte Nicolás)
</t>
        </r>
        <r>
          <rPr>
            <b/>
            <sz val="8"/>
            <color indexed="81"/>
            <rFont val="Tahoma"/>
            <family val="2"/>
          </rPr>
          <t xml:space="preserve">
Avance:
Mantenimiento y soporte
- Seguimiento equipo, soporte, correctivos 5.13.X, correctivos devueltos 5.14R
-ProductEHCOSPROD-37551 Integración con EHR: elaboración de notas de  (Tarea en la excel que poner responsable CLI) Finalizar con documentacion
- EHCOSPROD-41715 / EHCOSPROD-44400 - DT: Configuración de componentes de la hoja de registro de enfermería por sección  (seguimiento y soporte Nicolás)
- EHCOSPROD-41029 - CPOE | Layout e OrderForm (cerrar análisis técnico, modificar datos en jira, soporte y seguimiento Rodrigo) Desarrollo.
Backlog:
</t>
        </r>
        <r>
          <rPr>
            <sz val="8"/>
            <color indexed="81"/>
            <rFont val="Tahoma"/>
            <family val="2"/>
          </rPr>
          <t xml:space="preserve">
- Rendimiento: movimientos en tablas para optimizaciones. Entorno para pruebas y despliegues automáticos. 
- EHCOSPROD-37586 - MULTICENTRO - CPOE (Revisión análisis causas desviación)
-Analisis escalas</t>
        </r>
      </text>
    </comment>
    <comment ref="NE19" authorId="0" shapeId="0" xr:uid="{00000000-0006-0000-0100-000004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(cerrar análisis técnico, modificar datos en jira, soporte y seguimiento Rodrigo) Desarrollo.
- EHCOSPROD-44110 / EHCOSPROD-44363 - AT: MULTICENTRO - CPOE para prueba de flujo general (Pdte de iniciarlo) Iniciar
- EHCOSPROD-40310 - Historia clínica oncológica (seguimiento y soporte Nicolás)
Hoja de enfermeria soporte 
- EHCOSPROD-38927: daily
</t>
        </r>
        <r>
          <rPr>
            <b/>
            <sz val="8"/>
            <color indexed="81"/>
            <rFont val="Tahoma"/>
            <family val="2"/>
          </rPr>
          <t xml:space="preserve">
Avance:
- Soporte configuracion
- Seguimientos
- EHCOSPROD-44110 / EHCOSPROD-44363 - AT: MULTICENTRO - CPOE para prueba de flujo general (Pdte de iniciarlo) Iniciar
Backlog:
</t>
        </r>
        <r>
          <rPr>
            <sz val="8"/>
            <color indexed="81"/>
            <rFont val="Tahoma"/>
            <family val="2"/>
          </rPr>
          <t>-ProductEHCOSPROD-37551 Integración con EHR: elaboración de notas de  (Tarea en la excel que poner responsable CLI)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EHCOSPROD-37586 - MULTICENTRO - CPOE (Revisión análisis causas desviación)
-Analisis escalas</t>
        </r>
      </text>
    </comment>
    <comment ref="NF19" authorId="0" shapeId="0" xr:uid="{00000000-0006-0000-0100-000005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(cerrar análisis técnico, modificar datos en jira, soporte y seguimiento Rodrigo) Desarrollo.
- EHCOSPROD-44110 / EHCOSPROD-44363 - AT: MULTICENTRO - CPOE para prueba de flujo general (Documentacion y revisiones) Finalizar
- EHCOSPROD-40310 - Historia clínica oncológica (seguimiento y soporte Nicolás)
-  EHCOSPROD-41715 (Soporte y seguimiento evolutivo)
- EHCOSPROD-38927: daily
</t>
        </r>
        <r>
          <rPr>
            <b/>
            <sz val="8"/>
            <color indexed="81"/>
            <rFont val="Tahoma"/>
            <family val="2"/>
          </rPr>
          <t xml:space="preserve">
Avance:
- EHCOSPROD-44110 / EHCOSPROD-44363 - AT: MULTICENTRO - CPOE para prueba de flujo general (Documentacion y revisiones) Finalizar
- EHCOSPROD-41029 - CPOE | Layout e OrderForm (cerrar análisis técnico, modificar datos en jira, soporte y seguimiento Rodrigo) Soporte
-  EHCOSPROD-41715 (Soporte y seguimiento evolutivo)
Backlog:
</t>
        </r>
        <r>
          <rPr>
            <sz val="8"/>
            <color indexed="81"/>
            <rFont val="Tahoma"/>
            <family val="2"/>
          </rPr>
          <t>-ProductEHCOSPROD-37551 Integración con EHR: elaboración de notas de  (Tarea en la excel que poner responsable CLI)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EHCOSPROD-37586 - MULTICENTRO - CPOE (Revisión análisis causas desviación)
-Analisis escalas</t>
        </r>
      </text>
    </comment>
    <comment ref="NG19" authorId="0" shapeId="0" xr:uid="{00000000-0006-0000-0100-000006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(cerrar análisis técnico, modificar datos en jira, soporte y seguimiento Rodrigo) Desarrollo.
- EHCOSPROD-44110 / EHCOSPROD-44363 - AT: MULTICENTRO - CPOE para prueba de flujo general (Documentacion y revisiones) Finalizar
- EHCOSPROD-40310 - Historia clínica oncológica (seguimiento y soporte Nicolás)
-  EHCOSPROD-41715 (Soporte y seguimiento evolutivo)
- EHCOSPROD-38927: daily
</t>
        </r>
        <r>
          <rPr>
            <b/>
            <sz val="8"/>
            <color indexed="81"/>
            <rFont val="Tahoma"/>
            <family val="2"/>
          </rPr>
          <t xml:space="preserve">
Avance:
- Seguimiento y soporte -&gt; Paneles finalizacion hoy
- Desarrollo de CPOE -&gt; no paralelizable
Backlog:
</t>
        </r>
        <r>
          <rPr>
            <sz val="8"/>
            <color indexed="81"/>
            <rFont val="Tahoma"/>
            <family val="2"/>
          </rPr>
          <t>-ProductEHCOSPROD-37551 Integración con EHR: elaboración de notas de  (Tarea en la excel que poner responsable CLI)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EHCOSPROD-37586 - MULTICENTRO - CPOE (Revisión análisis causas desviación)
-Analisis escalas</t>
        </r>
      </text>
    </comment>
    <comment ref="NJ19" authorId="0" shapeId="0" xr:uid="{00000000-0006-0000-0100-000007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(cerrar análisis técnico, modificar datos en jira, soporte y seguimiento Rodrigo) Desarrollo.
- EHCOSPROD-44110 / EHCOSPROD-44363 - AT: MULTICENTRO - CPOE para prueba de flujo general (Documentacion y revisiones) Finalizar
- EHCOSPROD-40310 - Historia clínica oncológica (seguimiento y soporte Nicolás)
-  EHCOSPROD-41715 (Soporte y seguimiento evolutivo)
- EHCOSPROD-38927: daily
</t>
        </r>
        <r>
          <rPr>
            <b/>
            <sz val="8"/>
            <color indexed="81"/>
            <rFont val="Tahoma"/>
            <family val="2"/>
          </rPr>
          <t xml:space="preserve">
Avance:
- Soporte y seguimiento cpoe y paneles.
- Incidencias soporte portugal
- Evolutivo cpoe tareas gestor 41029, Tareas nuevas agregadas.
Backlog:
</t>
        </r>
        <r>
          <rPr>
            <sz val="8"/>
            <color indexed="81"/>
            <rFont val="Tahoma"/>
            <family val="2"/>
          </rPr>
          <t>-ProductEHCOSPROD-37551 Integración con EHR: elaboración de notas de  (Tarea en la excel que poner responsable CLI)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EHCOSPROD-37586 - MULTICENTRO - CPOE (Revisión análisis causas desviación)
-Analisis escalas</t>
        </r>
      </text>
    </comment>
    <comment ref="NK19" authorId="0" shapeId="0" xr:uid="{00000000-0006-0000-0100-000008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(cerrar análisis técnico, modificar datos en jira, soporte y seguimiento Rodrigo) Desarrollo.
- Configuración de paneles pruebas y finalizar.
- EHCOSPROD-40310 - Historia clínica oncológica (seguimiento y soporte Nicolás)
-  EHCOSPROD-41715 (Soporte y seguimiento evolutivo)
- EHCOSPROD-38927: daily
</t>
        </r>
        <r>
          <rPr>
            <b/>
            <sz val="8"/>
            <color indexed="81"/>
            <rFont val="Tahoma"/>
            <family val="2"/>
          </rPr>
          <t xml:space="preserve">
Avance:
- Seguimiento y soporte 
- Desarrollo CPOE. (Punto de control) Alguna cosa funcional
- Configuracion conexion imp
- CShare levantar.
- Desarrollo cpoe nuevas realizadas.
Hoy -&gt;
Backlog:
</t>
        </r>
        <r>
          <rPr>
            <sz val="8"/>
            <color indexed="81"/>
            <rFont val="Tahoma"/>
            <family val="2"/>
          </rPr>
          <t>-ProductEHCOSPROD-37551 Integración con EHR: elaboración de notas de  (Tarea en la excel que poner responsable CLI)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EHCOSPROD-37586 - MULTICENTRO - CPOE (Revisión análisis causas desviación)
-Analisis escalas</t>
        </r>
      </text>
    </comment>
    <comment ref="NL19" authorId="0" shapeId="0" xr:uid="{00000000-0006-0000-0100-000009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envio y soporte tareas de gestión de la configuración.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Mantenimiento y soporte
- Seguimiento equipo, soporte, correctivos 5.13.X, correctivos devueltos 5.14R
- EHCOSPROD-41029 - CPOE | Layout e OrderForm (cerrar análisis técnico, modificar datos en jira, soporte y seguimiento Rodrigo) Desarrollo.
- Configuración de paneles pruebas y finalizar.
- EHCOSPROD-40310 - Historia clínica oncológica (seguimiento y soporte Nicolás)
-  EHCOSPROD-41715 (Soporte y seguimiento evolutivo)
- EHCOSPROD-38927: daily
</t>
        </r>
        <r>
          <rPr>
            <b/>
            <sz val="8"/>
            <color indexed="81"/>
            <rFont val="Tahoma"/>
            <family val="2"/>
          </rPr>
          <t xml:space="preserve">
Avance:
- Cpoe multicentros finalizacion  tarea sandra(09/04)
- Soporte  Finalizcion panales
Hoy revisar sonar e inicencias
Backlog:
</t>
        </r>
        <r>
          <rPr>
            <sz val="8"/>
            <color indexed="81"/>
            <rFont val="Tahoma"/>
            <family val="2"/>
          </rPr>
          <t>-ProductEHCOSPROD-37551 Integración con EHR: elaboración de notas de  (Tarea en la excel que poner responsable CLI)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EHCOSPROD-41024 - Configuración CPOE (soporte y seguimiento, con Victor) 
- EHCOSPROD-41715 / EHCOSPROD-44400 - DT: Configuración de componentes de la hoja de registro de enfermería por sección  (seguimiento y soporte Nicolás)
- Rendimiento: movimientos en tablas para optimizaciones. Entorno para pruebas y despliegues automáticos. 
- EHCOSPROD-37586 - MULTICENTRO - CPOE (Revisión análisis causas desviación)
-Analisis escalas</t>
        </r>
      </text>
    </comment>
    <comment ref="KK20" authorId="0" shapeId="0" xr:uid="{00000000-0006-0000-0100-00000A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EHCOSPROD-38928: daily
5.15R
- EHCOSPROD-38585 - MULTICENTRO - Urgencias (desarrollo, pruebas. Realizar punto de control) inicio 21/12/2020, fin 13/01/2021
- EHCOSPROD-38589 - MULTICENTRO - Hospitalización (lectura documentación, desarrollo) inicio 14/01/2021, fin 18/01/2021
- Incidencias integración prescripción UCI - Clinic (lotes, revisado con Germán pendiente de dudas funcionales)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EHCOSPROD-38928: daily
5.15R
- EHCOSPROD-38585 - MULTICENTRO - Urgencias (desarrollo, pruebas. Realizar punto de control, ajustes) inicio 21/12/2020, fin 13/01/2021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L20" authorId="0" shapeId="0" xr:uid="{00000000-0006-0000-0100-00000B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EHCOSPROD-38928: daily
5.15R
- EHCOSPROD-38585 - MULTICENTRO - Urgencias (desarrollo, pruebas. documentación) inicio 21/12/2020, fin 13/01/2021. Registrar horas punto de control, ajustes realizados, etc
- Incidencias integración prescripción UCI - Clinic (lotes, revisado con Germán pendiente de dudas funcionales)
- EHCOSPROD-38589 - MULTICENTRO - Hospitalización (lectura documentación, desarrollo) inicio 14/01/2021, fin 18/01/2021
CMK
- Correctivos CMK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EHCOSPROD-38928: daily
5.15R
- EHCOSPROD-38585 - MULTICENTRO - Urgencias (ajustes. documentación)
- EHCOSPROD-38589 - MULTICENTRO - Hospitalización (lectura documentación, desarrollo)
CMK
- Correctivos CMK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M20" authorId="0" shapeId="0" xr:uid="{00000000-0006-0000-0100-00000C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EHCOSPROD-38928: daily
5.15R
- EHCOSPROD-38589 - MULTICENTRO - Hospitalización (desarrollo) inicio 14/01/2021, fin 18/01/2021
- EHCOSPROD-38585 - MULTICENTRO - Urgencias (estabilización) inicio 21/12/2020, fin 13/01/2021. Registrar horas punto de control, ajustes realizados, etc
- Incidencias integración prescripción UCI - Clinic (lotes, revisado con Germán pendiente de dudas funcionales)
CMK
- Correctivos CMK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- EHCOSPROD-38928: daily
5.15R
- EHCOSPROD-38589 - MULTICENTRO - Hospitalización (desarrollo, sonar) 
- EHCOSPROD-38585 - MULTICENTRO - Urgencias (documentación) 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N20" authorId="0" shapeId="0" xr:uid="{00000000-0006-0000-0100-00000D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EHCOSPROD-38928: daily
- reunión ehCOS
5.15R
- EHCOSPROD-38589 - MULTICENTRO - Hospitalización (ajustes, sonar, documentación, estabilización) inicio 14/01/2021, fin 18/01/2021
- EHCOSPROD-38585 - MULTICENTRO - Urgencias (ajustes,  sonar, documentación, estabilización)
- Incidencias integración prescripción UCI - Clinic: EHCOSPROD-43087, EHCOSPROD-43083 (revisar validaciones en el caso de administraciones sin lote)
CMK
- Correctivos CMK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EHCOSPROD-38928: daily
- reunión ehCOS
5.15R
- EHCOSPROD-38589 - MULTICENTRO - Hospitalización (ajustes, sonar, documentación, estabilización)
- EHCOSPROD-38585 - MULTICENTRO - Urgencias (ajustes,  sonar)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O20" authorId="0" shapeId="0" xr:uid="{00000000-0006-0000-0100-00000E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EHCOSPROD-38928: daily
5.15R
- EHCOSPROD-38589 - MULTICENTRO - Hospitalización (ajustes, pruebas, estabilización)
- EHCOSPROD-38585 - MULTICENTRO - Urgencias (ajustes,  sonar, estabilización)
- Incidencias integración prescripción UCI - Clinic: EHCOSPROD-43087, EHCOSPROD-43083 (revisar validaciones en el caso de administraciones sin lote)
- EHCOSPROD-38598 - MULTICENTRO - Bloque quirúrgico (desarrollo) inicio 18/01, fin 21/01/2021
CMK
- Correctivos CMK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EHCOSPROD-38928: daily
5.15R
- EHCOSPROD-38589 - MULTICENTRO - Hospitalización y EHCOSPROD-38585 - MULTICENTRO - Urgencias (ajustes,  sonar, pruebas)
- Incidencias integración prescripción UCI - Clinic: EHCOSPROD-43087, EHCOSPROD-43083 (revisar validaciones en el caso de administraciones sin lote)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R20" authorId="0" shapeId="0" xr:uid="{00000000-0006-0000-0100-00000F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EHCOSPROD-38928: daily
5.15R
- EHCOSPROD-38585 - MULTICENTRO - Urgencias y EHCOSPROD-38589 - MULTICENTRO - Hospitalización (merge trunk a la rama, estabilización)
- Incidencias integración prescripción UCI - Clinic: EHCOSPROD-43087, EHCOSPROD-43083 (revisar validaciones en el caso de administraciones sin lote)
- EHCOSPROD-38598 - MULTICENTRO - Bloque quirúrgico (desarrollo) inicio 18/01, fin 21/01/2021
CMK
- Correctivos CMK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EHCOSPROD-38928: daily
5.15R
- EHCOSPROD-38585 - MULTICENTRO - Urgencias y EHCOSPROD-38589 - MULTICENTRO - Hospitalización (merge trunk a la rama, pruebas)
- Incidencias integración prescripción UCI - Clinic: EHCOSPROD-43087, EHCOSPROD-43083 (revisar validaciones en el caso de administraciones sin lote)
- EHCOSPROD-38598 - MULTICENTRO - Bloque quirúrgico (preparar desarrollo)
CMK
- Correctivos CMK</t>
        </r>
        <r>
          <rPr>
            <b/>
            <sz val="8"/>
            <color indexed="81"/>
            <rFont val="Tahoma"/>
            <family val="2"/>
          </rPr>
          <t xml:space="preserve">
Backlog:
Asignación a Clinic hasta el 19/02. Despues asignación a UCI hasta final del FY
</t>
        </r>
      </text>
    </comment>
    <comment ref="KS20" authorId="0" shapeId="0" xr:uid="{00000000-0006-0000-0100-000010020000}">
      <text>
        <r>
          <rPr>
            <b/>
            <sz val="8"/>
            <color indexed="81"/>
            <rFont val="Tahoma"/>
            <family val="2"/>
          </rPr>
          <t xml:space="preserve">Tareas planificadas:
- </t>
        </r>
        <r>
          <rPr>
            <sz val="8"/>
            <color indexed="81"/>
            <rFont val="Tahoma"/>
            <family val="2"/>
          </rPr>
          <t>Incidencias integración prescripción UCI - Clinic: EHCOSPROD-43087, EHCOSPROD-43083 (revisar validaciones en el caso de administraciones sin lote)
- EHCOSPROD-38598 - MULTICENTRO - Bloque quirúrgico (desarrollo) inicio 18/01, fin 21/01/2021
- EHCOSPROD-38585 - MULTICENTRO - Urgencias y EHCOSPROD-38589 - MULTICENTRO - Hospitalización (soporte estabilización)
- EHCOSPROD-38928: daily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Incidencias integración prescripción UCI - Clinic: EHCOSPROD-43087, EHCOSPROD-43083 (revisar validaciones en el caso de administraciones sin lote)
- EHCOSPROD-38598 - MULTICENTRO - Bloque quirúrgico (desarrollo)
- EHCOSPROD-38928: daily</t>
        </r>
        <r>
          <rPr>
            <b/>
            <sz val="8"/>
            <color indexed="81"/>
            <rFont val="Tahoma"/>
            <family val="2"/>
          </rPr>
          <t xml:space="preserve">
Backlog:
Asignación a Clinic hasta el 19/02. Despues asignación a UCI hasta final del FY
- </t>
        </r>
        <r>
          <rPr>
            <sz val="8"/>
            <color indexed="81"/>
            <rFont val="Tahoma"/>
            <family val="2"/>
          </rPr>
          <t>CMK:  Correctivos CMK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T20" authorId="0" shapeId="0" xr:uid="{00000000-0006-0000-0100-000011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EHCOSPROD-38598 - MULTICENTRO - Bloque quirúrgico (desarrollo) inicio 18/01, fin 21/01/2021
- generar rama 5.15 y mover desarrollo urg y hosp multicentro
- Incidencias integración prescripción UCI - Clinic: EHCOSPROD-43087, EHCOSPROD-43083 (pendiente commit al trunk)
- EHCOSPROD-38928: daily</t>
        </r>
        <r>
          <rPr>
            <b/>
            <sz val="8"/>
            <color indexed="81"/>
            <rFont val="Tahoma"/>
            <family val="2"/>
          </rPr>
          <t xml:space="preserve">
Avance:
- EHCOSPROD-38598 - MULTICENTRO - Bloque quirúrgico (desarrollo)
- generar rama 5.15 y mover desarrollo urg y hosp multicentro
- EHCOSPROD-38928: daily
Backlog:
Asignación a Clinic hasta el 19/02. Despues asignación a UCI hasta final del FY
- </t>
        </r>
        <r>
          <rPr>
            <sz val="8"/>
            <color indexed="81"/>
            <rFont val="Tahoma"/>
            <family val="2"/>
          </rPr>
          <t>CMK:  Correctivos CMK</t>
        </r>
        <r>
          <rPr>
            <b/>
            <sz val="8"/>
            <color indexed="81"/>
            <rFont val="Tahoma"/>
            <family val="2"/>
          </rPr>
          <t xml:space="preserve">
Indica que tiene que realizar las prácticas de empresa en Abril - Marzo. Plantea tomar un mes de permiso sin sueldo.</t>
        </r>
      </text>
    </comment>
    <comment ref="KU20" authorId="0" shapeId="0" xr:uid="{00000000-0006-0000-0100-000012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EHCOSPROD-38598 - MULTICENTRO - Bloque quirúrgico (desarrollo) inicio 18/01, fin 21/01/2021
- Incidencias integración prescripción UCI - Clinic: EHCOSPROD-43087, EHCOSPROD-43083 (commit al trunk)
- EHCOSPROD-38928: daily</t>
        </r>
        <r>
          <rPr>
            <b/>
            <sz val="8"/>
            <color indexed="81"/>
            <rFont val="Tahoma"/>
            <family val="2"/>
          </rPr>
          <t xml:space="preserve">
Avance:
- EHCOSPROD-38598 - MULTICENTRO - Bloque quirúrgico (desarrollo)
- EHCOSPROD-38928: daily
Backlog:
Asignación a Clinic hasta el 19/02. Despues asignación a UCI hasta final del FY
- </t>
        </r>
        <r>
          <rPr>
            <sz val="8"/>
            <color indexed="81"/>
            <rFont val="Tahoma"/>
            <family val="2"/>
          </rPr>
          <t>CMK:  Correctivos CMK</t>
        </r>
        <r>
          <rPr>
            <b/>
            <sz val="8"/>
            <color indexed="81"/>
            <rFont val="Tahoma"/>
            <family val="2"/>
          </rPr>
          <t xml:space="preserve">
Indica que tiene que realizar las prácticas de empresa en Abril - Marzo. Plantea tomar un mes de permiso sin sueldo.</t>
        </r>
      </text>
    </comment>
    <comment ref="KY20" authorId="0" shapeId="0" xr:uid="{00000000-0006-0000-0100-000013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EHCOSPROD-38598 - MULTICENTRO - Bloque quirúrgico (desarrollo, pruebas, punto de control) inicio 18/01, fin 21/01/2021
- EHCOSPROD-38928: daily
- Incidencias integración prescripción UCI - Clinic: EHCOSPROD-43087, EHCOSPROD-43083 (commit al trunk)</t>
        </r>
        <r>
          <rPr>
            <b/>
            <sz val="8"/>
            <color indexed="81"/>
            <rFont val="Tahoma"/>
            <family val="2"/>
          </rPr>
          <t xml:space="preserve">
Avance:
- EHCOSPROD-38598 - MULTICENTRO - Bloque quirúrgico (desarrollo, pruebas, punto de control, ajustes)
- EHCOSPROD-38928: daily
Backlog:
Asignación a Clinic hasta el 19/02. Despues asignación a UCI hasta final del FY
- </t>
        </r>
        <r>
          <rPr>
            <sz val="8"/>
            <color indexed="81"/>
            <rFont val="Tahoma"/>
            <family val="2"/>
          </rPr>
          <t>CMK:  Correctivos CMK</t>
        </r>
        <r>
          <rPr>
            <b/>
            <sz val="8"/>
            <color indexed="81"/>
            <rFont val="Tahoma"/>
            <family val="2"/>
          </rPr>
          <t xml:space="preserve">
Indica que tiene que realizar las prácticas de empresa en Abril - Marzo. Plantea tomar un mes de permiso sin sueldo.</t>
        </r>
      </text>
    </comment>
    <comment ref="KZ20" authorId="0" shapeId="0" xr:uid="{00000000-0006-0000-0100-000014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EHCOSPROD-38598 - MULTICENTRO - Bloque quirúrgico (desarrollo, pruebas, punto de control) inicio 18/01, fin 26/01/2021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EHCOSPROD-38598 - MULTICENTRO - Bloque quirúrgico (ajustes, sonar, pruebas)
- EHCOSPROD-38928: daily
Backlog:
</t>
        </r>
        <r>
          <rPr>
            <sz val="8"/>
            <color indexed="81"/>
            <rFont val="Tahoma"/>
            <family val="2"/>
          </rPr>
          <t>- CMK:  Correctivos CMK
- EHCOSPROD-38631 - MC-Facturación y presupuesto (desarrollo)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A20" authorId="0" shapeId="0" xr:uid="{00000000-0006-0000-0100-000015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EHCOSPROD-38598 - MULTICENTRO - Bloque quirúrgico (ajustes, pruebas, sonar, documentación, movimiento ramas a la 5.15R. Análisis de causa de las desviaciones) inicio 18/01, fin 27/01/2021
- EHCOSPROD-38631 - MC-Facturación y presupuesto (revisión documentación, análisis técnico junto a Marcela, desarrollo)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EHCOSPROD-38598 - MULTICENTRO - Bloque quirúrgico (sonar, dudas plan de pruebas, ajustes, documentación)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B20" authorId="0" shapeId="0" xr:uid="{00000000-0006-0000-0100-000016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EHCOSPROD-38598 - MULTICENTRO - Bloque quirúrgico (ajustes, pruebas, sonar, documentación, dudas funcionales. Análisis de causa de las desviaciones) inicio 18/01, fin 28/01/2021
- EHCOSPROD-38631 - MC-Facturación y presupuesto (revisión documentación, análisis técnico junto a Marcela pendiente cerrar DF, desarrollo)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EHCOSPROD-38598 - MULTICENTRO - Bloque quirúrgico (revisión dudas pruebas, ajustes, documentación)
- EHCOSPROD-38631 - MC-Facturación y presupuesto (revisión DF, análisis técnico junto a Marcela pendiente cerrar DF)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C20" authorId="0" shapeId="0" xr:uid="{00000000-0006-0000-0100-000017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EHCOSPROD-38598 - MULTICENTRO - Bloque quirúrgico (ajustes, pruebas, sonar, documentación, dudas funcionales. Análisis de causa de las desviaciones) inicio 18/01, fin 28/01/2021
- EHCOSPROD-38631 - MC-Facturación y presupuesto (revisión documentación, análisis técnico junto a Marcela pendiente cerrar DF, desarrollo)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EHCOSPROD-38631 - MC-Facturación y presupuesto (revisión documentación, análisis técnico junto a Marcela pendiente cerrar DF, desarrollo)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F20" authorId="0" shapeId="0" xr:uid="{00000000-0006-0000-0100-000018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(revisión documentación, análisis técnico junto a Marcela pendiente cerrar DF, desarrollo)
- EHCOSPROD-38598 - MULTICENTRO - Bloque quirúrgico (estabilización pendiente de despliegue. Análisis de causa de las desviaciones)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EHCOSPROD-38631 - MC-Facturación y presupuesto (revisión documentación, análisis técnico)
- Documentación modelo facturación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G20" authorId="0" shapeId="0" xr:uid="{00000000-0006-0000-0100-000019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oncología (estabilización, EHCOSPROD-44106)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documentación tablas modelo de facturación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EHCOSPROD-38598 - MULTICENTRO - Bloque quirúrgico (actualizar rama con el trunk, estabilización pendiente de despliegue)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EHCOSPROD-38631 - MC-Facturación y presupuesto (revisión documentación, análisis técnico junto a Marcela pendiente cerrar DF, desarrollo)
- EHCOSPROD-38928: daily
</t>
        </r>
        <r>
          <rPr>
            <b/>
            <sz val="8"/>
            <color indexed="81"/>
            <rFont val="Tahoma"/>
            <family val="2"/>
          </rPr>
          <t xml:space="preserve">
Avance:
- oncología (preparación entorno, estabilización, EHCOSPROD-44106)
- documentación tablas modelo de facturación
- EHCOSPROD-38631 - MC-Facturación y presupuesto (revisión documentación, análisis técnico junto a Marcela pendiente cerrar DF, desarrollo)
- EHCOSPROD-38598 - MULTICENTRO - Bloque quirúrgico (actualizar rama con el trunk)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H20" authorId="0" shapeId="0" xr:uid="{00000000-0006-0000-0100-00001A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oncología (estabilización, EHCOSPROD-44106)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EHCOSPROD-38598 - MULTICENTRO - Bloque quirúrgico (actualizar rama con el trunk, estabilización 128)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EHCOSPROD-38631 - MC-Facturación y presupuesto (revisión documentación, análisis técnico junto a Marcela pendiente cerrar DF, desarrollo)
- EHCOSPROD-38928: daily
</t>
        </r>
        <r>
          <rPr>
            <b/>
            <sz val="8"/>
            <color indexed="81"/>
            <rFont val="Tahoma"/>
            <family val="2"/>
          </rPr>
          <t xml:space="preserve">
Avance:
- oncología (revisión EHCOSPROD-44106, merge del trunk a la rama, arrancar UCI standalone)
- EHCOSPROD-38631 - MC-Facturación y presupuesto (revisión documentación, análisis técnico junto a Marcela pendiente cerrar DF, revisar y plantear modelo de datos)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I20" authorId="0" shapeId="0" xr:uid="{00000000-0006-0000-0100-00001B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EHCOSPROD-38598 - MULTICENTRO - Bloque quirúrgico (actualizar rama con el trunk, estabilización 128)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EHCOSPROD-38631 - MC-Facturación y presupuesto (revisión documentación, análisis técnico junto a Marcela pendiente cerrar DF, plantear modelo de datos)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EHCOSPROD-38598 - MULTICENTRO - Bloque quirúrgico (merge al trunk, estabilización 128)
- EHCOSPROD-38631 - MC-Facturación y presupuesto (revisión documentación, análisis técnico junto a Marcela pendiente cerrar DF, plantear modelo de datos)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J20" authorId="0" shapeId="0" xr:uid="{00000000-0006-0000-0100-00001C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EHCOSPROD-38598 - MULTICENTRO - Bloque quirúrgico (</t>
        </r>
        <r>
          <rPr>
            <b/>
            <sz val="8"/>
            <color indexed="81"/>
            <rFont val="Tahoma"/>
            <family val="2"/>
          </rPr>
          <t>incluir horas de merge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oncología (actualizar la rama con el trunk, merge al trunk)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EHCOSPROD-38631 - MC-Facturación y presupuesto (revisión documentación, análisis técnico junto a Marcela, plantear modelo de datos, anotar horas de análisis invertidas)
- EHCOSPROD-38928: daily
</t>
        </r>
        <r>
          <rPr>
            <b/>
            <sz val="8"/>
            <color indexed="81"/>
            <rFont val="Tahoma"/>
            <family val="2"/>
          </rPr>
          <t xml:space="preserve">
Avance:
- oncología (actualizar la rama con el trunk, merge al trunk)
- EHCOSPROD-38631 - MC-Facturación y presupuesto (revisión documentación, análisis técnico junto a Marcela, plantear modelo de datos, anotar horas de análisis invertidas)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M20" authorId="0" shapeId="0" xr:uid="{00000000-0006-0000-0100-00001D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oncología (actualizar la rama con el trunk, merge al trunk)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EHCOSPROD-38631 - MC-Facturación y presupuesto (revisión documentación, análisis técnico junto a Marcela, plantear modelo de datos, anotar horas de análisis invertidas)
- EHCOSPROD-38928: daily
</t>
        </r>
        <r>
          <rPr>
            <b/>
            <sz val="8"/>
            <color indexed="81"/>
            <rFont val="Tahoma"/>
            <family val="2"/>
          </rPr>
          <t xml:space="preserve">
Avance:
- oncología (actualizar la rama con el trunk, merge al trunk)
- EHCOSPROD-38631 - MC-Facturación y presupuesto (análisis técnico junto a Marcela, plantear modelo de datos, estimación alto nivel)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N20" authorId="0" shapeId="0" xr:uid="{00000000-0006-0000-0100-00001E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(revisión documentación, análisis técnico junto a Marcela, plantear modelo de datos, anotar horas de análisis invertidas)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EHCOSPROD-38631 - MC-Facturación y presupuesto (análisis técnico junto a Marcela y estimación)
- BQ muticentro:corrección de scripts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O20" authorId="0" shapeId="0" xr:uid="{00000000-0006-0000-0100-00001F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(análisis técnico junto a Marcela, soporte Hope desarrollo)
- EHCOSPROD-38928: daily, sesiones por producto
</t>
        </r>
        <r>
          <rPr>
            <b/>
            <sz val="8"/>
            <color indexed="81"/>
            <rFont val="Tahoma"/>
            <family val="2"/>
          </rPr>
          <t xml:space="preserve">
Avance:
- EHCOSPROD-38631 - MC-Facturación y presupuesto (análisis técnico junto a Marcela, revisión dudas, soporte Hope desarrollo)
- revisión errores scripts oncología
- EHCOSPROD-38928: daily, sesiones por producto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P20" authorId="0" shapeId="0" xr:uid="{00000000-0006-0000-0100-000020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(análisis técnico junto a Marcela, soporte Hope desarrollo)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EHCOSPROD-38631 - MC-Facturación y presupuesto (análisis técnico junto a Marcela, soporte Hope desarrollo)
- corrección script oncología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Q20" authorId="0" shapeId="0" xr:uid="{00000000-0006-0000-0100-000021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(análisis técnico junto a Marcela, soporte Hope desarrollo)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EHCOSPROD-38631 - MC-Facturación y presupuesto (análisis técnico junto a Marcela, soporte Hope desarrollo)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T20" authorId="0" shapeId="0" xr:uid="{00000000-0006-0000-0100-000022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(análisis técnico junto a Marcela, soporte Hope desarrollo)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EHCOSPROD-38631 - MC-Facturación y presupuesto (análisis técnico junto a Marcela, soporte Hope desarrollo)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U20" authorId="0" shapeId="0" xr:uid="{00000000-0006-0000-0100-000023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(análisis técnico junto a Marcela, soporte Hope desarrollo)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EHCOSPROD-38631 - MC-Facturación y presupuesto (análisis técnico junto a Marcela, soporte Hope desarrollo)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V20" authorId="0" shapeId="0" xr:uid="{00000000-0006-0000-0100-000024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(análisis técnico junto a Marcela, soporte Hope desarrollo)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EHCOSPROD-38631 - MC-Facturación y presupuesto (análisis técnico junto a Marcela, soporte Hope desarrollo)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W20" authorId="0" shapeId="0" xr:uid="{00000000-0006-0000-0100-000025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(análisis técnico junto a Marcela, soporte Hope desarrollo)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EHCOSPROD-38631 - MC-Facturación y presupuesto (análisis técnico junto a Marcela, soporte Hope desarrollo, revisión carga masiva tarifas)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Asignación a Clinic hasta el 19/02. Despues asignación a UCI hasta final del FY
- Indica que tiene que realizar las prácticas de empresa en Abril o Marzo. Plantea tomar un mes de permiso sin sueldo.</t>
        </r>
      </text>
    </comment>
    <comment ref="LX20" authorId="0" shapeId="0" xr:uid="{00000000-0006-0000-0100-000026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EHCOSPROD-38631 - MC-Facturación y presupuesto (análisis técnico junto a Marcela, soporte Hope desarrollo)
- revisar documentación de los evolutivos de la 5.15 que haya analizado (incluir marca confidencialidad)
</t>
        </r>
        <r>
          <rPr>
            <b/>
            <sz val="8"/>
            <color indexed="81"/>
            <rFont val="Tahoma"/>
            <family val="2"/>
          </rPr>
          <t>- cerrar temas de clinic pendientes. Asignación a Clinic hasta el 19/02. Despues asignación a UCI hasta final del FY</t>
        </r>
        <r>
          <rPr>
            <sz val="8"/>
            <color indexed="81"/>
            <rFont val="Tahoma"/>
            <family val="2"/>
          </rPr>
          <t xml:space="preserve">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EHCOSPROD-38631 - MC-Facturación y presupuesto (análisis técnico junto a Marcela, soporte Hope desarrollo)
- cerrar temas de clinic pendientes.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A20" authorId="0" shapeId="0" xr:uid="{00000000-0006-0000-0100-000027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actualizar entornos de UCI
- EHCOSPROD-39164 / EHCOSPROD-44278 - DT - Integración del catálogo de fármacos
- revisar documentación de los evolutivos de la 5.15 que haya analizado (incluir marca confidencialidad)
- EHCOSPROD-38928: daily
</t>
        </r>
        <r>
          <rPr>
            <b/>
            <sz val="8"/>
            <color indexed="81"/>
            <rFont val="Tahoma"/>
            <family val="2"/>
          </rPr>
          <t xml:space="preserve">
Avance:
- actualizar entornos de UCI, puesta al día
- EHCOSPROD-39164 / EHCOSPROD-44278 - DT - Integración del catálogo de fármacos
- revisar documentación de los evolutivos de la 5.15 que haya analizado (incluir marca confidencialidad)
- EHCOSPROD-38928: daily
Backlog:
</t>
        </r>
        <r>
          <rPr>
            <sz val="8"/>
            <color indexed="81"/>
            <rFont val="Tahoma"/>
            <family val="2"/>
          </rPr>
          <t>- CMK:  Correctivos CMK
- EHCOSPROD-39164 / EHCOSPROD-39164 - Desarrollo - Integración del catálogo de fármacos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B20" authorId="0" shapeId="0" xr:uid="{00000000-0006-0000-0100-000028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EHCOSPROD-39164 / EHCOSPROD-44278 - DT - Integración del catálogo de fármacos
- revisar documentación de los evolutivos de la 5.15 que haya analizado (incluir marca confidencialidad)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EHCOSPROD-39164 / EHCOSPROD-44278 - DT - Integración del catálogo de fármacos
- EHCOSPROD-39164 / EHCOSPROD-39164 - Desarrollo - Integración del catálogo de fármacos
- revisar documentación de los evolutivos de la 5.15 que haya analizado (incluir marca confidencialidad)
- EHCOSPROD-38928: daily
Backlog:
</t>
        </r>
        <r>
          <rPr>
            <sz val="8"/>
            <color indexed="81"/>
            <rFont val="Tahoma"/>
            <family val="2"/>
          </rPr>
          <t>- CMK:  Correctivos CMK
- EHCOSPROD-39164 / EHCOSPROD-39164 - Desarrollo - Integración del catálogo de fármacos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C20" authorId="0" shapeId="0" xr:uid="{00000000-0006-0000-0100-000029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EHCOSPROD-39164 / EHCOSPROD-44278 - DT - Integración del catálogo de fármacos (cerrar análisis técnico)
- EHCOSPROD-39164 / EHCOSPROD-39164 - Desarrollo - Integración del catálogo de fármacos
- revisar documentación de los evolutivos de la 5.15 que haya analizado (incluir marca confidencialidad)
- soporte Christian filtrado listas nuevas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EHCOSPROD-39164 / EHCOSPROD-44278 - DT - Integración del catálogo de fármacos (cerrar análisis técnico)
- EHCOSPROD-39164 / EHCOSPROD-39164 - Desarrollo - Integración del catálogo de fármacos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D20" authorId="0" shapeId="0" xr:uid="{00000000-0006-0000-0100-00002A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EHCOSPROD-39164 / EHCOSPROD-44278 - DT - Integración del catálogo de fármacos (análisis técnico sincronización inicial)
- EHCOSPROD-39164 / EHCOSPROD-39164 - Desarrollo - Integración del catálogo de fármacos
- revisar documentación de los evolutivos de la 5.15 que haya analizado (incluir marca confidencialidad)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EHCOSPROD-39164 / EHCOSPROD-44278 - DT - Integración del catálogo de fármacos (análisis técnico sincronización inicial)
- EHCOSPROD-39164 / EHCOSPROD-39164 - Desarrollo - Integración del catálogo de fármacos
- Revision victor multicentro facturación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E20" authorId="0" shapeId="0" xr:uid="{00000000-0006-0000-0100-00002B020000}">
      <text>
        <r>
          <rPr>
            <sz val="11"/>
            <color rgb="FF000000"/>
            <rFont val="Calibri"/>
            <family val="2"/>
          </rPr>
          <t>Tareas planificadas:
- EHCOSPROD-39164 / EHCOSPROD-44278 - DT - Integración del catálogo de fármacos (análisis técnico sincronización inicial)
- EHCOSPROD-39164 / EHCOSPROD-39164 - Desarrollo - Integración del catálogo de fármacos
- revisar documentación de los evolutivos de la 5.15 que haya analizado (incluir marca confidencialidad)
- EHCOSPROD-38928: daily
Avance:
- EHCOSPROD-39164 / EHCOSPROD-39164 - Desarrollo - Integración del catálogo de fármacos
- Inicio EHCOSPROD-44875 (Analisis técnico)
Backlog:
- CMK:  Correctivos CMK
- Indica que tiene que realizar las prácticas de empresa en Abril o Marzo. Plantea tomar un mes de permiso sin sueldo.</t>
        </r>
      </text>
    </comment>
    <comment ref="MH20" authorId="0" shapeId="0" xr:uid="{00000000-0006-0000-0100-00002C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EHCOSPROD-39164 / EHCOSPROD-39164 - Desarrollo - Integración del catálogo de fármacos (sonar)
EHCOSPROD-44875 (Analisis técnico)
EHCOSPROD-44875 (Analisis técnico) desarrollo
- revisar documentación de los evolutivos de la 5.15 que haya analizado (incluir marca confidencialidad)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EHCOSPROD-39164 / EHCOSPROD-39164 - Desarrollo - Integración del catálogo de fármacos
- Inicio EHCOSPROD-44875 (Analisis técnico)
daily y duda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I20" authorId="0" shapeId="0" xr:uid="{00000000-0006-0000-0100-00002D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EHCOSPROD-44875 (Analisis técnico) desarrollo
- revisar documentación de los evolutivos de la 5.15 que haya analizado (incluir marca confidencialidad)
- EHCOSPROD-38928: daily
</t>
        </r>
        <r>
          <rPr>
            <b/>
            <sz val="8"/>
            <color indexed="81"/>
            <rFont val="Tahoma"/>
            <family val="2"/>
          </rPr>
          <t xml:space="preserve">
Avance:
Sonar evolutivo EHCOSPROD-39164
EHCOSPROD-44875 (Analisis técnico) desarrollo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J20" authorId="0" shapeId="0" xr:uid="{00000000-0006-0000-0100-00002E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EHCOSPROD-44875 (Analisis técnico) desarrollo
- revisar documentación de los evolutivos de la 5.15 que haya analizado (incluir marca confidencialidad)
- EHCOSPROD-38928: daily
</t>
        </r>
        <r>
          <rPr>
            <b/>
            <sz val="8"/>
            <color indexed="81"/>
            <rFont val="Tahoma"/>
            <family val="2"/>
          </rPr>
          <t xml:space="preserve">
Avance:
EHCOSPROD-44875 (Analisis técnico, desarrollo)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K20" authorId="0" shapeId="0" xr:uid="{00000000-0006-0000-0100-00002F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(desarrollo, pruebas, ajustes, sonar, documentación) fin 05/03
- EHCOSPROD-38928: daily
</t>
        </r>
        <r>
          <rPr>
            <b/>
            <sz val="8"/>
            <color indexed="81"/>
            <rFont val="Tahoma"/>
            <family val="2"/>
          </rPr>
          <t xml:space="preserve">
Avance:
- EHCOSPROD-44872 / EHCOSPROD-44876 - Desarrollo - Proceso de igualado entre catálogo de tratamientos y prescripción (desarrollo, pruebas, ajustes, sonar, documentación) Pruebas y merge.
- Revisión depliegue entorno.
- EHCOSPROD-38928: daily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L20" authorId="0" shapeId="0" xr:uid="{00000000-0006-0000-0100-000030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(desarrollo, pruebas, ajustes, sonar, documentación) fin 05/03
- EHCOSPROD-43247 Revisar y continuar evolutivo
- EHCOSPROD-38928: daily
</t>
        </r>
        <r>
          <rPr>
            <b/>
            <sz val="8"/>
            <color indexed="81"/>
            <rFont val="Tahoma"/>
            <family val="2"/>
          </rPr>
          <t xml:space="preserve">
Avance:
EHCOSPROD-44872 / EHCOSPROD-44876
Desarrollo - Proceso de igualado entre catálogo de tratamientos y prescripción (desarrollo, pruebas, ajustes, sonar, documentación)  documentación
- Revision Jiras Teleuci
- Daily UCI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O20" authorId="0" shapeId="0" xr:uid="{00000000-0006-0000-0100-000031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(desarrollo, pruebas, ajustes, sonar, documentación) fin 05/03
- EHCOSPROD-43247 Revisar y continuar evolutivo
- Revisar si  Jiras entran en la 5.15.
- EHCOSPROD-38928: daily
</t>
        </r>
        <r>
          <rPr>
            <b/>
            <sz val="8"/>
            <color indexed="81"/>
            <rFont val="Tahoma"/>
            <family val="2"/>
          </rPr>
          <t xml:space="preserve">
Avance:
- Correctivos  
- EHCOSPROD-38928: daily
- Evolutivo
42205 UCI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P20" authorId="0" shapeId="0" xr:uid="{00000000-0006-0000-0100-000032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(desarrollo, pruebas, ajustes, sonar, documentación) fin 05/03
- EHCOSPROD-43247 Revisar y continuar evolutivo
EHCOSPROD-43247 Añadir funcionalidad al icono Información del mapa de camas
- Revisar si  Jiras entran en la 5.15.
- EHCOSPROD-38928: daily
</t>
        </r>
        <r>
          <rPr>
            <b/>
            <sz val="8"/>
            <color indexed="81"/>
            <rFont val="Tahoma"/>
            <family val="2"/>
          </rPr>
          <t xml:space="preserve">
Avance:
Correctivos UCI
Merge Tratamientos
Evolutivo tooltip camas de uci
Reunion German pantalla teleuci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Q20" authorId="0" shapeId="0" xr:uid="{00000000-0006-0000-0100-000033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(estabilización pruebas, ajustes, sonar, documentación) fin 05/03
EHCOSPROD-43247 Añadir funcionalidad al icono Información del mapa de camas
- Revisar si  Jiras entran en la 5.15.
- EHCOSPROD-38928: daily
</t>
        </r>
        <r>
          <rPr>
            <b/>
            <sz val="8"/>
            <color indexed="81"/>
            <rFont val="Tahoma"/>
            <family val="2"/>
          </rPr>
          <t xml:space="preserve">
Avance:
- Correccion incidencias teleUCI
- Realizar PPT 
- Evolutivo TeleUCI (Falta pasar testLink EHCOSPROD-43247 y prueba de documentación)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R20" authorId="0" shapeId="0" xr:uid="{00000000-0006-0000-0100-000034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(estabilización pruebas, ajustes, sonar, documentación) fin 05/03
EHCOSPROD-43247 Añadir funcionalidad al icono Información del mapa de camas
- Revisar si  Jiras entran en la 5.15.
- EHCOSPROD-38928: daily
</t>
        </r>
        <r>
          <rPr>
            <b/>
            <sz val="8"/>
            <color indexed="81"/>
            <rFont val="Tahoma"/>
            <family val="2"/>
          </rPr>
          <t xml:space="preserve">
Avance:
-Preparacion sesiones por producto
-Sesiones por producto
-Estabilización UCI/TeleUCI
- Evolutivo duplicación de catálogos corrección.
Futuro: Generar jira converters.
pp Tooltipo mapas.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MS20" authorId="0" shapeId="0" xr:uid="{00000000-0006-0000-0100-000035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(estabilización pruebas, ajustes, sonar, documentación) fin 05/03
EHCOSPROD-43247 Añadir funcionalidad al icono Información del mapa de camas
- Revisar si  Jiras entran en la 5.15.
- EHCOSPROD-38928: daily
</t>
        </r>
        <r>
          <rPr>
            <b/>
            <sz val="8"/>
            <color indexed="81"/>
            <rFont val="Tahoma"/>
            <family val="2"/>
          </rPr>
          <t xml:space="preserve">
Avance:
-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NC20" authorId="0" shapeId="0" xr:uid="{00000000-0006-0000-0100-000036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(estabilización pruebas, ajustes, sonar, documentación) fin 05/03
EHCOSPROD-43247 Añadir funcionalidad al icono Información del mapa de camas
- Revisar si  Jiras entran en la 5.15.
- EHCOSPROD-38928: daily
</t>
        </r>
        <r>
          <rPr>
            <b/>
            <sz val="8"/>
            <color indexed="81"/>
            <rFont val="Tahoma"/>
            <family val="2"/>
          </rPr>
          <t xml:space="preserve">
Avance:
- Merge tooltip
- Incidencias y revision scripts
- Revisar tabla CarePlan ehcs. 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ND20" authorId="0" shapeId="0" xr:uid="{00000000-0006-0000-0100-000037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(estabilización pruebas, ajustes, sonar, documentación) fin 05/03
EHCOSPROD-43247 Añadir funcionalidad al icono Información del mapa de camas
- Revisar si  Jiras entran en la 5.15.
- EHCOSPROD-38928: daily
</t>
        </r>
        <r>
          <rPr>
            <b/>
            <sz val="8"/>
            <color indexed="81"/>
            <rFont val="Tahoma"/>
            <family val="2"/>
          </rPr>
          <t xml:space="preserve">
Avance:
- Estabilización de UCI. 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NE20" authorId="0" shapeId="0" xr:uid="{00000000-0006-0000-0100-000038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(estabilización pruebas, ajustes, sonar, documentación) fin 05/03
EHCOSPROD-43247 Añadir funcionalidad al icono Información del mapa de camas
- Revisar si  Jiras entran en la 5.15.
- EHCOSPROD-38928: daily
- Estabilización
</t>
        </r>
        <r>
          <rPr>
            <b/>
            <sz val="8"/>
            <color indexed="81"/>
            <rFont val="Tahoma"/>
            <family val="2"/>
          </rPr>
          <t xml:space="preserve">
Avance:
- Estabilización de UCI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NF20" authorId="0" shapeId="0" xr:uid="{00000000-0006-0000-0100-000039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(estabilización pruebas, ajustes, sonar, documentación) fin 05/03
EHCOSPROD-43247 Añadir funcionalidad al icono Información del mapa de camas
- Revisar si  Jiras entran en la 5.15.
- Hoy revisar integracion Administracion uci clinic
- EHCOSPROD-38928: daily
- Estabilización
</t>
        </r>
        <r>
          <rPr>
            <b/>
            <sz val="8"/>
            <color indexed="81"/>
            <rFont val="Tahoma"/>
            <family val="2"/>
          </rPr>
          <t xml:space="preserve">
Avance:
- Paneles de cuidado rendimiento
- Integración prescripcion Clinic y UCI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NG20" authorId="0" shapeId="0" xr:uid="{00000000-0006-0000-0100-00003A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(estabilización pruebas, ajustes, sonar, documentación) fin 05/03
EHCOSPROD-43247 Añadir funcionalidad al icono Información del mapa de camas
- Revisar si  Jiras entran en la 5.15.
- Hoy revisar integracion Administracion uci clinic
- EHCOSPROD-38928: daily
- Estabilización
</t>
        </r>
        <r>
          <rPr>
            <b/>
            <sz val="8"/>
            <color indexed="81"/>
            <rFont val="Tahoma"/>
            <family val="2"/>
          </rPr>
          <t xml:space="preserve">
Avance:
- Revisión integración clinic con UCI. Problema de mapeo  solubles.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NJ20" authorId="0" shapeId="0" xr:uid="{00000000-0006-0000-0100-00003B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(estabilización pruebas, ajustes, sonar, documentación) fin 05/03
EHCOSPROD-43247 Añadir funcionalidad al icono Información del mapa de camas
- Revisar si  Jiras entran en la 5.15.
- Hoy revisar integracion Administracion uci clinic
- EHCOSPROD-38928: daily
- Estabilización
</t>
        </r>
        <r>
          <rPr>
            <b/>
            <sz val="8"/>
            <color indexed="81"/>
            <rFont val="Tahoma"/>
            <family val="2"/>
          </rPr>
          <t xml:space="preserve">
Avance:
- Estabilización trunk estabilizacion clinic y uci
- Corrigiendo JIRAS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NK20" authorId="0" shapeId="0" xr:uid="{00000000-0006-0000-0100-00003C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(estabilización pruebas, ajustes, sonar, documentación) fin 05/03
EHCOSPROD-43247 Añadir funcionalidad al icono Información del mapa de camas
- Revisar si  Jiras entran en la 5.15.
- Hoy revisar integracion Administracion uci clinic
- EHCOSPROD-38928: daily
- Estabilización
</t>
        </r>
        <r>
          <rPr>
            <b/>
            <sz val="8"/>
            <color indexed="81"/>
            <rFont val="Tahoma"/>
            <family val="2"/>
          </rPr>
          <t xml:space="preserve">
Avance:
- Estabilización de UCI.
- Hoy estabilización.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NL20" authorId="0" shapeId="0" xr:uid="{00000000-0006-0000-0100-00003D020000}">
      <text>
        <r>
          <rPr>
            <b/>
            <sz val="8"/>
            <color indexed="81"/>
            <rFont val="Tahoma"/>
            <family val="2"/>
          </rPr>
          <t>Tareas planificadas:</t>
        </r>
        <r>
          <rPr>
            <sz val="8"/>
            <color indexed="81"/>
            <rFont val="Tahoma"/>
            <family val="2"/>
          </rPr>
          <t xml:space="preserve">
- EHCOSPROD-44872 / EHCOSPROD-44876
Desarrollo - Proceso de igualado entre catálogo de tratamientos y prescripción (estabilización pruebas, ajustes, sonar, documentación) fin 05/03
EHCOSPROD-43247 Añadir funcionalidad al icono Información del mapa de camas
- Revisar si  Jiras entran en la 5.15.
- Hoy revisar integracion Administracion uci clinic
- EHCOSPROD-38928: daily
- Estabilización
</t>
        </r>
        <r>
          <rPr>
            <b/>
            <sz val="8"/>
            <color indexed="81"/>
            <rFont val="Tahoma"/>
            <family val="2"/>
          </rPr>
          <t xml:space="preserve">
Avance:
- Estabilización de UCI.
- Correcion scripts
- Hoy estabilización.
Backlog:
</t>
        </r>
        <r>
          <rPr>
            <sz val="8"/>
            <color indexed="81"/>
            <rFont val="Tahoma"/>
            <family val="2"/>
          </rPr>
          <t>- CMK:  Correctivos CMK</t>
        </r>
        <r>
          <rPr>
            <b/>
            <sz val="8"/>
            <color indexed="81"/>
            <rFont val="Tahoma"/>
            <family val="2"/>
          </rPr>
          <t xml:space="preserve">
- Indica que tiene que realizar las prácticas de empresa en Abril o Marzo. Plantea tomar un mes de permiso sin sueldo.</t>
        </r>
      </text>
    </comment>
    <comment ref="KK21" authorId="0" shapeId="0" xr:uid="{00000000-0006-0000-0100-00003E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EHCOSPROD-38930: daily. Entorno Azure PRE para instalar 2.3.
Remote 2.3.1 (12/01/2021 liberación, subida a PRO pendiente generar tickets)
- generar release. documentación para liberación, preparar los tickets. 
- EHCOSPROD-40228: desactivar funcionalidad en IM y WE. Instalar solr y preparar base de datos nflow. Desactivar planificaciones de las 4 hasta completar el despliegue
Remote 2.4
- EHCOSPROD-43033 - Videoconferencia N:M: notificación inicio video (análisis técnico, reestimar, ajustar estimación en JIRA)
- EHCOSPROD-43173 - División pantalla Videoconferencia en dos pantallas (análisis técnico)
- EHCOSPROD-42439 - Videoconferencia N:M: si se finaliza la video, los pacientes no deberían poder volver entrar - Gestión de estados en la videoconferencia (análisis técnico)
- EHCOSPROD-43020 - Cambios FILTROS pantalla Videoconferencia (análisis técnico, reestimar)
- EHCOSPROD-42558 - Construir marcos - Perfil profesional/paciente, EHCOSPROD-41456 - Construir marco Remote - Backoffice (análisis técnico)
- EHCOSPROD-37551 - finalizada la parte de embeber pantallas (EHCOSPROD-42371: embeber pantallas de ehCOS)
- EHCOSPROD-42616 - Backend. Nuevas notificaciones APP, EHCOSPROD-42436 - Videoconferencia N:M: visualización invitados en la video (seguimiento desarrollo)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- EHCOSPROD-38930: daily. Entorno Azure PRE para instalar 2.3.
Remote 2.3.1 (12/01/2021 liberación, subida a PRO pendiente generar tickets)
- soporte planificaciones
Remote 2.4
- EHCOSPROD-42436 - Videoconferencia N:M: visualización invitados en la video (seguimiento desarrollo)
- EHCOSPROD-43173 - División pantalla Videoconferencia en dos pantallas (análisis técnico)
- EHCOSPROD-43033 - Videoconferencia N:M: notificación inicio video (análisis técnico, reestimar, ajustar estimación en JIRA)
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L21" authorId="0" shapeId="0" xr:uid="{00000000-0006-0000-0100-00003F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EHCOSPROD-38930: daily. Entorno Azure PRE para instalar 2.3.
Remote 2.3.1 (13/01/2021 liberación, subida a PRO pendiente generar tickets)
- correctivos devueltos
- generar release. documentación para liberación, preparar los tickets. 
- EHCOSPROD-40228: desactivar funcionalidad en IM y WE. Instalar solr y preparar base de datos nflow. Desactivar planificaciones de las 4 hasta completar el despliegue
Remote 2.4
- EHCOSPROD-43173 - División pantalla Videoconferencia en dos pantallas (análisis técnico)
- EHCOSPROD-42439 - Videoconferencia N:M: si se finaliza la video, los pacientes no deberían poder volver entrar - Gestión de estados en la videoconferencia (análisis técnico)
- EHCOSPROD-43020 - Cambios FILTROS pantalla Videoconferencia (análisis técnico, reestimar)
- EHCOSPROD-42558 - Construir marcos - Perfil profesional/paciente, EHCOSPROD-41456 - Construir marco Remote - Backoffice (análisis técnico)
- EHCOSPROD-37551 - finalizada la parte de embeber pantallas (EHCOSPROD-42371: embeber pantallas de ehCOS)
- EHCOSPROD-43033 - Videoconferencia N:M: notificación inicio video (seguimiento 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EHCOSPROD-42436 - Videoconferencia N:M: visualización invitados en la video (seguimiento desarrollo)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EHCOSPROD-38930: daily.
Remote 2.3.1 (13/01/2021 liberación, subida a PRO pendiente generar tickets)
- correctivos devueltos
- documentación para liberación, preparar los tickets. 
- Instalación Solr y Nflow en WE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M21" authorId="0" shapeId="0" xr:uid="{00000000-0006-0000-0100-000040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EHCOSPROD-38930: daily. Entorno Azure PRE para instalar 2.3.
- EHCOSPROD-43036 - Error al crear usuarios en demosarg de WE (crear nueva entidad)
Remote 2.3.1 (13/01/2021 liberación, subida a PRO pendiente generar tickets)
- correctivos devueltos. revisar - EHCOSPROD-43428 y - EHCOSPROD-43118
- generar release. documentación para liberación, preparar los tickets. 
- EHCOSPROD-40228: desactivar funcionalidad en IM y WE. Instalar solr y preparar base de datos nflow. Desactivar planificaciones de las 4 hasta completar el despliegue
- Instalación Solr y Nflow en entornos de IM
Remote 2.4
- EHCOSPROD-43173 - División pantalla Videoconferencia en dos pantallas (análisis técnico)
- EHCOSPROD-42439 - Videoconferencia N:M: si se finaliza la video, los pacientes no deberían poder volver entrar - Gestión de estados en la videoconferencia (análisis técnico)
- EHCOSPROD-43020 - Cambios FILTROS pantalla Videoconferencia (análisis técnico, reestimar)
- EHCOSPROD-42558 - Construir marcos - Perfil profesional/paciente, EHCOSPROD-41456 - Construir marco Remote - Backoffice (análisis técnico)
- EHCOSPROD-37551 - finalizada la parte de embeber pantallas (EHCOSPROD-42371: embeber pantallas de ehCOS)
- EHCOSPROD-43033 - Videoconferencia N:M: notificación inicio video (seguimiento 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EHCOSPROD-42436 - Videoconferencia N:M: visualización invitados en la video (revisar desarrollo y documentación)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- EHCOSPROD-38930: daily.
- EHCOSPROD-43036 - Error al crear usuarios en demosarg de WE (crear nueva entidad)
Remote 2.3.1
- correctivos, despliegues
- generar release. documentación para liberación, preparar los tickets. 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N21" authorId="0" shapeId="0" xr:uid="{00000000-0006-0000-0100-000041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EHCOSPROD-38930: daily.
- EHCOSPROD-43533 - RHS LATAM - Tarea Configuración - Entidad residencias Osakidetxa (configurar en WE)
- soporte instalación PRO IM 2.3. Falta instalar nflow (pendiente revisar por IM)
Remote 2.3.1 (13/01/2021 liberación)
- generar release. documentación para liberación, preparar los tickets. 
- EHCOSPROD-40228: desactivar funcionalidad en IM y WE. Instalar solr y preparar base de datos nflow. Desactivar planificaciones de las 4 hasta completar el despliegue
- Instalación Solr y Nflow en entornos de IM
Remote 2.3.2
- correctivos
Remote 2.4
- EHCOSPROD-43173 - División pantalla Videoconferencia en dos pantallas (análisis técnico)
- EHCOSPROD-42439 - Videoconferencia N:M: si se finaliza la video, los pacientes no deberían poder volver entrar - Gestión de estados en la videoconferencia (análisis técnico)
- EHCOSPROD-43020 - Cambios FILTROS pantalla Videoconferencia (análisis técnico)
- EHCOSPROD-42558 - Construir marcos - Perfil profesional/paciente, EHCOSPROD-41456 - Construir marco Remote - Backoffice (análisis técnico)
- EHCOSPROD-37551 - finalizada la parte de embeber pantallas (EHCOSPROD-42371: embeber pantallas de ehCOS)
- EHCOSPROD-43033 - Videoconferencia N:M: notificación inicio video (seguimiento 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EHCOSPROD-42436 - Videoconferencia N:M: visualización invitados en la video (revisar desarrollo y documentación)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EHCOSPROD-38930: daily.
EHCOSPROD-43533 - RHS LATAM - Tarea Configuración - Entidad residencias Osakidetxa (configurar en WE)
Remote 2.3.1 (13/01/2021 liberación)
- generar release. documentación para liberación, preparar los tickets.  Traducciones
- EHCOSPROD-40228: desactivar funcionalidad en IM y WE. Instalar solr y preparar base de datos nflow. Desactivar planificaciones de las 4 hasta completar el despliegue
- Instalación Solr y Nflow en entornos de IM
Remote 2.4
- merges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O21" authorId="0" shapeId="0" xr:uid="{00000000-0006-0000-0100-000042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EHCOSPROD-38930: daily.
- soporte instalación PRO IM 2.3. Falta instalar nflow (pendiente revisar por IM)
Remote 2.3.2
- correctivos
Remote 2.4
- estimaciones a alto nivel
- EHCOSPROD-43173 - División pantalla Videoconferencia en dos pantallas (análisis técnico)
- EHCOSPROD-42439 - Videoconferencia N:M: si se finaliza la video, los pacientes no deberían poder volver entrar - Gestión de estados en la videoconferencia (análisis técnico)
- EHCOSPROD-43020 - Cambios FILTROS pantalla Videoconferencia (análisis técnico)
- EHCOSPROD-42558 - Construir marcos - Perfil profesional/paciente, EHCOSPROD-41456 - Construir marco Remote - Backoffice (análisis técnico)
- EHCOSPROD-37551 - finalizada la parte de embeber pantallas (EHCOSPROD-42371: embeber pantallas de ehCOS)
- EHCOSPROD-43033 - Videoconferencia N:M: notificación inicio video (seguimiento 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EHCOSPROD-42436 - Videoconferencia N:M: visualización invitados en la video (revisar desarrollo y documentación)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EHCOSPROD-38930: daily.
Remote 2.4
- estimaciones a alto nivel
Remote 2.3.2
- revisión cuestionarios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R21" authorId="0" shapeId="0" xr:uid="{00000000-0006-0000-0100-000043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EHCOSPROD-38930: daily.
- EHCOSPROD-42844: Taller de Nuevos Desarrolladores ehCOS -&gt; preparar sesiones formación (8 de Febrero)
Remote 2.3.2
- correctivos: EHCOSPROD-43640 - Incluir servicio para actualizar el campo badge de notificaciones a la app
- preparar tags y release. Docuemntación y traducción etiquetas
Remote 2.4
- EHCOSPROD-43173 - División pantalla Videoconferencia en dos pantallas (análisis técnico)
- EHCOSPROD-42439 - Videoconferencia N:M: si se finaliza la video, los pacientes no deberían poder volver entrar - Gestión de estados en la videoconferencia (análisis técnico)
- EHCOSPROD-43020 - Cambios FILTROS pantalla Videoconferencia (análisis técnico)
- EHCOSPROD-42558 - Construir marcos - Perfil profesional/paciente, EHCOSPROD-41456 - Construir marco Remote - Backoffice (análisis técnico)
- EHCOSPROD-37551 - finalizada la parte de embeber pantallas (EHCOSPROD-42371: embeber pantallas de ehCOS)
- EHCOSPROD-43033 - Videoconferencia N:M: notificación inicio video (seguimiento 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EHCOSPROD-42436 - Videoconferencia N:M: visualización invitados en la video (revisar desarrollo y documentación)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EHCOSPROD-38930: daily.
- EHCOSPROD-42844: Taller de Nuevos Desarrolladores ehCOS -&gt; preparar sesiones formación (8 de Febrero)
Remote 2.3.2
- correctivos: EHCOSPROD-43640 - Incluir servicio para actualizar el campo badge de notificaciones a la app
- preparar tags y release. Docuemntación y traducción etiquetas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S21" authorId="0" shapeId="0" xr:uid="{00000000-0006-0000-0100-000044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2.3.2
- preparar tags y release. Documentación y traducción etiquetas
Remote 2.4
- merges
- estimaciones alto nivel: 42439, 43020, 42990, 43195, 43534, 43000, 43005, 43080, 43004 -&gt; fin 19/01
- EHCOSPROD-43173 - División pantalla Videoconferencia en dos pantallas (análisis técnico)
- EHCOSPROD-42439 - Videoconferencia N:M: si se finaliza la video, los pacientes no deberían poder volver entrar - Gestión de estados en la videoconferencia (análisis técnico)
- EHCOSPROD-43020 - Cambios FILTROS pantalla Videoconferencia (análisis técnico)
- EHCOSPROD-37551 - finalizada la parte de embeber pantallas (EHCOSPROD-42371: embeber pantallas de ehCOS)
- EHCOSPROD-43033 - Videoconferencia N:M: notificación inicio video (seguimiento desarrollo)
- EHCOSPROD-42436 - Videoconferencia N:M: visualización invitados en la video (revisar desarrollo y documentación)
- EHCOSPROD-42844: Taller de Nuevos Desarrolladores ehCOS -&gt; preparar sesiones formación (8 de Febrero)
- EHCOSPROD-38930: daily.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Remote 2.3.2
- preparar tags y release. Documentación y traducción etiquetas
Remote 2.4
- merges
- EHCOSPROD-43033 - Videoconferencia N:M: notificación inicio video (seguimiento desarrollo)
- EHCOSPROD-43000 - Videoconferencia N:M i2cat: ponencia y taller grupal (análisis)
- soporte carina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</t>
        </r>
      </text>
    </comment>
    <comment ref="KT21" authorId="0" shapeId="0" xr:uid="{00000000-0006-0000-0100-000045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2.3.2
- soporte instalación WE IM
Remote 2.4
- estimaciones alto nivel: 42439, 43020, 42990, 43195, 43534, 43000, 43005, 43080, 43004 -&gt; fin 20/01
- EHCOSPROD-43173 - División pantalla Videoconferencia en dos pantallas (análisis técnico)
- EHCOSPROD-42439 - Videoconferencia N:M: si se finaliza la video, los pacientes no deberían poder volver entrar - Gestión de estados en la videoconferencia (análisis técnico)
- EHCOSPROD-43020 - Cambios FILTROS pantalla Videoconferencia (análisis técnico)
- EHCOSPROD-37551 - finalizada la parte de embeber pantallas (EHCOSPROD-42371: embeber pantallas de ehCOS)
- EHCOSPROD-43033 - Videoconferencia N:M: notificación inicio video (seguimiento desarrollo)
- EHCOSPROD-42436 - Videoconferencia N:M: visualización invitados en la video (revisar desarrollo y documentación)
- EHCOSPROD-42844: Taller de Nuevos Desarrolladores ehCOS -&gt; preparar sesiones formación (8 de Febrero)
- EHCOSPROD-38930: daily.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Remote 2.3.2
- soporte instalación WE IM
- correctivos
Remote 2.4
- estimaciones alto nivel: 43534, 43004
- EHCOSPROD-43033 - Videoconferencia N:M: notificación inicio video (seguimiento desarrollo)
- EHCOSPROD-38930: daily.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EHCOSPROD-43708 - Envió paralelo de correos para planificaciones</t>
        </r>
      </text>
    </comment>
    <comment ref="KU21" authorId="0" shapeId="0" xr:uid="{00000000-0006-0000-0100-000046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configurar perfil, segmentación y planes de contacto en WE/CUF y en IM/demosarg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Remote 2.4
- estimaciones alto nivel
- EHCOSPROD-43173 - División pantalla Videoconferencia en dos pantallas (análisis técnico)
- EHCOSPROD-42439 - Videoconferencia N:M: si se finaliza la video, los pacientes no deberían poder volver entrar - Gestión de estados en la videoconferencia (análisis técnico)
- EHCOSPROD-43020 - Cambios FILTROS pantalla Videoconferencia (análisis técnico)
- EHCOSPROD-37551 - finalizada la parte de embeber pantallas (EHCOSPROD-42371: embeber pantallas de ehCOS)
- EHCOSPROD-43033 - Videoconferencia N:M: notificación inicio video (seguimiento desarrollo)
- EHCOSPROD-42436 - Videoconferencia N:M: visualización invitados en la video (revisar desarrollo y documentación)
- queries para uso de juntos
- EHCOSPROD-42844: Taller de Nuevos Desarrolladores ehCOS -&gt; preparar sesiones formación (8 de Febrero)
- EHCOSPROD-38930: daily.
</t>
        </r>
        <r>
          <rPr>
            <b/>
            <sz val="8"/>
            <color indexed="81"/>
            <rFont val="Tahoma"/>
            <family val="2"/>
          </rPr>
          <t xml:space="preserve">
Avance:
- configurar perfil, segmentación y planes de contacto en WE/CUF y en IM/demosarg
- revisar fallo planificación (producido por la notificación push, desactivadas por el momento)
remote 2.3.3
- EHCOSPROD-43741 - Etiquetas menú idioma (estimación)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EHCOSPROD-43708 - Envió paralelo de correos para planificaciones</t>
        </r>
      </text>
    </comment>
    <comment ref="KV21" authorId="0" shapeId="0" xr:uid="{00000000-0006-0000-0100-000047020000}">
      <text>
        <r>
          <rPr>
            <b/>
            <sz val="8"/>
            <color indexed="81"/>
            <rFont val="Tahoma"/>
            <family val="2"/>
          </rPr>
          <t xml:space="preserve">No es festivo en Zaragoza, pero Marcos lo tomará como festivo para coincidir con el resto del equipo en lugar del 29 de Enero que si es festivo en Zaragoza </t>
        </r>
      </text>
    </comment>
    <comment ref="KY21" authorId="0" shapeId="0" xr:uid="{00000000-0006-0000-0100-000048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sacar datos para Samuel (preparar tarea para ejecutar por parte del equipo de QA)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configurar perfil, segmentación y planes de contacto en WE/CUF y en IM/demosarg
- queries para uso de juntos
- fichero de propiedades para Portugal
Remote 2.4
- EHCOSPROD-43173 - División pantalla Videoconferencia en dos pantallas (análisis técnico)
- EHCOSPROD-42439 - Videoconferencia N:M: si se finaliza la video, los pacientes no deberían poder volver entrar - Gestión de estados en la videoconferencia (análisis técnico)
- EHCOSPROD-43020 - Cambios FILTROS pantalla Videoconferencia (análisis técnico)
- EHCOSPROD-37551 - finalizada la parte de embeber pantallas (EHCOSPROD-42371: embeber pantallas de ehCOS)
- EHCOSPROD-43033 - Videoconferencia N:M: notificación inicio video (seguimiento desarrollo)
- EHCOSPROD-42436 - Videoconferencia N:M: visualización invitados en la video (revisar desarrollo y documentación)
- EHCOSPROD-42844: Taller de Nuevos Desarrolladores ehCOS -&gt; preparar sesiones formación (8 de Febrero)
- EHCOSPROD-38930: daily.
</t>
        </r>
        <r>
          <rPr>
            <b/>
            <sz val="8"/>
            <color indexed="81"/>
            <rFont val="Tahoma"/>
            <family val="2"/>
          </rPr>
          <t xml:space="preserve">
Avance:
- configurar perfil, segmentación y planes de contacto en WE/CUF y en IM/demosarg
- soporte Osvaldo correctivos 2.3.3
- EHCOSPROD-43020 - Cambios FILTROS pantalla Videoconferencia (análisis técnico)
- EHCOSPROD-37551 - finalizada la parte de embeber pantallas (EHCOSPROD-42371: embeber pantallas de ehCOS)
- queries para uso de juntos
- fichero de propiedades para Portugal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EHCOSPROD-43708 - Envió paralelo de correos para planificaciones</t>
        </r>
      </text>
    </comment>
    <comment ref="KZ21" authorId="0" shapeId="0" xr:uid="{00000000-0006-0000-0100-000049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2.3.3
- generar tags, traducciones y documentación para liberación
Remote 2.4
- EHCOSPROD-43020 - Cambios FILTROS pantalla Videoconferencia (análisis técnico)
- EHCOSPROD-37551 - finalizada la parte de embeber pantallas (EHCOSPROD-42371: embeber pantallas de ehCOS)
- EHCOSPROD-42439 - Videoconferencia N:M: si se finaliza la video, los pacientes no deberían poder volver entrar - Gestión de estados en la videoconferencia (finalizar análisis técnico)
- EHCOSPROD-43033 - Videoconferencia N:M: notificación inicio video (seguimiento desarrollo)
- sacar datos para Samuel (preparar tarea para ejecutar por parte del equipo de QA)
- valorar integración con videollamada Teams
- EHCOSPROD-42844: Taller de Nuevos Desarrolladores ehCOS -&gt; preparar sesiones formación (8 de Febrero)
- EHCOSPROD-38930: daily.
</t>
        </r>
        <r>
          <rPr>
            <b/>
            <sz val="8"/>
            <color indexed="81"/>
            <rFont val="Tahoma"/>
            <family val="2"/>
          </rPr>
          <t xml:space="preserve">
Avance:
Remote 2.4
- EHCOSPROD-43020 - Cambios FILTROS pantalla Videoconferencia (análisis técnico)
- EHCOSPROD-37551 - finalizada la parte de embeber pantallas (EHCOSPROD-42371: embeber pantallas de ehCOS)
- EHCOSPROD-43033 - Videoconferencia N:M: notificación inicio video (seguimiento desarrollo)
- sacar datos para Samuel (soporte al equipo QA)
- configurar segmentación y planes en PRE
- EHCOSPROD-38930: daily.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EHCOSPROD-43708 - Envió paralelo de correos para planificaciones</t>
        </r>
      </text>
    </comment>
    <comment ref="LA21" authorId="0" shapeId="0" xr:uid="{00000000-0006-0000-0100-00004A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2.3.3
- generar tags y release, traducciones y documentación para liberación
Remote 2.4
- EHCOSPROD-37551 - finalizada la parte de embeber pantallas (EHCOSPROD-42371: embeber pantallas de ehCOS)
- EHCOSPROD-42439 - Videoconferencia N:M: si se finaliza la video, los pacientes no deberían poder volver entrar - Gestión de estados en la videoconferencia (finalizar análisis técnico)
- EHCOSPROD-43033 - Videoconferencia N:M: notificación inicio video (seguimiento desarrollo)
- EHCOSPROD-43020 - Cambios FILTROS pantalla Videoconferencia (seguimiento desarrollo)
- reunión CRM
- reunión ASISA oportunidad
- EHCOSPROD-38930: daily.
</t>
        </r>
        <r>
          <rPr>
            <b/>
            <sz val="8"/>
            <color indexed="81"/>
            <rFont val="Tahoma"/>
            <family val="2"/>
          </rPr>
          <t xml:space="preserve">
Avance:
- reunión CRM
- reunión ASISA oportunidad
- configuración solr en QA
- EHCOSPROD-38930: daily.
- soporte pruebas
Remote 2.4
- EHCOSPROD-37551 - finalizada la parte de embeber pantallas (EHCOSPROD-42371: embeber pantallas de ehCOS)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EHCOSPROD-43708 - Envió paralelo de correos para planificaciones
- valorar integración con videollamada Teams
- EHCOSPROD-42844: Taller de Nuevos Desarrolladores ehCOS -&gt; preparar sesiones formación (8 de Febrero)</t>
        </r>
      </text>
    </comment>
    <comment ref="LB21" authorId="0" shapeId="0" xr:uid="{00000000-0006-0000-0100-00004B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2.3.3
- pruebas y despliegue en PRE-Brasil
- generar tags y release, traducciones y documentación para liberación
- merge modificaciones a la rama de la 2.3 y al trunk
Remote 2.4
- EHCOSPROD-37551 - informes en remote (EHCOSPROD-42371: embeber pantallas de ehCOS)
- EHCOSPROD-43033 - Videoconferencia N:M: notificación inicio video (seguimiento desarrollo)
- EHCOSPROD-43020 - Cambios FILTROS pantalla Videoconferencia (seguimiento desarrollo)
- ASISA oportunidad estimación alto nivel
- EHCOSPROD-38930: daily.
</t>
        </r>
        <r>
          <rPr>
            <b/>
            <sz val="8"/>
            <color indexed="81"/>
            <rFont val="Tahoma"/>
            <family val="2"/>
          </rPr>
          <t xml:space="preserve">
Avance:
Remote 2.3.3
- pruebas y despliegue en PRE-Brasil
- generar tags y release, traducciones y documentación para liberación
- merge modificaciones a la rama de la 2.3 y al trunk
- ASISA oportunidad estimación alto nivel
- EHCOSPROD-38930: daily.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EHCOSPROD-43708 - Envió paralelo de correos para planificaciones
- valorar integración con videollamada Teams
- EHCOSPROD-42844: Taller de Nuevos Desarrolladores ehCOS -&gt; preparar sesiones formación (9 de Febrero)
- EHCOSPROD-42439 - Videoconferencia N:M: si se finaliza la video, los pacientes no deberían poder volver entrar - Gestión de estados en la videoconferencia (finalizar análisis técnico)</t>
        </r>
      </text>
    </comment>
    <comment ref="LC21" authorId="0" shapeId="0" xr:uid="{00000000-0006-0000-0100-00004C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merge modificaciones a la rama de la 2.3 y al trunk
- EHCOSPROD-37551 - informes en remote (EHCOSPROD-42371: embeber pantallas de ehCOS)
- EHCOSPROD-43033 - Videoconferencia N:M: notificación inicio video (seguimiento desarrollo)
- EHCOSPROD-43020 - Cambios FILTROS pantalla Videoconferencia (seguimiento desarrollo)
- formación i2Cat
- ASISA oportunidad estimación alto nivel
- valorar integración con videollamada Teams
- EHCOSPROD-38930: daily.
</t>
        </r>
        <r>
          <rPr>
            <b/>
            <sz val="8"/>
            <color indexed="81"/>
            <rFont val="Tahoma"/>
            <family val="2"/>
          </rPr>
          <t xml:space="preserve">
Avance:
Remote 2.4
- merge modificaciones a la rama de la 2.3 y al trunk
- EHCOSPROD-37551 - informes en remote (EHCOSPROD-42371: embeber pantallas de ehCOS)
- EHCOSPROD-43033 - Videoconferencia N:M: notificación inicio video (seguimiento desarrollo)
- EHCOSPROD-43020 - Cambios FILTROS pantalla Videoconferencia (seguimiento desarrollo)
- formación i2Cat
- ASISA oportunidad estimación alto nivel
- valorar integración con videollamada Teams
- EHCOSPROD-38930: daily.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EHCOSPROD-43708 - Envió paralelo de correos para planificaciones
- EHCOSPROD-42844: Taller de Nuevos Desarrolladores ehCOS -&gt; preparar sesiones formación (9 de Febrero)
- EHCOSPROD-42439 - Videoconferencia N:M: si se finaliza la video, los pacientes no deberían poder volver entrar - Gestión de estados en la videoconferencia (finalizar análisis técnico)</t>
        </r>
      </text>
    </comment>
    <comment ref="LF21" authorId="0" shapeId="0" xr:uid="{00000000-0006-0000-0100-00004D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merge al trunk
- EHCOSPROD-37551 - informes en remote (EHCOSPROD-42371: embeber pantallas de ehCOS)
- EHCOSPROD-44050 - POC videoconferencia websocket apps (análisis técnico)
- EHCOSPROD-43033 - Videoconferencia N:M: notificación inicio video (seguimiento desarrollo)
- EHCOSPROD-43020 - Cambios FILTROS pantalla Videoconferencia (seguimiento desarrollo)
- preparación demo
- valorar integración con videollamada Teams
- EHCOSPROD-38930: daily.
</t>
        </r>
        <r>
          <rPr>
            <b/>
            <sz val="8"/>
            <color indexed="81"/>
            <rFont val="Tahoma"/>
            <family val="2"/>
          </rPr>
          <t xml:space="preserve">
Avance:
Remote 2.4
- EHCOSPROD-37551 - informes en remote (EHCOSPROD-42371: embeber pantallas de ehCOS)
- preparación demo
- EHCOSPROD-38930: daily.
Backlog:
</t>
        </r>
        <r>
          <rPr>
            <sz val="8"/>
            <color indexed="81"/>
            <rFont val="Tahoma"/>
            <family val="2"/>
          </rPr>
          <t>- resolver temas pendientes auditoría 
- formación i2Cat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EHCOSPROD-43708 - Envió paralelo de correos para planificaciones
- EHCOSPROD-42844: Taller de Nuevos Desarrolladores ehCOS -&gt; preparar sesiones formación (9 de Febrero)
- EHCOSPROD-42439 - Videoconferencia N:M: si se finaliza la video, los pacientes no deberían poder volver entrar - Gestión de estados en la videoconferencia (finalizar análisis técnico)
- ASISA oportunidad estimación alto nivel</t>
        </r>
      </text>
    </comment>
    <comment ref="LG21" authorId="0" shapeId="0" xr:uid="{00000000-0006-0000-0100-00004E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2.3.3
- soporte a la subida en IM y WE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Remote 2.4
- EHCOSPROD-37551 - informes en remote (EHCOSPROD-42371: embeber pantallas de ehCOS)
- EHCOSPROD-44050 - POC videoconferencia websocket apps (análisis técnico)
- EHCOSPROD-43033 - Videoconferencia N:M: notificación inicio video (seguimiento desarrollo)
- EHCOSPROD-43020 - Cambios FILTROS pantalla Videoconferencia (seguimiento desarrollo)
- EHCOSPROD-38930: daily.
</t>
        </r>
        <r>
          <rPr>
            <b/>
            <sz val="8"/>
            <color indexed="81"/>
            <rFont val="Tahoma"/>
            <family val="2"/>
          </rPr>
          <t xml:space="preserve">
Avance:
Remote 2.3.3
- soporte a la subida en IM y WE
Remote 2.4
- EHCOSPROD-37551 - informes en remote (EHCOSPROD-42371: embeber pantallas de ehCOS)
- EHCOSPROD-42439 - Videoconferencia N:M: Gestión de estados en la videoconferencia (análisis técnico)
Backlog:
</t>
        </r>
        <r>
          <rPr>
            <sz val="8"/>
            <color indexed="81"/>
            <rFont val="Tahoma"/>
            <family val="2"/>
          </rPr>
          <t>- resolver temas pendientes auditoría 
- formación i2Cat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EHCOSPROD-43708 - Envió paralelo de correos para planificaciones
- EHCOSPROD-42844: Taller de Nuevos Desarrolladores ehCOS -&gt; preparar sesiones formación (9 de Febrero)
- EHCOSPROD-42439 - Videoconferencia N:M: si se finaliza la video, los pacientes no deberían poder volver entrar - Gestión de estados en la videoconferencia (finalizar análisis técnico)
- ASISA oportunidad estimación alto nivel</t>
        </r>
      </text>
    </comment>
    <comment ref="LH21" authorId="0" shapeId="0" xr:uid="{00000000-0006-0000-0100-00004F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reunión alcance v2.4
- EHCOSPROD-37551 - informes en remote (EHCOSPROD-42371: embeber pantallas de ehCOS)
- EHCOSPROD-44047 - POC videoconferencia websocket (seguimiento desarrollo)
- EHCOSPROD-43020 - Cambios FILTROS pantalla Videoconferencia (seguimiento desarrollo)
- EHCOSPROD-42439 - Videoconferencia N:M: Gestión de estados en la videoconferencia (seguimiento desarrollo)
- sesión formación i2Cat
- EHCOSPROD-38930: daily.
</t>
        </r>
        <r>
          <rPr>
            <b/>
            <sz val="8"/>
            <color indexed="81"/>
            <rFont val="Tahoma"/>
            <family val="2"/>
          </rPr>
          <t xml:space="preserve">
Avance:
Remote 2.4
- reunión alcance v2.4
- EHCOSPROD-37551 - informes en remote (EHCOSPROD-42371: embeber pantallas de ehCOS)
- EHCOSPROD-44047 - POC videoconferencia websocket (seguimiento desarrollo)
- EHCOSPROD-43020 - Cambios FILTROS pantalla Videoconferencia (seguimiento desarrollo)
- EHCOSPROD-38930: daily, soporte técnico
Backlog:
</t>
        </r>
        <r>
          <rPr>
            <sz val="8"/>
            <color indexed="81"/>
            <rFont val="Tahoma"/>
            <family val="2"/>
          </rPr>
          <t>- resolver temas pendientes auditoría 
- formación i2Cat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EHCOSPROD-43708 - Envió paralelo de correos para planificaciones
- EHCOSPROD-42844: Taller de Nuevos Desarrolladores ehCOS -&gt; preparar sesiones formación (9 de Febrero)
- EHCOSPROD-42439 - Videoconferencia N:M: si se finaliza la video, los pacientes no deberían poder volver entrar - Gestión de estados en la videoconferencia (finalizar análisis técnico)
- ASISA oportunidad estimación alto nivel</t>
        </r>
      </text>
    </comment>
    <comment ref="LI21" authorId="0" shapeId="0" xr:uid="{00000000-0006-0000-0100-000050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estimaciones alto nivel: EHCOSPROD-43846, EHCOSPROD-43079, EHCOSPROD-44070, (revisar con Grecia)
- EHCOSPROD-37551 - informes en remote (EHCOSPROD-42371: embeber pantallas de ehCOS) (reunión, análisis técnico y estimación)
- EHCOSPROD-44047 - POC videoconferencia websocket (seguimiento desarrollo)
- EHCOSPROD-43020 - Cambios FILTROS pantalla Videoconferencia (seguimiento desarrollo)
- EHCOSPROD-42439 - Videoconferencia N:M: Gestión de estados en la videoconferencia (seguimiento desarrollo)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Remote 2.3.4
- liberación, generar tags y documentación
Remote 2.4
- EHCOSPROD-37551 - informes en remote (EHCOSPROD-42371: embeber pantallas de ehCOS) (reunión, análisis técnico y estimación)
. reuniones sobre estimaciones para proyecto de portugal, push y informes, websocket desde la app
- EHCOSPROD-44047 - POC videoconferencia websocket (seguimiento desarrollo)
Backlog:
</t>
        </r>
        <r>
          <rPr>
            <sz val="8"/>
            <color indexed="81"/>
            <rFont val="Tahoma"/>
            <family val="2"/>
          </rPr>
          <t>- EHCOSPROD-43000 - Videoconferencia N:M: ponencia y taller grupal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resolver temas pendientes auditoría 
- formación i2Cat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EHCOSPROD-43708 - Envió paralelo de correos para planificaciones
- EHCOSPROD-42844: Taller de Nuevos Desarrolladores ehCOS -&gt; preparar sesiones formación (9 de Febrero)
- EHCOSPROD-42439 - Videoconferencia N:M: si se finaliza la video, los pacientes no deberían poder volver entrar - Gestión de estados en la videoconferencia (finalizar análisis técnico)
- ASISA oportunidad estimación alto nivel</t>
        </r>
      </text>
    </comment>
    <comment ref="LJ21" authorId="0" shapeId="0" xr:uid="{00000000-0006-0000-0100-000051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merges al trunk
- EHCOSPROD-37551 - informes en remote (EHCOSPROD-42371: embeber pantallas de ehCOS) (reunión, análisis técnico y estimación)
- estimaciones alto nivel: EHCOSPROD-43846, EHCOSPROD-43079, EHCOSPROD-44070, EHCOSPROD-43195
- EHCOSPROD-43000 - Videoconferencia N:M: ponencia y taller grupal (análisis técnico)
- EHCOSPROD-43020 - Cambios FILTROS pantalla Videoconferencia (seguimiento desarrollo)
- EHCOSPROD-42439 - Videoconferencia N:M: Gestión de estados en la videoconferencia (seguimiento desarrollo)
- sesiones formación i2Cat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Remote 2.4
- merges al trunk
- EHCOSPROD-37551 - informes en remote (EHCOSPROD-42371: embeber pantallas de ehCOS) (reunión, análisis técnico y estimación)
- revisión websocket de la app (EHCOSPROD-44240)
- EHCOSPROD-42439 - Videoconferencia N:M: Gestión de estados en la videoconferencia (seguimiento desarrollo)
- EHCOSPROD-38930: daily. Soporte técnico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EHCOSPROD-43708 - Envió paralelo de correos para planificaciones
- EHCOSPROD-42844: Taller de Nuevos Desarrolladores ehCOS -&gt; preparar sesiones formación (9 de Febrero)
- EHCOSPROD-42439 - Videoconferencia N:M: si se finaliza la video, los pacientes no deberían poder volver entrar - Gestión de estados en la videoconferencia (finalizar análisis técnico)
- ASISA oportunidad estimación alto nivel</t>
        </r>
      </text>
    </comment>
    <comment ref="LM21" authorId="0" shapeId="0" xr:uid="{00000000-0006-0000-0100-000052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2.3.4
- Instalación WE e IM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Remote 2.4
- estimaciones alto nivel: EHCOSPROD-43846, EHCOSPROD-43079, EHCOSPROD-44070, EHCOSPROD-43195
- EHCOSPROD-37551 - informes en remote (EHCOSPROD-42371: embeber pantallas de ehCOS) (reunión, análisis técnico y estimación)
- EHCOSPROD-43000 - Videoconferencia N:M: ponencia y taller grupal (análisis técnico)
- EHCOSPROD-43020 - Cambios FILTROS pantalla Videoconferencia (seguimiento desarrollo)
- EHCOSPROD-42439 - Videoconferencia N:M: Gestión de estados en la videoconferencia (seguimiento desarrollo)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Remote 2.3.4
- Instalación WE e IM
Remote 2.4
- estimaciones alto nivel: EHCOSPROD-43846, EHCOSPROD-43079, EHCOSPROD-44070
- EHCOSPROD-37551 - informes en remote (EHCOSPROD-42371: embeber pantallas de ehCOS) (análisis técnico y estimación, montar clinic)
- EHCOSPROD-43000 - Videoconferencia N:M: ponencia y taller grupal (análisis técnico)
- EHCOSPROD-43020 - Cambios FILTROS pantalla Videoconferencia (seguimiento desarrollo)
- EHCOSPROD-42439 - Videoconferencia N:M: Gestión de estados en la videoconferencia (seguimiento desarrollo)
- EHCOSPROD-38930: daily. Soporte técnico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EHCOSPROD-43708 - Envió paralelo de correos para planificaciones
- EHCOSPROD-42844: Taller de Nuevos Desarrolladores ehCOS -&gt; preparar sesiones formación (9 de Febrero)
- EHCOSPROD-42439 - Videoconferencia N:M: si se finaliza la video, los pacientes no deberían poder volver entrar - Gestión de estados en la videoconferencia (finalizar análisis técnico)
- ASISA oportunidad estimación alto nivel</t>
        </r>
      </text>
    </comment>
    <comment ref="LN21" authorId="0" shapeId="0" xr:uid="{00000000-0006-0000-0100-000053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2.3.5
- EHCOSPROD-44267: traducciones portugues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Remote 2.4
- estimaciones alto nivel: EHCOSPROD-43195
- EHCOSPROD-37551 - informes en remote (relacionada con EHCOSPROD-42371: embeber pantallas de ehCOS) (análisis técnico y estimación)
- EHCOSPROD-43000 - Videoconferencia N:M: ponencia y taller grupal (análisis técnico y estimación)
- EHCOSPROD-43020 - Cambios FILTROS pantalla Videoconferencia (seguimiento desarrollo)
- EHCOSPROD-43846 - Videoconferencia N:M: visualización invitados en la video. Parte 2 (seguimiento desarrollo)
- EHCOSPROD-42844: Taller de Nuevos Desarrolladores ehCOS -&gt; preparar sesiones formación (9 de Febrero)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Remote 2.4
- EHCOSPROD-37551 - informes en remote (relacionada con EHCOSPROD-42371: embeber pantallas de ehCOS) (análisis técnico y estimación)
- EHCOSPROD-43020 - Cambios FILTROS pantalla Videoconferencia (seguimiento desarrollo)
- EHCOSPROD-43846 - Videoconferencia N:M: visualización invitados en la video. Parte 2 (seguimiento desarrollo)
- EHCOSPROD-42844: Taller de Nuevos Desarrolladores ehCOS -&gt; sesión formación
- EHCOSPROD-38930: daily. Soporte técnico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ASISA oportunidad estimación alto nivel</t>
        </r>
      </text>
    </comment>
    <comment ref="LO21" authorId="0" shapeId="0" xr:uid="{00000000-0006-0000-0100-000054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2.3.5
- EHCOSPROD-44267: traducciones portugues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Remote 2.4
- EHCOSPROD-37551 - informes en remote (relacionada con EHCOSPROD-42371: embeber pantallas de ehCOS) (análisis técnico y estimación)
- EHCOSPROD-44266, EHCOSPROD-43591 (análisis técnico y estimación)
- EHCOSPROD-43000 - Videoconferencia N:M: ponencia y taller grupal (análisis técnico y estimación)
- EHCOSPROD-43020 - Cambios FILTROS pantalla Videoconferencia (seguimiento desarrollo)
- EHCOSPROD-43846 - Videoconferencia N:M: visualización invitados en la video. Parte 2 (seguimiento desarrollo)
- EHCOSPROD-38930: daily. Soporte técnico, sesiones por producto
</t>
        </r>
        <r>
          <rPr>
            <b/>
            <sz val="8"/>
            <color indexed="81"/>
            <rFont val="Tahoma"/>
            <family val="2"/>
          </rPr>
          <t xml:space="preserve">
Avance:
Remote 2.3.5
- EHCOSPROD-44267: traducciones portugues
Remote 2.4
- EHCOSPROD-37551 - informes en remote (relacionada con EHCOSPROD-42371: embeber pantallas de ehCOS) (avanzar en el caso de uso de integración)
- EHCOSPROD-38930: daily. Soporte técnico, sesiones por producto
Backlog:
</t>
        </r>
        <r>
          <rPr>
            <sz val="8"/>
            <color indexed="81"/>
            <rFont val="Tahoma"/>
            <family val="2"/>
          </rPr>
          <t xml:space="preserve">- resolver temas pendientes auditoría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ASISA oportunidad estimación alto nivel</t>
        </r>
      </text>
    </comment>
    <comment ref="LP21" authorId="0" shapeId="0" xr:uid="{00000000-0006-0000-0100-000055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2.3.5
- EHCOSPROD-44267: traducciones portugues
- EHCOSPROD-44340 - Perfil 360 en catalán
- pruebas carga textos en chino,  malayo para visualización. Captura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Remote 2.4
- EHCOSPROD-37551 - informes en remote (relacionada con EHCOSPROD-42371: embeber pantallas de ehCOS) (análisis técnico y estimación)
- EHCOSPROD-44266, EHCOSPROD-43591 (análisis técnico y estimación)
- EHCOSPROD-43020 - Cambios FILTROS pantalla Videoconferencia (seguimiento desarrollo)
- EHCOSPROD-43846 - Videoconferencia N:M: visualización invitados en la video. Parte 2 (seguimiento desarrollo)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- soporte cambio bd postgres en PRO
Remote 2.3.5
- EHCOSPROD-44267: traducciones portugues
- EHCOSPROD-44340 - Perfil 360 en catalán
- pruebas carga textos en chino,  malayo para visualización. Captura
Remote 2.4
- EHCOSPROD-37551 - informes en remote (relacionada con EHCOSPROD-42371: embeber pantallas de ehCOS) (análisis técnico y estimación)
- EHCOSPROD-38930: daily. Soporte técnico
Backlog:
</t>
        </r>
        <r>
          <rPr>
            <sz val="8"/>
            <color indexed="81"/>
            <rFont val="Tahoma"/>
            <family val="2"/>
          </rPr>
          <t>- resolver temas pendientes auditoría 
- EHCOSPROD-43000 - Videoconferencia N:M: ponencia y taller grupal (análisis técnico y estimación)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ASISA oportunidad estimación alto nivel</t>
        </r>
      </text>
    </comment>
    <comment ref="LQ21" authorId="0" shapeId="0" xr:uid="{00000000-0006-0000-0100-000056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EHCOSPROD-37551 - informes en remote (relacionada con EHCOSPROD-42371: embeber pantallas de ehCOS) (desarrollo)
- EHCOSPROD-43020 - Cambios FILTROS pantalla Videoconferencia (seguimiento desarrollo)
- EHCOSPROD-43846 - Videoconferencia N:M: visualización invitados en la video. Parte 2 (seguimiento desarrollo)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Remote 2.3.5
- preparación release
Remote 2.4
- EHCOSPROD-37551 - informes en remote (relacionada con EHCOSPROD-42371: embeber pantallas de ehCOS) (desarrollo)
- EHCOSPROD-43020 - Cambios FILTROS pantalla Videoconferencia (seguimiento desarrollo)
- EHCOSPROD-43846 - Videoconferencia N:M: visualización invitados en la video. Parte 2 (seguimiento desarrollo)
- EHCOSPROD-38930: daily. Soporte técnico
Backlog:
</t>
        </r>
        <r>
          <rPr>
            <sz val="8"/>
            <color indexed="81"/>
            <rFont val="Tahoma"/>
            <family val="2"/>
          </rPr>
          <t>- resolver temas pendientes auditoría (correo RE: Resultados Auditoría Web ehcos)
- EHCOSPROD-43000 - Videoconferencia N:M: ponencia y taller grupal (análisis técnico y estimación)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</t>
        </r>
      </text>
    </comment>
    <comment ref="LT21" authorId="0" shapeId="0" xr:uid="{00000000-0006-0000-0100-000057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revisión errores BCN-PRO (EHCOSPROD-44431, EHCOSPROD-44341)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Remote 2.3.5
- preparar tags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Remote 2.4
- EHCOSPROD-43195 - Backend, Crear notificación push para videoconferencia NM e individual (análisis técnico y estimación)
- EHCOSPROD-43000 - Videoconferencia N:M: ponencia y taller grupal (análisis técnico y estimación)
- EHCOSPROD-43020 - Cambios FILTROS pantalla Videoconferencia (seguimiento desarrollo)
- EHCOSPROD-43846 - Videoconferencia N:M: visualización invitados en la video. Parte 2 (seguimiento desarrollo)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- revisión errores BCN-PRO (EHCOSPROD-44431, EHCOSPROD-44341)
Remote 2.3.5
- preparar tags y tickets
Remote 2.4
- EHCOSPROD-43195 - Backend, Crear notificación push para videoconferencia NM e individual (análisis técnico y estimación)
- EHCOSPROD-43000 - Videoconferencia N:M: ponencia y taller grupal (análisis técnico y estimación)
- EHCOSPROD-43020 - Cambios FILTROS pantalla Videoconferencia (seguimiento desarrollo)
- EHCOSPROD-43846 - Videoconferencia N:M: visualización invitados en la video. Parte 2 (seguimiento desarrollo)
- EHCOSPROD-38930: daily. Soporte técnico
Backlog:
</t>
        </r>
        <r>
          <rPr>
            <sz val="8"/>
            <color indexed="81"/>
            <rFont val="Tahoma"/>
            <family val="2"/>
          </rPr>
          <t>- resolver temas pendientes auditoría (correo RE: Resultados Auditoría Web ehcos)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EHCOSPROD-37551 - informes en remote (relacionada con EHCOSPROD-42371: embeber pantallas de ehCOS) (desarrollo)</t>
        </r>
      </text>
    </comment>
    <comment ref="LU21" authorId="0" shapeId="0" xr:uid="{00000000-0006-0000-0100-000058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2.3.5
- soporte liberación WE e IM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Remote 2.4
- EHCOSPROD-44465 - Creación de origin "Wellbeing"
- EHCOSPROD-43000 - Videoconferencia N:M: ponencia y taller grupal (análisis técnico y estimación)
- EHCOSPROD-44070 - Servicio para recibir notificaciones de i2cat (análisis técnico)
- EHCOSPROD-43639 - Cambios Servicios videoconferencia (análisis técnico)
- EHCOSPROD-43020 - Cambios FILTROS pantalla Videoconferencia (seguimiento desarrollo)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Remote 2.3.5
- soporte liberación WE e IM
Remote 2.4
- EHCOSPROD-44465 - Creación de origin "Wellbeing"
- EHCOSPROD-43000 - Videoconferencia N:M: ponencia y taller grupal (análisis técnico y estimación)
- EHCOSPROD-43020 - Cambios FILTROS pantalla Videoconferencia (seguimiento desarrollo)
- EHCOSPROD-38930: daily. Soporte técnico
Backlog:
</t>
        </r>
        <r>
          <rPr>
            <sz val="8"/>
            <color indexed="81"/>
            <rFont val="Tahoma"/>
            <family val="2"/>
          </rPr>
          <t>- resolver temas pendientes auditoría (correo RE: Resultados Auditoría Web ehcos)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EHCOSPROD-37551 - informes en remote (relacionada con EHCOSPROD-42371: embeber pantallas de ehCOS) (desarrollo)</t>
        </r>
      </text>
    </comment>
    <comment ref="LV21" authorId="0" shapeId="0" xr:uid="{00000000-0006-0000-0100-000059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EHCOSPROD-44465 - Creación de origin "Wellbeing", crear para Bradesco
- EHCOSPROD-43000 - Videoconferencia N:M: ponencia y taller grupal (análisis técnico y estimación)
- EHCOSPROD-44070 - Servicio para recibir notificaciones de i2cat (análisis técnico)
- EHCOSPROD-43639 - Cambios Servicios videoconferencia (análisis técnico)
- EHCOSPROD-43020 - Cambios FILTROS pantalla Videoconferencia (seguimiento desarrollo)
- EHCOSPROD-42358: ajustes servidores de video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Remote 2.4
- EHCOSPROD-44465 - Creación de origin "Wellbeing", crear para Bradesco
- EHCOSPROD-43000 - Videoconferencia N:M: ponencia y taller grupal (análisis técnico y estimación)
- EHCOSPROD-43195 - Backend, Crear notificación push para videoconferencia NM e individual (seguimiento)
- EHCOSPROD-42358: ajustes servidores de video
- EHCOSPROD-38930: daily. Soporte técnico
Backlog:
</t>
        </r>
        <r>
          <rPr>
            <sz val="8"/>
            <color indexed="81"/>
            <rFont val="Tahoma"/>
            <family val="2"/>
          </rPr>
          <t>- resolver temas pendientes auditoría (correo RE: Resultados Auditoría Web ehcos)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EHCOSPROD-37551 - informes en remote (relacionada con EHCOSPROD-42371: embeber pantallas de ehCOS) (desarrollo)</t>
        </r>
      </text>
    </comment>
    <comment ref="LW21" authorId="0" shapeId="0" xr:uid="{00000000-0006-0000-0100-00005A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instalación de postgres11
- soporte cambio máquinas BR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Remote 2.4
- EHCOSPROD-44465 - Creación de origin "Wellbeing", crear para Bradesco
- EHCOSPROD-42358: ajustes servidores de video
- EHCOSPROD-44070 - Servicio para recibir notificaciones de i2cat (análisis técnico)
- EHCOSPROD-43639 - Cambios Servicios videoconferencia (análisis técnico)
- EHCOSPROD-43195 - Backend, Crear notificación push para videoconferencia NM e individual (ajuste estimación, seguimiento desarrollo)
- EHCOSPROD-43020 - Cambios FILTROS pantalla Videoconferencia (seguimiento desarrollo)
Remote 2.3.7
- estimar correctivos: EHCOSPROD-44396 - Los estilos del cuestionario no se guardan ; EHCOSPROD-44201 - Si hay mas de una alerta en un cuestionario, solo llega la primera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- soporte cambio máquinas BR
Remote 2.4
- EHCOSPROD-44465 - Creación de origin "Wellbeing", crear para Bradesco
- EHCOSPROD-42358: ajustes servidores de video
- EHCOSPROD-43195 - Backend, Crear notificación push para videoconferencia NM e individual (ajuste estimación, seguimiento desarrollo)
- EHCOSPROD-43020 - Cambios FILTROS pantalla Videoconferencia (seguimiento desarrollo)
Remote 2.3.7
- estimar correctivos: EHCOSPROD-44396 - Los estilos del cuestionario no se guardan ; EHCOSPROD-44201 - Si hay mas de una alerta en un cuestionario, solo llega la primera
- EHCOSPROD-38930: daily. Soporte técnico
Backlog:
</t>
        </r>
        <r>
          <rPr>
            <sz val="8"/>
            <color indexed="81"/>
            <rFont val="Tahoma"/>
            <family val="2"/>
          </rPr>
          <t>- EHCOSPROD-43000 - Videoconferencia N:M: ponencia y taller grupal (desarrollo)
- EHCOSPROD-43163 - Incluir Exportación de Datos de personas - backoffice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resolver temas pendientes auditoría (correo RE: Resultados Auditoría Web ehcos)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EHCOSPROD-37551 - informes en remote (relacionada con EHCOSPROD-42371: embeber pantallas de ehCOS) (desarrollo)</t>
        </r>
      </text>
    </comment>
    <comment ref="LX21" authorId="0" shapeId="0" xr:uid="{00000000-0006-0000-0100-00005B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instalación de postgres11
- Actualizar entorno PreBrasil 2.3.X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Remote 2.4
- EHCOSPROD-42358 - ajustes servidores de video -&gt; revisar
- EHCOSPROD-44046 - Integracion Wellbeling con pantallas de ehcos remote (análisis técnico)
- EHCOSPROD-44070 - Servicio para recibir notificaciones de i2cat (análisis técnico)
- EHCOSPROD-43639 - Cambios Servicios videoconferencia (análisis técnico)
- EHCOSPROD-43195 - Backend, Crear notificación push para videoconferencia NM e individual (seguimiento desarrollo)
- EHCOSPROD-43020 - Cambios FILTROS pantalla Videoconferencia (seguimiento desarrollo)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Remote 2.4
- EHCOSPROD-44046 - Integracion Wellbeling con pantallas de ehcos remote (análisis técnico)
- EHCOSPROD-43639 - Cambios Servicios videoconferencia (análisis técnico)
- EHCOSPROD-43195 - Backend, Crear notificación push para videoconferencia NM e individual (seguimiento desarrollo)
- EHCOSPROD-43020 - Cambios FILTROS pantalla Videoconferencia (seguimiento desarrollo)
- EHCOSPROD-38930: daily. Soporte técnico
Backlog:
</t>
        </r>
        <r>
          <rPr>
            <sz val="8"/>
            <color indexed="81"/>
            <rFont val="Tahoma"/>
            <family val="2"/>
          </rPr>
          <t>- EHCOSPROD-42439 - Videoconferencia N:M: Gestión de estados en la videoconferencia + EHCOSPROD-43534 - Envío de estados y participantes videoconferencia (retomar desarrollo de Emilio)</t>
        </r>
        <r>
          <rPr>
            <b/>
            <sz val="8"/>
            <color indexed="81"/>
            <rFont val="Tahoma"/>
            <family val="2"/>
          </rPr>
          <t xml:space="preserve"> inicio 22/02, fin 25/02
</t>
        </r>
        <r>
          <rPr>
            <sz val="8"/>
            <color indexed="81"/>
            <rFont val="Tahoma"/>
            <family val="2"/>
          </rPr>
          <t xml:space="preserve">- EHCOSPROD-43000 - Videoconferencia N:M: ponencia y taller grupal + EHCOSPROD-43639 - Cambios Servicios videoconferencia (desarrollo) </t>
        </r>
        <r>
          <rPr>
            <b/>
            <sz val="8"/>
            <color indexed="81"/>
            <rFont val="Tahoma"/>
            <family val="2"/>
          </rPr>
          <t xml:space="preserve">inicio 01/03, fin 10/03
</t>
        </r>
        <r>
          <rPr>
            <sz val="8"/>
            <color indexed="81"/>
            <rFont val="Tahoma"/>
            <family val="2"/>
          </rPr>
          <t>- merges y correctivos remote 2.4
- EHCOSPROD-43163 - Incluir Exportación de Datos de personas - backoffice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resolver temas pendientes auditoría (correo RE: Resultados Auditoría Web ehcos)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EHCOSPROD-37551 - informes en remote (relacionada con EHCOSPROD-42371: embeber pantallas de ehCOS) (desarrollo)</t>
        </r>
      </text>
    </comment>
    <comment ref="MA21" authorId="0" shapeId="0" xr:uid="{00000000-0006-0000-0100-00005C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EHCOSPROD-44070 - Servicio para recibir notificaciones de i2cat (análisis técnico)
- EHCOSPROD-44046 - Integracion Wellbeling con pantallas de ehcos remote (análisis técnico)
- EHCOSPROD-42439 - Videoconferencia N:M: Gestión de estados en la videoconferencia + EHCOSPROD-43534 - Envío de estados y participantes videoconferencia (retomar desarrollo de Emilio) </t>
        </r>
        <r>
          <rPr>
            <b/>
            <sz val="8"/>
            <color indexed="81"/>
            <rFont val="Tahoma"/>
            <family val="2"/>
          </rPr>
          <t>inicio 22/02, fin 01/03</t>
        </r>
        <r>
          <rPr>
            <sz val="8"/>
            <color indexed="81"/>
            <rFont val="Tahoma"/>
            <family val="2"/>
          </rPr>
          <t xml:space="preserve">
- EHCOSPROD-43195 - Backend, Crear notificación push para videoconferencia NM e individual (seguimiento desarrollo)
- EHCOSPROD-43020 - Cambios FILTROS pantalla Videoconferencia (seguimiento desarrollo)
- EHCOSPROD-42358 - ajustes servidores de video -&gt; revisar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Remote 2.3.6
- EHCOSPROD-44677 - error video app Pirene
Remote 2.4
- EHCOSPROD-44070 - Servicio para recibir notificaciones de i2cat (análisis técnico)
- EHCOSPROD-44046 - Integracion Wellbeling con pantallas de ehcos remote (análisis técnico)
- EHCOSPROD-43195 - Backend, Crear notificación push para videoconferencia NM e individual (seguimiento desarrollo)
- EHCOSPROD-43020 - Cambios FILTROS pantalla Videoconferencia (seguimiento desarrollo)
- EHCOSPROD-42358 - ajustes servidores de video -&gt; revisar
- EHCOSPROD-38930: daily. Soporte técnico
Backlog:
</t>
        </r>
        <r>
          <rPr>
            <sz val="8"/>
            <color indexed="81"/>
            <rFont val="Tahoma"/>
            <family val="2"/>
          </rPr>
          <t>- instalación de postgres11
- Actualizar entorno PreBrasil 2.3.X
- merges y correctivos remote 2.4: EHCOSPROD-44670 - No se pueden crear citas grupales, EHCOSPROD-44653 - Videoconferencia individual falla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EHCOSPROD-43000 - Videoconferencia N:M: ponencia y taller grupal + EHCOSPROD-43639 - Cambios Servicios videoconferencia (desarrollo) </t>
        </r>
        <r>
          <rPr>
            <b/>
            <sz val="8"/>
            <color indexed="81"/>
            <rFont val="Tahoma"/>
            <family val="2"/>
          </rPr>
          <t>inicio 01/03, fin 10/03</t>
        </r>
        <r>
          <rPr>
            <sz val="8"/>
            <color indexed="81"/>
            <rFont val="Tahoma"/>
            <family val="2"/>
          </rPr>
          <t xml:space="preserve">
- EHCOSPROD-43163 - Incluir Exportación de Datos de personas - backoffice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resolver temas pendientes auditoría (correo RE: Resultados Auditoría Web ehcos)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EHCOSPROD-37551 - informes en remote (relacionada con EHCOSPROD-42371: embeber pantallas de ehCOS) (desarrollo)</t>
        </r>
      </text>
    </comment>
    <comment ref="MB21" authorId="0" shapeId="0" xr:uid="{00000000-0006-0000-0100-00005D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EHCOSPROD-42358 - ajustes servidores de video -&gt; realizar moficaciones en configuraciones de base de datos y demo_config.js. Pruebas con i2Cat y openVidu en los entornos de PRO. Coordinar con modificaciones en fichero firebase para no cambir url de acceso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Remote 2.4
- EHCOSPROD-44070 - Servicio para recibir notificaciones de i2cat (falta enlace al análisis técnico)
- EHCOSPROD-44046 - Integracion Wellbeling con pantallas de ehcos remote (análisis técnico)
- EHCOSPROD-42439 - Videoconferencia N:M: Gestión de estados en la videoconferencia + EHCOSPROD-43534 - Envío de estados y participantes videoconferencia (retomar desarrollo de Emilio) </t>
        </r>
        <r>
          <rPr>
            <b/>
            <sz val="8"/>
            <color indexed="81"/>
            <rFont val="Tahoma"/>
            <family val="2"/>
          </rPr>
          <t>inicio 24/02, fin 03/03</t>
        </r>
        <r>
          <rPr>
            <sz val="8"/>
            <color indexed="81"/>
            <rFont val="Tahoma"/>
            <family val="2"/>
          </rPr>
          <t xml:space="preserve">
- EHCOSPROD-43195 - Backend, Crear notificación push para videoconferencia NM e individual (seguimiento desarrollo)
- EHCOSPROD-43020 - Cambios FILTROS pantalla Videoconferencia (seguimiento desarrollo)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- EHCOSPROD-42358 - ajustes servidores de video -&gt; realizar moficaciones en configuraciones de base de datos y demo_config.js. Pruebas con i2Cat y openVidu en los entornos de PRO. Coordinar con modificaciones en fichero firebase para no cambir url de acceso
Remote 2.4
- EHCOSPROD-44070 - Servicio para recibir notificaciones de i2cat (falta enlace al análisis técnico)
- EHCOSPROD-44046 - Integracion Wellbeling con pantallas de ehcos remote (análisis técnico)
- EHCOSPROD-43195 - Backend, Crear notificación push para videoconferencia NM e individual (seguimiento desarrollo)
- EHCOSPROD-38930: daily. Soporte técnico
Backlog:
</t>
        </r>
        <r>
          <rPr>
            <sz val="8"/>
            <color indexed="81"/>
            <rFont val="Tahoma"/>
            <family val="2"/>
          </rPr>
          <t>- instalación de postgres11
- Actualizar entorno PreBrasil 2.3.X
- merges y correctivos remote 2.4: EHCOSPROD-44670 - No se pueden crear citas grupales, EHCOSPROD-44653 - Videoconferencia individual falla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EHCOSPROD-43000 - Videoconferencia N:M: ponencia y taller grupal + EHCOSPROD-43639 - Cambios Servicios videoconferencia (desarrollo) </t>
        </r>
        <r>
          <rPr>
            <b/>
            <sz val="8"/>
            <color indexed="81"/>
            <rFont val="Tahoma"/>
            <family val="2"/>
          </rPr>
          <t>inicio 01/03, fin 10/03</t>
        </r>
        <r>
          <rPr>
            <sz val="8"/>
            <color indexed="81"/>
            <rFont val="Tahoma"/>
            <family val="2"/>
          </rPr>
          <t xml:space="preserve">
- EHCOSPROD-43163 - Incluir Exportación de Datos de personas - backoffice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resolver temas pendientes auditoría (correo RE: Resultados Auditoría Web ehcos)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EHCOSPROD-37551 - informes en remote (relacionada con EHCOSPROD-42371: embeber pantallas de ehCOS) (desarrollo)</t>
        </r>
      </text>
    </comment>
    <comment ref="MC21" authorId="0" shapeId="0" xr:uid="{00000000-0006-0000-0100-00005E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2.3.6
- generar tags, documentación DL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EHCOSPROD-42358 - ajustes servidores de video -&gt; realizar moficaciones en configuraciones de base de datos y demo_config.js en los entornos de PRE y QA. Pruebas con i2Cat y openVidu. Coordinar con modificaciones en fichero firebase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Remote 2.4
- EHCOSPROD-44046 - Integracion Wellbeling con pantallas de ehcos remote (análisis técnico)
- EHCOSPROD-42439 - Videoconferencia N:M: Gestión de estados en la videoconferencia + EHCOSPROD-43534 - Envío de estados y participantes videoconferencia (retomar desarrollo de Emilio) </t>
        </r>
        <r>
          <rPr>
            <b/>
            <sz val="8"/>
            <color indexed="81"/>
            <rFont val="Tahoma"/>
            <family val="2"/>
          </rPr>
          <t>inicio 24/02, fin 03/03</t>
        </r>
        <r>
          <rPr>
            <sz val="8"/>
            <color indexed="81"/>
            <rFont val="Tahoma"/>
            <family val="2"/>
          </rPr>
          <t xml:space="preserve">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Remote 2.3.6
- pruebas pirene, reinicio servidor de video
- generar tags, documentación DL
- EHCOSPROD-42358 - ajustes servidores de video -&gt; realizar moficaciones en configuraciones de base de datos y demo_config.js en los entornos de PRE y QA. Pruebas con i2Cat y openVidu. Coordinar con modificaciones en fichero firebase
Remote 2.4
- EHCOSPROD-44046 - Integracion Wellbeling con pantallas de ehcos remote (análisis técnico)
- EHCOSPROD-38930: daily. Soporte técnico
Backlog:
</t>
        </r>
        <r>
          <rPr>
            <sz val="8"/>
            <color indexed="81"/>
            <rFont val="Tahoma"/>
            <family val="2"/>
          </rPr>
          <t>- instalación de postgres11
- merges y correctivos remote 2.4: EHCOSPROD-44670 - No se pueden crear citas grupales, EHCOSPROD-44653 - Videoconferencia individual falla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EHCOSPROD-43000 - Videoconferencia N:M: ponencia y taller grupal + EHCOSPROD-43639 - Cambios Servicios videoconferencia (desarrollo) </t>
        </r>
        <r>
          <rPr>
            <b/>
            <sz val="8"/>
            <color indexed="81"/>
            <rFont val="Tahoma"/>
            <family val="2"/>
          </rPr>
          <t>inicio 01/03, fin 10/03</t>
        </r>
        <r>
          <rPr>
            <sz val="8"/>
            <color indexed="81"/>
            <rFont val="Tahoma"/>
            <family val="2"/>
          </rPr>
          <t xml:space="preserve">
- EHCOSPROD-43163 - Incluir Exportación de Datos de personas - backoffice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resolver temas pendientes auditoría (correo RE: Resultados Auditoría Web ehcos)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
- EHCOSPROD-37551 - informes en remote (relacionada con EHCOSPROD-42371: embeber pantallas de ehCOS) (desarrollo)</t>
        </r>
      </text>
    </comment>
    <comment ref="MD21" authorId="0" shapeId="0" xr:uid="{00000000-0006-0000-0100-00005F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2.3.6
- documentación DL y revisión de scripts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Remote 2.4
- EHCOSPROD-44046 - Integracion Wellbeling con pantallas de ehcos remote (revisión de dudas, cerrar análisis técnico)
- EHCOSPROD-42439 - Videoconferencia N:M: Gestión de estados en la videoconferencia + EHCOSPROD-43534 - Envío de estados y participantes videoconferencia (retomar desarrollo de Emilio) </t>
        </r>
        <r>
          <rPr>
            <b/>
            <sz val="8"/>
            <color indexed="81"/>
            <rFont val="Tahoma"/>
            <family val="2"/>
          </rPr>
          <t xml:space="preserve">inicio 25/02, fin 09/03
</t>
        </r>
        <r>
          <rPr>
            <sz val="8"/>
            <color indexed="81"/>
            <rFont val="Tahoma"/>
            <family val="2"/>
          </rPr>
          <t xml:space="preserve">- EHCOSPROD-44709 - Videoconferencia N;M. Avatar remote i2cat (desarrollo) </t>
        </r>
        <r>
          <rPr>
            <b/>
            <sz val="8"/>
            <color indexed="81"/>
            <rFont val="Tahoma"/>
            <family val="2"/>
          </rPr>
          <t xml:space="preserve">inicio 10/03, fin 10/03
</t>
        </r>
        <r>
          <rPr>
            <sz val="8"/>
            <color indexed="81"/>
            <rFont val="Tahoma"/>
            <family val="2"/>
          </rPr>
          <t xml:space="preserve">- EHCOSPROD-43000 - Videoconferencia N:M: ponencia y taller grupal + EHCOSPROD-43639 - Cambios Servicios videoconferencia (desarrollo junto con Jordi) </t>
        </r>
        <r>
          <rPr>
            <b/>
            <sz val="8"/>
            <color indexed="81"/>
            <rFont val="Tahoma"/>
            <family val="2"/>
          </rPr>
          <t>inicio 10/03, fin 11/03</t>
        </r>
        <r>
          <rPr>
            <sz val="8"/>
            <color indexed="81"/>
            <rFont val="Tahoma"/>
            <family val="2"/>
          </rPr>
          <t xml:space="preserve">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Remote 2.3.6
- documentación DL, merges trunk y revisión de scripts
Remote 2.4
- EHCOSPROD-42439 - Videoconferencia N:M: Gestión de estados en la videoconferencia + EHCOSPROD-43534 - Envío de estados y participantes videoconferencia (desarrollo) 
- EHCOSPROD-44046 - Integracion Wellbeling con pantallas de ehcos remote (revisión con Osvaldo análisis técnico)
- EHCOSPROD-38930: daily. Soporte técnico
Backlog:
</t>
        </r>
        <r>
          <rPr>
            <sz val="8"/>
            <color indexed="81"/>
            <rFont val="Tahoma"/>
            <family val="2"/>
          </rPr>
          <t>- instalación de postgres11
- merges y correctivos remote 2.4: EHCOSPROD-44670 - No se pueden crear citas grupales, EHCOSPROD-44653 - Videoconferencia individual falla
- EHCOSPROD-43163 - Incluir Exportación de Datos de personas - backoffice (análisis técnico)
- EHCOSPROD-37551 - informes en remote (relacionada con EHCOSPROD-42371: embeber pantallas de ehCOS)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resolver temas pendientes auditoría (correo RE: Resultados Auditoría Web ehcos)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</t>
        </r>
      </text>
    </comment>
    <comment ref="ME21" authorId="0" shapeId="0" xr:uid="{00000000-0006-0000-0100-000060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EHCOSPROD-42439 - Videoconferencia N:M: Gestión de estados en la videoconferencia + EHCOSPROD-43534 - Envío de estados y participantes videoconferencia (retomar desarrollo de Emilio) </t>
        </r>
        <r>
          <rPr>
            <b/>
            <sz val="8"/>
            <color indexed="81"/>
            <rFont val="Tahoma"/>
            <family val="2"/>
          </rPr>
          <t xml:space="preserve">inicio 25/02, fin 09/03
</t>
        </r>
        <r>
          <rPr>
            <sz val="8"/>
            <color indexed="81"/>
            <rFont val="Tahoma"/>
            <family val="2"/>
          </rPr>
          <t xml:space="preserve">- EHCOSPROD-43000 - Videoconferencia N:M: ponencia y taller grupal + EHCOSPROD-43639 - Cambios Servicios videoconferencia (desarrollo junto con Jordi) </t>
        </r>
        <r>
          <rPr>
            <b/>
            <sz val="8"/>
            <color indexed="81"/>
            <rFont val="Tahoma"/>
            <family val="2"/>
          </rPr>
          <t>inicio 10/03, fin 11/03</t>
        </r>
        <r>
          <rPr>
            <sz val="8"/>
            <color indexed="81"/>
            <rFont val="Tahoma"/>
            <family val="2"/>
          </rPr>
          <t xml:space="preserve">
- EHCOSPROD-38930: daily. Soporte técnico
</t>
        </r>
        <r>
          <rPr>
            <b/>
            <sz val="8"/>
            <color indexed="81"/>
            <rFont val="Tahoma"/>
            <family val="2"/>
          </rPr>
          <t xml:space="preserve">
Avance:
- EHCOSPROD-42439 - Videoconferencia N:M: Gestión de estados en la videoconferencia - terminado a falta de pruebas
Backlog:
</t>
        </r>
        <r>
          <rPr>
            <sz val="8"/>
            <color indexed="81"/>
            <rFont val="Tahoma"/>
            <family val="2"/>
          </rPr>
          <t>- instalación de postgres11
- merges y correctivos remote 2.4: EHCOSPROD-44670 - No se pueden crear citas grupales, EHCOSPROD-44653 - Videoconferencia individual falla
- EHCOSPROD-43163 - Incluir Exportación de Datos de personas - backoffice (análisis técnico)
- EHCOSPROD-37551 - informes en remote (relacionada con EHCOSPROD-42371: embeber pantallas de ehCOS)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resolver temas pendientes auditoría (correo RE: Resultados Auditoría Web ehcos)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EHCOSPROD-42558 - Construir marcos - Perfil profesional/paciente, EHCOSPROD-41456 - Construir marco Remote - Backoffice (análisis técnico)</t>
        </r>
      </text>
    </comment>
    <comment ref="MH21" authorId="21" shapeId="0" xr:uid="{00000000-0006-0000-0100-000061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
- EHCOSPROD-42439 - Videoconferencia N:M: Gestión de estados en la videoconferencia + EHCOSPROD-43534 - Envío de estados y participantes videoconferencia (retomar desarrollo de Emilio) inicio 25/02, fin 09/03
- EHCOSPROD-43000 - Videoconferencia N:M: ponencia y taller grupal + EHCOSPROD-43639 - Cambios Servicios videoconferencia (desarrollo junto con Jordi) inicio 10/03, fin 11/03
- EHCOSPROD-38930: daily. Soporte técnico
</t>
        </r>
        <r>
          <rPr>
            <b/>
            <sz val="9"/>
            <color indexed="81"/>
            <rFont val="Tahoma"/>
            <family val="2"/>
          </rPr>
          <t>Avance: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- EHCOSPROD-42439 - Videoconferencia N:M: Gestión de estados en la videoconferencia 
&gt;  Completado desarrollo y Pausada en espera de integracion con desarrollo de filtros
- EHCOSPROD-43000 - Videoconferencia N:M: ponencia y taller grupal 
&gt; Inicio desarrollo</t>
        </r>
        <r>
          <rPr>
            <sz val="9"/>
            <color indexed="81"/>
            <rFont val="Tahoma"/>
            <family val="2"/>
          </rPr>
          <t xml:space="preserve">
Backlog:
- instalación de postgres11
- merges y correctivos remote 2.4: EHCOSPROD-44670 - No se pueden crear citas grupales, EHCOSPROD-44653 - Videoconferencia individual falla
- EHCOSPROD-43163 - Incluir Exportación de Datos de personas - backoffice (análisis técnico)
- EHCOSPROD-37551 - informes en remote (relacionada con EHCOSPROD-42371: embeber pantallas de ehCOS) (desarrollo)
- resolver temas pendientes auditoría (correo RE: Resultados Auditoría Web ehcos)
- EHCOSPROD-42558 - Construir marcos - Perfil profesional/paciente, EHCOSPROD-41456 - Construir marco Remote - Backoffice (análisis técnico)</t>
        </r>
      </text>
    </comment>
    <comment ref="MI21" authorId="21" shapeId="0" xr:uid="{00000000-0006-0000-0100-000062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
- EHCOSPROD-42439 - Videoconferencia N:M: Gestión de estados en la videoconferencia - inicio 25/02, fin 02/03
- EHCOSPROD-43000 - Videoconferencia N:M: ponencia y taller grupal - inicio 02/03, fin 11/03
- EHCOSPROD-38930: daily. Soporte técnico
</t>
        </r>
        <r>
          <rPr>
            <b/>
            <sz val="9"/>
            <color indexed="81"/>
            <rFont val="Tahoma"/>
            <family val="2"/>
          </rPr>
          <t>Avance:</t>
        </r>
        <r>
          <rPr>
            <sz val="9"/>
            <color indexed="81"/>
            <rFont val="Tahoma"/>
            <family val="2"/>
          </rPr>
          <t xml:space="preserve">
- EHCOSPROD-43000 - Videoconferencia N:M: ponencia y taller grupal 
&gt; avanzando en el buscador de pacientes, se pausa para completar la de estados
- EHCOSPROD-42439 - Videoconferencia N:M: Gestión de estados en la videoconferencia
&gt; pruebas despues de merge con el trunk
Backlog:
- instalación de postgres11
- merges y correctivos remote 2.4: EHCOSPROD-44670 - No se pueden crear citas grupales, EHCOSPROD-44653 - Videoconferencia individual falla
- EHCOSPROD-43163 - Incluir Exportación de Datos de personas - backoffice (análisis técnico)
- EHCOSPROD-37551 - informes en remote (relacionada con EHCOSPROD-42371: embeber pantallas de ehCOS) (desarrollo)
- resolver temas pendientes auditoría (correo RE: Resultados Auditoría Web ehcos)
- EHCOSPROD-42558 - Construir marcos - Perfil profesional/paciente, EHCOSPROD-41456 - Construir marco Remote - Backoffice (análisis técnico)</t>
        </r>
      </text>
    </comment>
    <comment ref="MJ21" authorId="21" shapeId="0" xr:uid="{00000000-0006-0000-0100-000063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
- EHCOSPROD-42439 - Videoconferencia N:M: Gestión de estados en la videoconferencia - inicio 25/02, fin 02/03
- EHCOSPROD-43000 - Videoconferencia N:M: ponencia y taller grupal - inicio 02/03, fin 11/03
- EHCOSPROD-38930: daily. Soporte técnico
</t>
        </r>
        <r>
          <rPr>
            <b/>
            <sz val="9"/>
            <color indexed="81"/>
            <rFont val="Tahoma"/>
            <family val="2"/>
          </rPr>
          <t>Avance:</t>
        </r>
        <r>
          <rPr>
            <sz val="9"/>
            <color indexed="81"/>
            <rFont val="Tahoma"/>
            <family val="2"/>
          </rPr>
          <t xml:space="preserve">
Remote 2.4
- EHCOSPROD-42439 - Videoconferencia N:M: Gestión de estados en la videoconferencia - inicio 25/02, fin 02/03
- EHCOSPROD-43000 - Videoconferencia N:M: ponencia y taller grupal - inicio 02/03, fin 11/03
- EHCOSPROD-38930: daily. Soporte técnico
</t>
        </r>
        <r>
          <rPr>
            <b/>
            <sz val="9"/>
            <color indexed="81"/>
            <rFont val="Tahoma"/>
            <family val="2"/>
          </rPr>
          <t>Backlog:</t>
        </r>
        <r>
          <rPr>
            <sz val="9"/>
            <color indexed="81"/>
            <rFont val="Tahoma"/>
            <family val="2"/>
          </rPr>
          <t xml:space="preserve">
- instalación de postgres11
- merges y correctivos remote 2.4: EHCOSPROD-44670 - No se pueden crear citas grupales, EHCOSPROD-44653 - Videoconferencia individual falla
- EHCOSPROD-43163 - Incluir Exportación de Datos de personas - backoffice (análisis técnico)
- EHCOSPROD-37551 - informes en remote (relacionada con EHCOSPROD-42371: embeber pantallas de ehCOS) (desarrollo)
- resolver temas pendientes auditoría (correo RE: Resultados Auditoría Web ehcos)
- EHCOSPROD-42558 - Construir marcos - Perfil profesional/paciente, EHCOSPROD-41456 - Construir marco Remote - Backoffice (análisis técnico)</t>
        </r>
      </text>
    </comment>
    <comment ref="MK21" authorId="21" shapeId="0" xr:uid="{00000000-0006-0000-0100-000064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2.3.7
- subir correctivos enviado y despliegue en PRE Brasil
- preparar tags liberación, DL
Remote 2.4
- EHCOSPROD-43000 - Videoconferencia N:M: ponencia y taller grupal + EHCOSPROD-43639 - Cambios Servicios videoconferencia ; inicio 02/03, fin 12/03
- EHCOSPROD-42439 - Videoconferencia N:M: Gestión de estados en la videoconferencia (estabilización)
- EHCOSPROD-38930: daily. Soporte técnico
</t>
        </r>
        <r>
          <rPr>
            <b/>
            <sz val="9"/>
            <color indexed="81"/>
            <rFont val="Tahoma"/>
            <family val="2"/>
          </rPr>
          <t>Avance: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Remote 2.3.7
- subir correctivos enviado y despliegue en PRE Brasil
&gt; terminado
Remote 2.4
- EHCOSPROD-43000 - Videoconferencia N:M: ponencia y taller grupal + EHCOSPROD-43639 - Cambios Servicios videoconferencia ; inicio 02/03, fin 12/03
&gt; sin avance
&gt; Reuniones de video
&gt; Estabilizacion de videollamada y pruebas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Backlog:</t>
        </r>
        <r>
          <rPr>
            <sz val="9"/>
            <color indexed="81"/>
            <rFont val="Tahoma"/>
            <family val="2"/>
          </rPr>
          <t xml:space="preserve">
- instalación de postgres11
- merges y correctivos remote 2.4: EHCOSPROD-44670 - No se pueden crear citas grupales, EHCOSPROD-44653 - Videoconferencia individual falla
- EHCOSPROD-43163 - Incluir Exportación de Datos de personas - backoffice (análisis técnico)
- EHCOSPROD-37551 - informes en remote (relacionada con EHCOSPROD-42371: embeber pantallas de ehCOS) (desarrollo)
- resolver temas pendientes auditoría (correo RE: Resultados Auditoría Web ehcos)
- EHCOSPROD-42558 - Construir marcos - Perfil profesional/paciente, EHCOSPROD-41456 - Construir marco Remote - Backoffice (análisis técnico)</t>
        </r>
      </text>
    </comment>
    <comment ref="ML21" authorId="21" shapeId="0" xr:uid="{00000000-0006-0000-0100-000065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2.3.7
- merge al trunk
Remote 2.4
- EHCOSPROD-43000 - Videoconferencia N:M: ponencia y taller grupal + EHCOSPROD-43639 - Cambios Servicios videoconferencia ; inicio 02/03, fin 12/03
- EHCOSPROD-42439 - Videoconferencia N:M: Gestión de estados en la videoconferencia (estabilización)
- EHCOSPROD-38930: daily. Soporte técnico
</t>
        </r>
        <r>
          <rPr>
            <b/>
            <sz val="9"/>
            <color indexed="81"/>
            <rFont val="Tahoma"/>
            <family val="2"/>
          </rPr>
          <t>Avance: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- merge from 2.3.7 to trunk
- EHCOSPROD-43000 Videoconferencia N:M: ponencia y taller grupal &gt; Programación de citas
- EHCOSPROD-44046 Integracion Wellbeling con pantallas de ehcos remote &gt; seguimiento
- reuniones - Remote- Seguimiento 2.4 y equipo Remote FY21</t>
        </r>
        <r>
          <rPr>
            <sz val="9"/>
            <color indexed="81"/>
            <rFont val="Tahoma"/>
            <family val="2"/>
          </rPr>
          <t xml:space="preserve">
Backlog:
- instalación de postgres11
- merges y correctivos remote 2.4: EHCOSPROD-44670 - No se pueden crear citas grupales, EHCOSPROD-44653 - Videoconferencia individual falla
- EHCOSPROD-43163 - Incluir Exportación de Datos de personas - backoffice (análisis técnico)
- EHCOSPROD-37551 - informes en remote (relacionada con EHCOSPROD-42371: embeber pantallas de ehCOS) (desarrollo)
- resolver temas pendientes auditoría (correo RE: Resultados Auditoría Web ehcos)
- EHCOSPROD-42558 - Construir marcos - Perfil profesional/paciente, EHCOSPROD-41456 - Construir marco Remote - Backoffice (análisis técnico)</t>
        </r>
      </text>
    </comment>
    <comment ref="MO21" authorId="21" shapeId="0" xr:uid="{00000000-0006-0000-0100-000066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- TICKET PRO IM Y WE 2.3.6, 2.3.7
- Revisar - Presentación Risk Assessment
- Integracion de CRM &gt; Pendiente Luis
- Scripts rollback 2.4
Remote 2.4:
- [EHCOSPROD-43000] Videoconferencia N:M: ponencia y taller grupal  inicio 02/03, fin 12/03
- [EHCOSPROD-42439] Videoconferencia N:M: Gestión de estados en la videoconferencia &gt; estabilización
- [EHCOSPROD-38930] daily. Soporte técnico
Estabilización:
- [EHCOSPROD-45076] Error al unirse a videoconferencia grupal
- [EHCOSPROD-44670] No se pueden crear citas grupales
- [EHCOSPROD-44653] Videoconferencia individual falla
- [EHCOSPROD-45090] Integración de Remote con Suite CRM: desarrollos Remote
- [EHCOSPROD-45083] Timeout al cerrar sesión en otra entidad
Backlog:
- instalación de postgres11
- [EHCOSPROD-43163] Incluir Exportación de Datos de personas - backoffice (análisis técnico)
- [EHCOSPROD-37551] informes en remote (relacionada con [EHCOSPROD-42371]: embeber pantallas de ehCOS) (desarrollo)
- resolver temas pendientes auditoría (correo RE: Resultados Auditoría Web ehcos)
- [EHCOSPROD-42558] Construir marcos - Perfil profesional/paciente, [EHCOSPROD-41456] Construir marco Remote - Backoffice (análisis técnico)
- [EHCOSPROD-38930]: daily. Soporte técnico
</t>
        </r>
        <r>
          <rPr>
            <b/>
            <sz val="9"/>
            <color indexed="81"/>
            <rFont val="Tahoma"/>
            <family val="2"/>
          </rPr>
          <t>Avance: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- TICKET PRO IM Y WE 2.3.6, 2.3.7
- Scripts rollback 2.4
- [EHCOSPROD-45076] Error al unirse a videoconferencia grupal
- Revisar - Presentación Risk Assessment
- Integracion de CRM &gt; Pendiente Luis
- Videoconferencia N:M: ponencia y taller grupal &gt; Sin avance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P21" authorId="21" shapeId="0" xr:uid="{00000000-0006-0000-0100-000067020000}">
      <text>
        <r>
          <rPr>
            <sz val="11"/>
            <color rgb="FF000000"/>
            <rFont val="Calibri"/>
            <family val="2"/>
          </rPr>
          <t>Tareas planificadas:
- Despliegue de IM y WE
- Reunión de Wellbeing 
Remote 2.4:
- [EHCOSPROD-43000] Videoconferencia N:M: ponencia y taller grupal  inicio 02/03, fin 12/03
- [EHCOSPROD-42439] Videoconferencia N:M: Gestión de estados en la videoconferencia &gt; estabilización
- [EHCOSPROD-38930] daily. Soporte técnico
Estabilización:
Backlog:
- [EHCOSPROD-45090] Integración de Remote con Suite CRM: desarrollos Remote
- [EHCOSPROD-45083] Timeout al cerrar sesión en otra entidad
- [EHCOSPROD-44653] Videoconferencia individual falla
- instalación de postgres11
- [EHCOSPROD-43163] Incluir Exportación de Datos de personas - backoffice (análisis técnico)
- [EHCOSPROD-37551] informes en remote (relacionada con [EHCOSPROD-42371]: embeber pantallas de ehCOS) (desarrollo)
- resolver temas pendientes auditoría (correo RE: Resultados Auditoría Web ehcos)
- [EHCOSPROD-42558] Construir marcos - Perfil profesional/paciente, [EHCOSPROD-41456] Construir marco Remote - Backoffice (análisis técnico)
- [EHCOSPROD-38930]: daily. Soporte técnico
Avance:
- reuniones - Reunión seguimiento ehCOS-BCN - Integración wellbeing
- Despliegue de IM y WE
- [EHCOSPROD-43000] Videoconferencia N:M: ponencia y taller grupal inicio 02/03, fin 12/03 
&gt; programacion de citas y videos</t>
        </r>
      </text>
    </comment>
    <comment ref="MQ21" authorId="22" shapeId="0" xr:uid="{00000000-0006-0000-0100-000068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MARCOS
Tareas planificadas:
Remote 2.4:
- [EHCOSPROD-43000] Videoconferencia N:M: ponencia y taller grupal inicio 02/03, fin 12/03
- [EHCOSPROD-42439] Videoconferencia N:M: Gestión de estados en la videoconferencia &gt; estabilización
- [EHCOSPROD-38930] daily. Soporte técnico
Estabilización:
- [EHCOSPROD-45151] Estado de las sesiones &gt; ¿Duda revisar con grecia?
Backlog:
- [EHCOSPROD-45090]	Integración de Remote con Suite CRM: desarrollos Remote
- [EHCOSPROD-45083]	Timeout al cerrar sesión en otra entidad
- [EHCOSPROD-44653] Videoconferencia individual falla
- instalación de postgres11
- [EHCOSPROD-43163] Incluir Exportación de Datos de personas - backoffice (análisis técnico)
- [EHCOSPROD-37551] informes en remote (relacionada con [EHCOSPROD-42371]: embeber pantallas de ehCOS) (desarrollo)
- resolver temas pendientes auditoría (correo RE: Resultados Auditoría Web ehcos)
- [EHCOSPROD-42558] Construir marcos - Perfil profesional/paciente, [EHCOSPROD-41456] Construir marco Remote - Backoffice (análisis técnico)
- [EHCOSPROD-38930]: daily. Soporte técnico
Avance:
- [EHCOSPROD-43000] Videoconferencia N:M: ponencia y taller grupal &gt; asignar pacientes y moderadores
- reuniones - Marcado CE - Privacy Assessment - i2cat
- Problema activacion de remote app en colombia, mexico y chile</t>
      </text>
    </comment>
    <comment ref="MR21" authorId="23" shapeId="0" xr:uid="{00000000-0006-0000-0100-000069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MARCOS
Tareas planificadas:
- Remote - Planificación DT marzo
- Crear tareas de i2cat para websocket de cerrar video en web y app
- Nueva tarea de Montar una BD con dump de PRE 2.3 para validar todos los scripts y rollback de la version 2.4 (comentar ricardo y sandra)
Remote 2.4:
- [EHCOSPROD-43000] Videoconferencia N:M: ponencia y taller grupal inicio 02/03, fin 12/03
- [EHCOSPROD-42439] Videoconferencia N:M: Gestión de estados en la videoconferencia &gt; estabilización
- [EHCOSPROD-38930] daily. Soporte técnico
Estabilización:
- [EHCOSPROD-45150] Videoconferencias grupales creadas desde app 
- [EHCOSPROD-45239] Videoconferencia grupal i2cat- Usuarios
- [EHCOSPROD-45240] URL sesión i2cat
Backlog:
- [EHCOSPROD-45090]	Integración de Remote con Suite CRM: desarrollos Remote
- [EHCOSPROD-45083]	Timeout al cerrar sesión en otra entidad
- [EHCOSPROD-44653] Videoconferencia individual falla
- instalación de postgres11
- Versión 2.4.1: fecha liberación el 5 de abril - estimaciones
- Versión 2.5: fecha liberación el 3 de mayo
- Integración con informes - logica
Reply:
    Avance:
- Videoconferencia N:M: ponencia y taller grupal
- reuniones - Remote - Seguimiento 2.4 y próximas prioridades - Presentacion por producto
- Documento liberacion 2.3.8</t>
      </text>
    </comment>
    <comment ref="MS21" authorId="24" shapeId="0" xr:uid="{00000000-0006-0000-0100-00006A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MARCOS
Tareas planificadas:
Remote 2.4:
- [EHCOSPROD-43000] Videoconferencia N:M: ponencia y taller grupal inicio 02/03, fin 12/03
- [EHCOSPROD-43639] Cambios Servicios videoconferencia inicio 02/03, fin 12/03
- Crear tareas de i2cat para websocket de cerrar video en web y app
Estabilización:
- [EHCOSPROD-45238] Error videoconferencia paciente tutorizado 
- [EHCOSPROD-45150] Videoconferencias grupales creadas desde app 
- [EHCOSPROD-45239] Videoconferencia grupal i2cat- Usuarios
- [EHCOSPROD-44653] Videoconferencia individual falla
Backlog:
- [EHCOSPROD-45090]	Integración de Remote con Suite CRM: desarrollos Remote
- [EHCOSPROD-45083]	Timeout al cerrar sesión en otra entidad
- instalación de postgres11
- Versión 2.4.1: fecha liberación el 5 de abril - estimaciones
- Versión 2.5: fecha liberación el 3 de mayo
- Integración con informes - logica
Reply:
    Avance:
- [EHCOSPROD-43000] Videoconferencia N:M: ponencia y taller grupal
&gt; terminada
- [EHCOSPROD-45129] Videoconferencia N:M i2cat api 
&gt; terminada
- [EHCOSPROD-43639] Cambios Servicios videoconferencia inicio 02/03, fin 12/03
&gt; terminada</t>
      </text>
    </comment>
    <comment ref="MV21" authorId="25" shapeId="0" xr:uid="{00000000-0006-0000-0100-00006B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MARCOS
Tareas planificadas:
Remote 2.4:
- DT tareas de i2cat para websocket de cerrar video en web y app
Estabilización:
- [EHCOSPROD-45239] Videoconferencia grupal i2cat- Usuarios
- [EHCOSPROD-44653] Videoconferencia individual falla
Backlog:
- [EHCOSPROD-45083]	Timeout al cerrar sesión en otra entidad
- instalación de postgres11
- Versión 2.4.1: fecha liberación el 5 de abril - estimaciones
- Versión 2.5: fecha liberación el 3 de mayo
- Integración con informes - logica
Reply:
    Avance:
- [EHCOSPROD-43000] Videoconferencia N:M: ponencia y taller grupal
&gt; pruebas y merge
- [EHCOSPROD-45394] Problema de CORS con i2cat
&gt; problema cors con i2cat
- [EHCOSPROD-44653] Videoconferencia individual falla
&gt; incluido firebase background notification</t>
      </text>
    </comment>
    <comment ref="MW21" authorId="26" shapeId="0" xr:uid="{00000000-0006-0000-0100-00006C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MARCOS
Estimar:
- [EHCOSPROD-45357] Crear acción websocket para cierre de webview 
- [EHCOSPROD-45356] Backend. Recibir evento de salid de último moderador o cierre de sesión 
- [EHCOSPROD-43163] Exportación datos de personas - DT - fin 18/03/21
Tareas planificadas:
- [EHCOSPROD-43000] Videoconferencia N:M: ponencia y taller grupal 
&gt; Pendiente Rollback, DL
Pendiente v2.4:
- [EHCOSPROD-45239] Videoconferencia grupal i2cat- Usuarios
- [EHCOSPROD-43534] Envío de estados y participantes videoconferencia 
Backlog:
- instalación de postgres11
- Versión 2.4.1: fecha liberación el 5 de abril - estimaciones
- Versión 2.5: fecha liberación el 3 de mayo
- Integración con informes - logica
Reply:
    Avance:
-----------------------------------
- [EHCOSPROD-45356] Backend. Recibir evento de salid de último moderador o cierre de sesión 
&gt; realizado DT
- [EHCOSPROD-43534] Envío de estados y participantes videoconferencia 
&gt; terminado</t>
      </text>
    </comment>
    <comment ref="MX21" authorId="27" shapeId="0" xr:uid="{00000000-0006-0000-0100-00006D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MARCOS
Devueltas:
- [EHCOSPROD-45425] Programación de citas - ponencia y taller grupal 
- [EHCOSPROD-45426] Video grupal instantánea - sesión y taller grupal 
- [EHCOSPROD-43639] Cambios Servicios videoconferencia 
- [EHCOSPROD-45238] Error videoconferencia paciente tutorizado 
Tareas planificadas:
- [EHCOSPROD-43163] Exportación datos de personas - DT - fin 18/03/21
- Remote - Indicadores de uso
- [EHCOSPROD-43000] Videoconferencia N:M: ponencia y taller grupal 
&gt; Pendiente Rollback, DL
Backlog:
- instalación de postgres11
- Versión 2.4: fecha liberación el 22 de marzo - estimaciones
- Versión 2.4.1: fecha liberación el 5 de abril - estimaciones
- Versión 2.5: fecha liberación el 3 de mayo - estimaciones
- Integración con informes - logica
Reply:
    Avance:
-----------------------------------
- [EHCOSPROD-45425] Programación de citas - ponencia y taller grupal 
&gt; terminada
- [EHCOSPROD-45426] Video grupal instantánea - sesión y taller grupal 
&gt; Revisar en reunión, preparado DT y explicado a osvaldo
- [EHCOSPROD-43639] Cambios Servicios videoconferencia 
&gt; terminada</t>
      </text>
    </comment>
    <comment ref="MY21" authorId="28" shapeId="0" xr:uid="{00000000-0006-0000-0100-00006E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MARCOS
Devueltas:
- [EHCOSPROD-45238] Error videoconferencia paciente tutorizado &gt; en progreso
- [EHCOSPROD-45506] Chat Videoconferencia. Se cae la página
- [EHCOSPROD-45508] Videoconferencia. Falla de websocket &gt; dudas en jira
- [EHCOSPROD-45510] Errores al Reinvitar usuarios &gt; dudas en jira
- [EHCOSPROD-44070] Servicio para recibir notificaciones de i2cat 
- [EHCOSPROD-44486] Notificaciones de inicio video 
Tareas planificadas:
- [EHCOSPROD-43163] Exportación datos de personas - DT - fin 18/03/21
- Remote - Indicadores de uso
- [EHCOSPROD-43000] Videoconferencia N:M: ponencia y taller grupal 
&gt; Pendiente Rollback, DL
Backlog:
- [EHCOSPROD-45441] [merge from 2.3.8 to trunk] Frase del dia (fase 2)
- instalación de postgres11
- Versión 2.4: fecha liberación el 22 de marzo - estimaciones
- Versión 2.4.1: fecha liberación el 5 de abril - estimaciones
- Versión 2.5: fecha liberación el 3 de mayo - estimaciones
- Integración con informes - logica
Reply:
    Anterior:
-----------------------------------
- [EHCOSPROD-45238] Error videoconferencia paciente tutorizado &gt; terminado problema con LDAPUser sustituido por RPE
- [EHCOSPROD-45510] Errores al Reinvitar usuarios &gt; dudas en jira, corregido si el origen era la app falla la generacion del link
- [EHCOSPROD-45229] Integracion Wellbeling - Pruebas formato antiguo de vital data &gt; Recuperar servicios antiguos de datos vitales para mantener compatibilidad</t>
      </text>
    </comment>
    <comment ref="MZ21" authorId="29" shapeId="0" xr:uid="{00000000-0006-0000-0100-00006F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MARCOS
Tareas planificadas:
- [EHCOSPROD-45442] [merge from 2.3.8 to trunk] Error servicio modificar usuario CSI
Devueltas:
- [EHCOSPROD-40755] Problemas con las sesiones abiertas/cerradas en videoconferencia 
- [EHCOSPROD-45510] Errores al Reinvitar usuarios 
- [EHCOSPROD-44070] Servicio para recibir notificaciones de i2cat 
- [EHCOSPROD-43534] Envío de estados y participantes videoconferencia 
- [EHCOSPROD-45508] Videoconferencia. Falla de websocket 
- [EHCOSPROD-44486] Notificaciones de inicio video 
- [EHCOSPROD-45506] Chat Videoconferencia. Se cae la página 
- [EHCOSPROD-45566] Segmentaciones ya no se envían a crm 
Bloqueadas:
- [EHCOSPROD-43000] Videoconferencia N:M: ponencia y taller grupal 
Backlog:
- [EHCOSPROD-43163] Exportación datos de personas - DT - fin 18/03/21
- Remote - Indicadores de uso
- [EHCOSPROD-43000] Videoconferencia N:M: ponencia y taller grupal 
&gt; Pendiente Rollback, DL
- [EHCOSPROD-45210] Errores creación cuestionarios &gt; PAUSADA Se pierden notificaciones.
- instalación de postgres11
- Versión 2.4: fecha liberación el 22 de marzo - estimaciones
- Versión 2.4.1: fecha liberación el 5 de abril - estimaciones
- Versión 2.5: fecha liberación el 3 de mayo - estimaciones
- Integración con informes - logica
Reply:
    Avance:
-----------------------------------
- [EHCOSPROD-45442] [merge from 2.3.8 to trunk] Error servicio modificar usuario CSI
&gt; realizado, se hizo revert del desarrollo de frases que se subira al trunk
- [EHCOSPROD-40755] Problemas con las sesiones abiertas/cerradas en videoconferencia 
&gt; corregido, se borran TODOS los tokens de app de firebase al realizar logout.
- [EHCOSPROD-45510] Errores al Reinvitar usuarios 
&gt; corregido, error en idioma no enviaba correos
- [EHCOSPROD-44070] Servicio para recibir notificaciones de i2cat 
&gt; pausada, se puede validar parcialmente falta evento i2cat
- [EHCOSPROD-43534] Envío de estados y participantes videoconferencia 
&gt; rechazada, se puede validar parcialmente falta evento i2cat
- [EHCOSPROD-45508] Videoconferencia. Falla de websocket 
&gt; corregido, se habia roto el websocket solucionando otra incidencia
- [EHCOSPROD-44486] Notificaciones de inicio video 
&gt; corregido
- [EHCOSPROD-45506] Chat Videoconferencia. Se cae la página 
&gt; corregido</t>
      </text>
    </comment>
    <comment ref="NC21" authorId="30" shapeId="0" xr:uid="{00000000-0006-0000-0100-000070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MARCOS
Tareas planificadas:
- [EHCOSPROD-43163] Exportación datos de personas - DT
- [EHCOSPROD-45084] Filtro de videoconferencias paciente - DT 
- Nuevo compañero Javier Andrés Paredes Martínez 
Devueltas:
- [EHCOSPROD-45566] Segmentaciones ya no se envían a crm 
Bloqueadas:
- [EHCOSPROD-43000] Videoconferencia N:M: ponencia y taller grupal 
- [EHCOSPROD-44070] Servicio para recibir notificaciones de i2cat 
Backlog:
- Remote - Indicadores de uso
- [EHCOSPROD-43000] Videoconferencia N:M: ponencia y taller grupal 
&gt; Pendiente Rollback, DL
- [EHCOSPROD-45210] Errores creación cuestionarios &gt; PAUSADA Se pierden notificaciones.
- instalación de postgres11
- Versión 2.4: fecha liberación el 22 de marzo - estimaciones
- Versión 2.4.1: fecha liberación el 5 de abril - estimaciones
- Versión 2.5: fecha liberación el 3 de mayo - estimaciones
- Integración con informes - logica
Reply:
    Avance:
-----------------------------------
- [EHCOSPROD-43163] Exportación datos de personas - DT
&gt; realizado
- [EHCOSPROD-45626] Videoconferencia indvidual web-app no funciona 
&gt; corregido y devuelta
- [EHCOSPROD-45566] Segmentaciones ya no se envían a crm 
&gt; corregido</t>
      </text>
    </comment>
    <comment ref="ND21" authorId="31" shapeId="0" xr:uid="{00000000-0006-0000-0100-000071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MARCOS
Tareas planificadas:
- [EHCOSPROD-45626] Videoconferencia indvidual web-app no funciona &gt; Revisar con grecia y solicitar apk
- [EHCOSPROD-45210] Errores creación cuestionarios &gt; PAUSADA Se pierden notificaciones.
- [EHCOSPROD-43000] Videoconferencia N:M: ponencia y taller grupal 
&gt; Pendiente Rollback, DL
Siguiente:
- [EHCOSPROD-45084] Filtro de videoconferencias paciente - DT 
- [EHCOSPROD-45643] Tipo de target list &gt; revisar por ana
- Matomo Google analitics &gt; Preguntar a Javier
Bloqueadas:
- [EHCOSPROD-43000] Videoconferencia N:M: ponencia y taller grupal 
- [EHCOSPROD-44070] Servicio para recibir notificaciones de i2cat 
Backlog:
- Nuevo compañero Javier Andrés Paredes Martínez 
- instalación de postgres11
- v2.4: fecha liberación el 23 de marzo - estimaciones
- v2.4.1: fecha liberación el 5 de abril - estimaciones
- v2.5: fecha liberación el 3 de mayo - estimaciones
- Integración con informes - logica
Reply:
    Avance:
-----------------------------------
- [EHCOSPROD-45084] Filtro de videoconferencias paciente - DT 
&gt; estimado
- [EHCOSPROD-43000] Videoconferencia N:M: ponencia y taller grupal 
&gt; rollbacks
- Revisar formación y configuracion de entorno de remote para nuevo compañero
- [EHCOSPROD-45626] Videoconferencia indvidual web-app no funciona &gt; Revisar con grecia y solicitar apk
&gt; revisado, fallo en android pero no en ios, por los permisos nuevos en android
</t>
      </text>
    </comment>
    <comment ref="NE21" authorId="32" shapeId="0" xr:uid="{00000000-0006-0000-0100-000072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MARCOS
Tareas planificadas:
- [EHCOSPROD-45626] Videoconferencia individual web-app no funciona &gt; Pruebas de grecia
- [EHCOSPROD-45686] Configuración Segmentación y PC en entorno demos
Siguiente:
- [EHCOSPROD-45210] Errores creación cuestionarios &gt; PAUSADA Se pierden notificaciones.
- [EHCOSPROD-45643] Tipo de target list &gt; revisar por ana
- Matomo Google analitics &gt; Preguntar a Javier
Bloqueadas:
- [EHCOSPROD-43000] Videoconferencia N:M: ponencia y taller grupal 
- [EHCOSPROD-44070] Servicio para recibir notificaciones de i2cat 
Backlog:
- instalación de postgres11
- Integración con informes - logica</t>
      </text>
    </comment>
    <comment ref="NF21" authorId="33" shapeId="0" xr:uid="{00000000-0006-0000-0100-000073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MARCOS
Tareas planificadas:
- [EHCOSPROD-45686] Configuración Segmentación y PC en entorno demos
- Pruebas web to android con QA y PRE
- Pruebas pirene web to android con QA y PRE
Siguiente:
- Matomo Google analitics &gt; Preguntar a Javier
Bloqueadas:
- [EHCOSPROD-43000] Videoconferencia N:M: ponencia y taller grupal 
- [EHCOSPROD-44070] Servicio para recibir notificaciones de i2cat 
Backlog:
- instalación de postgres11
- v2.4.1 - [EHCOSPROD-45210] Errores creación cuestionarios &gt; Pospuesta se pierden notificaciones al crear secciones nuevas
- Integración con informes - logica
Reply:
    - [EHCOSPROD-45686] Configuración Segmentación y PC en entorno demosarg
&gt; realizado
- Pruebas de google meet
- Pruebas web to android con QA y PRE
&gt; fix call google meet 1:1 y n:n
&gt; fix show join for patient
&gt; fix connectAsCaller in 1:1
&gt; fix in progress notification from app to web</t>
      </text>
    </comment>
    <comment ref="NG21" authorId="34" shapeId="0" xr:uid="{00000000-0006-0000-0100-000074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Marcos lo toma como festivo en lugar del 05/03, que era festivo y trabajó
Reply:
    ## MARCOS
Tareas planificadas:
- DL para liberacion de 2.4
- Pruebas i2cat (web-app, app-web, 1:1, session, ponencia)
- Pruebas openvidu
- Pruebas googleMeet
Siguiente:
- Matomo Google analitics &gt; Preguntar a Javier
Bloqueadas:
- [EHCOSPROD-43000] Videoconferencia N:M: ponencia y taller grupal 
- [EHCOSPROD-44070] Servicio para recibir notificaciones de i2cat 
Backlog:
- instalación de postgres11
- v2.4.1 - [EHCOSPROD-45210] Errores creación cuestionarios &gt; Pospuesta se pierden notificaciones al crear secciones nuevas
- Integración con informes - logica
Reply:
    Avance:
-----------------------------------
- DL para liberacion de 2.4
&gt; realizado
- Pruebas con apk producto i2cat, openvidu, googleMeet (web-app, 1:1, session, ponencia) 
&gt; i2cat: corregido error web-app
&gt; openvidu: OK
&gt; googleMeet: OK n:m, se necesita dar permisos de nueva ventana
&gt; googleMeet: Error 1:1, corregido</t>
      </text>
    </comment>
    <comment ref="NJ21" authorId="35" shapeId="0" xr:uid="{00000000-0006-0000-0100-000075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MARCOS
Tareas planificadas:
- Revisar subida 2.4 de i2cat en PRO IM y WE
- Remote - Estimación alto nivel proceso carga datos perfil 360
- v2.4.1: EHCOSPROD-45162 Back. Chat 1:1 app &gt; DT
- v2.5: EHCOSPROD-37551 Integración con EHR: elaboración de notas de evolución &gt; DT
Siguiente:
- Matomo Google analitics &gt; Preguntar a Javier
Backlog:
- instalación de postgres11
- v2.4.1: [EHCOSPROD-45210] Errores creación cuestionarios &gt; Pospuesta se pierden notificaciones al crear secciones nuevas
- Integración con informes - logica
Reply:
    Avance:
-----------------------------------
- [EHCOSPROD-45606] GDPR - Cambiar Google Analytics por Matomo
&gt; Preguntado a Javier, solicitar a ARQ
- Formación técnica de Argentina 
&gt; enviado correo, solicitado a Ezequiel Andrés Crotti  
- Revisar subida 2.4 de i2cat en PRO IM / WE / BCN 
&gt; enviado correo
- Revisar subida 2.4 de CRM en PRO IM y WE
&gt; enviado correo
- Remote - Estimación alto nivel proceso carga datos perfil 360
&gt; realizada
&gt; actualizar tag 2.4 con labels catalan y privilegio nm disable
&gt; conseguido permiso en firebase por roque</t>
      </text>
    </comment>
    <comment ref="NK21" authorId="36" shapeId="0" xr:uid="{00000000-0006-0000-0100-000076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MARCOS
Tareas planificadas:
&gt; pendiente con Ana de activar PRE BCN con video-n2n-we-pre.ehcos.com y avisar a ingrid
- Despliegue v2.4 - IM Brasil
- Despliegue v2.4 - West Europe
- v2.4.1: [EHCOSPROD-42838] Remote debe ser responsive en navegador mobile &gt; DT
- Integración con informes - logica
- v2.5: EHCOSPROD-37551 Integración con EHR: elaboración de notas de evolución &gt; DT
Backlog:
- v2.4.1: [EHCOSPROD-45210] Errores creación cuestionarios &gt; Pospuesta se pierden notificaciones al crear secciones nuevas
- Formacion tecnica de Argentina &gt; solicitado a Ezequiel Andrés Crotti  
- Indicadores de uso de Remote BCN &gt; revisar correo de Cecilia
- instalación de postgres11
Reply:
    Avance:
-----------------------------------
- Despliegue v2.4 - IM Brasil
&gt; realizado
- Despliegue v2.4 - West Europe
&gt; realizado
- v2.4.1: [EHCOSPROD-42838] Remote debe ser responsive en navegador mobile &gt; DT
&gt; terminado
</t>
      </text>
    </comment>
    <comment ref="NL21" authorId="37" shapeId="0" xr:uid="{00000000-0006-0000-0100-000077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MARCOS
Tareas planificadas:
- Seguimiento: DAILY, JIRA, DT
- Revisar labels en catalan v2.4
- [ehCOS Remote] Req Singapur - estimar
- Estimar 2.4
Siguientes:
- Integración con informes - logica
- v2.5: EHCOSPROD-37551 Integración con EHR: elaboración de notas de evolución &gt; DT
Backlog:
- v2.4.1: [EHCOSPROD-45210] Errores creación cuestionarios &gt; Pospuesta se pierden notificaciones al crear secciones nuevas
- Formacion tecnica de Argentina &gt; solicitado a Ezequiel Andrés Crotti  
- Indicadores de uso de Remote BCN &gt; revisar correo de Cecilia
- instalación de postgres11
Reply:
    Avance:
-----------------------------------
- Seguimiento: DAILY, JIRA, DT
&gt; realizado
- Revisar labels en catalan v2.4
&gt; realizado
- Estimar 2.4.1 
&gt; realizado</t>
      </text>
    </comment>
    <comment ref="KD22" authorId="38" shapeId="0" xr:uid="{00000000-0006-0000-0100-000078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Evolutivos 2.4
EHCOSPROD-42131 (50H)</t>
      </text>
    </comment>
    <comment ref="KE22" authorId="39" shapeId="0" xr:uid="{00000000-0006-0000-0100-000079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Evolutivos 2.4
EHCOSPROD-42131 (50H)
Soporte osvaldo</t>
      </text>
    </comment>
    <comment ref="KK22" authorId="0" shapeId="0" xr:uid="{00000000-0006-0000-0100-00007A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EHCOSPROD-38932: daily.
Remote 2.3.1
- correctivos y merges: EHCOSPROD-43460
Remote 2.4
- EHCOSPROD-42131 - Actividad prevista y timeline Perfil 360 - Recuperar de las tablas de Remote (desarrollo. Subir excel a la carpeta 2.4 y registrar avance, incluir enlace en JIRA)</t>
        </r>
        <r>
          <rPr>
            <b/>
            <sz val="8"/>
            <color indexed="81"/>
            <rFont val="Tahoma"/>
            <family val="2"/>
          </rPr>
          <t xml:space="preserve">
Avance:
- </t>
        </r>
        <r>
          <rPr>
            <sz val="8"/>
            <color indexed="81"/>
            <rFont val="Tahoma"/>
            <family val="2"/>
          </rPr>
          <t>EHCOSPROD-38932: daily.
- EHCOSPROD-43387 - RHS Wellbeing | Dudas sobre APIs WS - Datos vitales (actualizar documento API Rest)
Remote 2.3.1
- correctivos y merges: EHCOSPROD-43460
- Despliegues QA 2.3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L22" authorId="0" shapeId="0" xr:uid="{00000000-0006-0000-0100-00007B020000}">
      <text>
        <r>
          <rPr>
            <b/>
            <sz val="8"/>
            <color indexed="81"/>
            <rFont val="Tahoma"/>
            <family val="2"/>
          </rPr>
          <t>Tareas planificadas:
-</t>
        </r>
        <r>
          <rPr>
            <sz val="8"/>
            <color indexed="81"/>
            <rFont val="Tahoma"/>
            <family val="2"/>
          </rPr>
          <t>EHCOSPROD-38932: daily.
- EHCOSPROD-43387 - RHS Wellbeing | Dudas sobre APIs WS - Datos vitales (actualizar documento API Rest)
Remote 2.3.1
- correctivos y merges: EHCOSPROD-43460
- Despliegues QA 2.3
Remote 2.4
-EHCOSPROD-43033 - Videoconferencia N:M: notificación inicio video (preparación entorno, desarrollo)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-EHCOSPROD-38932: daily.
Remote 2.3.1
- correctivos y merges
- Despliegues QA 2.3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(desarrollo. Subir excel a la carpeta 2.4 y registrar avance, incluir enlace en JIRA)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M22" authorId="0" shapeId="0" xr:uid="{00000000-0006-0000-0100-00007C020000}">
      <text>
        <r>
          <rPr>
            <b/>
            <sz val="8"/>
            <color indexed="81"/>
            <rFont val="Tahoma"/>
            <family val="2"/>
          </rPr>
          <t>Tareas planificadas:
-</t>
        </r>
        <r>
          <rPr>
            <sz val="8"/>
            <color indexed="81"/>
            <rFont val="Tahoma"/>
            <family val="2"/>
          </rPr>
          <t>EHCOSPROD-38932: daily.
- EHCOSPROD-43387 - RHS Wellbeing | Dudas sobre APIs WS - Datos vitales (actualizar documento API Rest)
Remote 2.3.1
- correctivos y merges
- Despliegues QA 2.3
Remote 2.4
-EHCOSPROD-43033 - Videoconferencia N:M: notificación inicio video (preparación entorno, desarrollo) inicio 13/01/2021, fin 21/01/2021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-EHCOSPROD-38932: daily.
- EHCOSPROD-43387 - RHS Wellbeing | Dudas sobre APIs WS - Datos vitales (actualizar documento API Rest)
Remote 2.3.1
- correctivos
- Despliegues QA 2.3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N22" authorId="0" shapeId="0" xr:uid="{00000000-0006-0000-0100-00007D020000}">
      <text>
        <r>
          <rPr>
            <b/>
            <sz val="8"/>
            <color indexed="81"/>
            <rFont val="Tahoma"/>
            <family val="2"/>
          </rPr>
          <t>Tareas planificadas:
-</t>
        </r>
        <r>
          <rPr>
            <sz val="8"/>
            <color indexed="81"/>
            <rFont val="Tahoma"/>
            <family val="2"/>
          </rPr>
          <t>EHCOSPROD-38932: daily.
- EHCOSPROD-43387 - RHS Wellbeing | Dudas sobre APIs WS - Datos vitales (actualizar documento API Rest)
Remote 2.3.2
- EHCOSPROD-42234 - Cuestionarios con Sliders en versiones antiguas de la APP
- Despliegues QA rama 2.3
Remote 2.4
- merges
-EHCOSPROD-43033 - Videoconferencia N:M: notificación inicio video (preparación entorno, desarrollo) inicio 15/01/2021, fin 25/01/2021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-EHCOSPROD-38932: daily.
- EHCOSPROD-43387 - RHS Wellbeing | Dudas sobre APIs WS - Datos vitales (actualizar documento API Rest)
Remote 2.3.2
- EHCOSPROD-42234 - Cuestionarios con Sliders en versiones antiguas de la APP
- Despliegues QA rama 2.3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O22" authorId="0" shapeId="0" xr:uid="{00000000-0006-0000-0100-00007E020000}">
      <text>
        <r>
          <rPr>
            <b/>
            <sz val="8"/>
            <color indexed="81"/>
            <rFont val="Tahoma"/>
            <family val="2"/>
          </rPr>
          <t>Tareas planificadas:
-</t>
        </r>
        <r>
          <rPr>
            <sz val="8"/>
            <color indexed="81"/>
            <rFont val="Tahoma"/>
            <family val="2"/>
          </rPr>
          <t>EHCOSPROD-38932: daily.
Remote 2.3.2
- Despliegues QA rama 2.3
- correctivos: 
    EHCOSPROD-42234 - Cuestionarios con Sliders en versiones antiguas de la APP
    EHCOSPROD-43610 - cambio mensajes notificaciones push
    EHCOSPROD-43611 - Idioma de las push
Remote 2.4
-EHCOSPROD-43033 - Videoconferencia N:M: notificación inicio video (preparación entorno, desarrollo) inicio 15/01/2021, fin 25/01/2021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-EHCOSPROD-38932: daily.
Remote 2.3.2
- Despliegues QA rama 2.3
- correctivos: 
    EHCOSPROD-42234 - Cuestionarios con Sliders en versiones antiguas de la APP
    EHCOSPROD-43611 - Idioma de las push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R22" authorId="0" shapeId="0" xr:uid="{00000000-0006-0000-0100-00007F020000}">
      <text>
        <r>
          <rPr>
            <b/>
            <sz val="8"/>
            <color indexed="81"/>
            <rFont val="Tahoma"/>
            <family val="2"/>
          </rPr>
          <t>Tareas planificadas:
-</t>
        </r>
        <r>
          <rPr>
            <sz val="8"/>
            <color indexed="81"/>
            <rFont val="Tahoma"/>
            <family val="2"/>
          </rPr>
          <t>EHCOSPROD-38932: daily.
Remote 2.3.2
- Despliegues QA rama 2.3
- correctivos: 
    EHCOSPROD-43610 - cambio mensajes notificaciones push
    EHCOSPROD-43611 - Idioma de las push
Remote 2.4
-EHCOSPROD-43033 - Videoconferencia N:M: notificación inicio video (preparación entorno, desarrollo) inicio 19/01/2021, fin 28/01/2021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-EHCOSPROD-38932: daily.
Remote 2.3.2
- Despliegues QA rama 2.3
- correctivos: 
Remote 2.4
-EHCOSPROD-43033 - Videoconferencia N:M: notificación inicio video (desarrollo)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S22" authorId="0" shapeId="0" xr:uid="{00000000-0006-0000-0100-000080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-EHCOSPROD-43033 - Videoconferencia N:M: notificación inicio video (desarrollo) inicio 19/01/2021, fin 28/01/2021
-EHCOSPROD-38932: daily.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-EHCOSPROD-43033 - Videoconferencia N:M: notificación inicio video (desarrollo) inicio 19/01/2021, fin 28/01/2021
-EHCOSPROD-38932: daily.
- despliegues QA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T22" authorId="0" shapeId="0" xr:uid="{00000000-0006-0000-0100-000081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-EHCOSPROD-43033 - Videoconferencia N:M: notificación inicio video (desarrollo) inicio 19/01/2021, fin 28/01/2021
-EHCOSPROD-38932: daily.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-EHCOSPROD-43033 - Videoconferencia N:M: notificación inicio video (desarrollo)
-EHCOSPROD-38932: daily.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U22" authorId="0" shapeId="0" xr:uid="{00000000-0006-0000-0100-000082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-EHCOSPROD-43033 - Videoconferencia N:M: notificación inicio video (desarrollo) inicio 19/01/2021, fin 28/01/2021
-EHCOSPROD-38932: daily.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Y22" authorId="0" shapeId="0" xr:uid="{00000000-0006-0000-0100-000083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-EHCOSPROD-43033 - Videoconferencia N:M: notificación inicio video (desarrollo) inicio 19/01/2021, fin 28/01/2021
-EHCOSPROD-38932: daily.</t>
        </r>
        <r>
          <rPr>
            <b/>
            <sz val="8"/>
            <color indexed="81"/>
            <rFont val="Tahoma"/>
            <family val="2"/>
          </rPr>
          <t xml:space="preserve">
Avance:
-EHCOSPROD-43033 - Videoconferencia N:M: notificación inicio video (desarrollo)
-EHCOSPROD-38932: daily.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Z22" authorId="0" shapeId="0" xr:uid="{00000000-0006-0000-0100-000084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-EHCOSPROD-43033 - Videoconferencia N:M: notificación inicio video (desarrollo) inicio 19/01/2021, fin 28/01/2021
-EHCOSPROD-38932: daily.</t>
        </r>
        <r>
          <rPr>
            <b/>
            <sz val="8"/>
            <color indexed="81"/>
            <rFont val="Tahoma"/>
            <family val="2"/>
          </rPr>
          <t xml:space="preserve">
Avance:
-EHCOSPROD-43033 - Videoconferencia N:M: notificación inicio video (desarrollo)
-EHCOSPROD-38932: daily.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A22" authorId="0" shapeId="0" xr:uid="{00000000-0006-0000-0100-000085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-EHCOSPROD-43033 - Videoconferencia N:M: notificación inicio video (desarrollo) inicio 19/01/2021, fin 28/01/2021
-EHCOSPROD-38932: daily.</t>
        </r>
        <r>
          <rPr>
            <b/>
            <sz val="8"/>
            <color indexed="81"/>
            <rFont val="Tahoma"/>
            <family val="2"/>
          </rPr>
          <t xml:space="preserve">
Avance:
-EHCOSPROD-43033 - Videoconferencia N:M: notificación inicio video (desarrollo)
-EHCOSPROD-38932: daily.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B22" authorId="0" shapeId="0" xr:uid="{00000000-0006-0000-0100-000086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-EHCOSPROD-43033 - Videoconferencia N:M: notificación inicio video (desarrollo) inicio 19/01/2021, fin 28/01/2021
-EHCOSPROD-38932: daily.</t>
        </r>
        <r>
          <rPr>
            <b/>
            <sz val="8"/>
            <color indexed="81"/>
            <rFont val="Tahoma"/>
            <family val="2"/>
          </rPr>
          <t xml:space="preserve">
Avance:
-EHCOSPROD-43033 - Videoconferencia N:M: notificación inicio video (desarrollo)
-EHCOSPROD-38932: daily.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C22" authorId="0" shapeId="0" xr:uid="{00000000-0006-0000-0100-000087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-EHCOSPROD-43033 - Videoconferencia N:M: notificación inicio video (pruebas en QA, subir documentación a oneDrive y completar DL genérico)
- Despliegue trunk en QA
- EHCOSPROD-44047 - POC videoconferencia websocket (desarrollo)
-EHCOSPROD-38932: daily.</t>
        </r>
        <r>
          <rPr>
            <b/>
            <sz val="8"/>
            <color indexed="81"/>
            <rFont val="Tahoma"/>
            <family val="2"/>
          </rPr>
          <t xml:space="preserve">
Avance:
-EHCOSPROD-43033 - Videoconferencia N:M: notificación inicio video (registro de horas,revisión scripts)
- Despliegue trunk en QA
- EHCOSPROD-44047 - POC videoconferencia websocket (desarrollo)
-EHCOSPROD-38932: daily.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F22" authorId="0" shapeId="0" xr:uid="{00000000-0006-0000-0100-000088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Despliegue 2.3 en PRE-BRASIL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-EHCOSPROD-43033 - Videoconferencia N:M: notificación inicio video (pruebas en QA)
- EHCOSPROD-44047 - POC videoconferencia websocket (desarrollo, ,rergistrar horas del viernes) fin 03/02
-EHCOSPROD-38932: daily.</t>
        </r>
        <r>
          <rPr>
            <b/>
            <sz val="8"/>
            <color indexed="81"/>
            <rFont val="Tahoma"/>
            <family val="2"/>
          </rPr>
          <t xml:space="preserve">
Avance:
-EHCOSPROD-43033 - Videoconferencia N:M: notificación inicio video (pruebas en QA)
- EHCOSPROD-44047 - POC videoconferencia websocket (desarrollo, ,rergistrar horas del viernes)
-EHCOSPROD-38932: daily.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G22" authorId="0" shapeId="0" xr:uid="{00000000-0006-0000-0100-000089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Despliegue 2.3 en PRE-BRASIL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EHCOSPROD-44047 - POC videoconferencia websocket (desarrollo, ,rergistrar horas del viernes) fin 03/02
-EHCOSPROD-38932: daily.</t>
        </r>
        <r>
          <rPr>
            <b/>
            <sz val="8"/>
            <color indexed="81"/>
            <rFont val="Tahoma"/>
            <family val="2"/>
          </rPr>
          <t xml:space="preserve">
Avance:
- EHCOSPROD-44047 - POC videoconferencia websocket (desarrollo)
-EHCOSPROD-38932: daily.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H22" authorId="0" shapeId="0" xr:uid="{00000000-0006-0000-0100-00008A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EHCOSPROD-44047 - POC videoconferencia websocket (desarrollo, pruebas y documentación) fin 03/02
- EHCOSPROD-38932: daily.</t>
        </r>
        <r>
          <rPr>
            <b/>
            <sz val="8"/>
            <color indexed="81"/>
            <rFont val="Tahoma"/>
            <family val="2"/>
          </rPr>
          <t xml:space="preserve">
Avance:
- EHCOSPROD-44047 - POC videoconferencia websocket (pruebas y documentación)
- EHCOSPROD-38932: daily.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I22" authorId="0" shapeId="0" xr:uid="{00000000-0006-0000-0100-00008B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EHCOSPROD-44047 - POC videoconferencia websocket (desarrollo, pruebas y documentación) fin 03/02
- EHCOSPROD-43693 - Incluir título de cuestionario en servicio notificaciones (desarrollo)
- EHCOSPROD-38932: daily.</t>
        </r>
        <r>
          <rPr>
            <b/>
            <sz val="8"/>
            <color indexed="81"/>
            <rFont val="Tahoma"/>
            <family val="2"/>
          </rPr>
          <t xml:space="preserve">
Avance:
- EHCOSPROD-44047 - POC videoconferencia websocket (desarrollo, pruebas y documentación)
- EHCOSPROD-43693 - Incluir título de cuestionario en servicio notificaciones (desarrollo)
- EHCOSPROD-38932: daily.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J22" authorId="0" shapeId="0" xr:uid="{00000000-0006-0000-0100-00008C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EHCOSPROD-44047 - POC videoconferencia websocket (documentación)
- EHCOSPROD-43693 - Incluir título de cuestionario en servicio notificaciones (desarrollo)
- EHCOSPROD-38932: daily.</t>
        </r>
        <r>
          <rPr>
            <b/>
            <sz val="8"/>
            <color indexed="81"/>
            <rFont val="Tahoma"/>
            <family val="2"/>
          </rPr>
          <t xml:space="preserve">
Avance:
Remote 2.4
- EHCOSPROD-44047 - POC videoconferencia websocket (documentación)
- EHCOSPROD-43693 - Incluir título de cuestionario en servicio notificaciones (desarrollo, pruebas)
- EHCOSPROD-44240 - Mejorar semaforo de websocket para evitar duplicados (desarrollo)
- EHCOSPROD-38932: daily.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M22" authorId="0" shapeId="0" xr:uid="{00000000-0006-0000-0100-00008D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EHCOSPROD-44047 - POC videoconferencia websocket (documentación)
- EHCOSPROD-44240 - Mejorar semaforo de websocket para evitar duplicados
- EHCOSPROD-38932: daily.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N22" authorId="0" shapeId="0" xr:uid="{00000000-0006-0000-0100-00008E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EHCOSPROD-43033 - Videoconferencia N:M: notificación inicio video (estabilización): EHCOSPROD-44303
- EHCOSPROD-43846 - Videoconferencia N:M: visualización invitados en la video. Parte 2 (desarrollo)
- EHCOSPROD-38932: daily.</t>
        </r>
        <r>
          <rPr>
            <b/>
            <sz val="8"/>
            <color indexed="81"/>
            <rFont val="Tahoma"/>
            <family val="2"/>
          </rPr>
          <t xml:space="preserve">
Avance:
Remote 2.4
- EHCOSPROD-43033 - Videoconferencia N:M: notificación inicio video (estabilización): EHCOSPROD-44303
- EHCOSPROD-43846 - Videoconferencia N:M: visualización invitados en la video. Parte 2 (desarrollo)
- EHCOSPROD-38932: daily, soporte equipo Apps conexión websocket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O22" authorId="0" shapeId="0" xr:uid="{00000000-0006-0000-0100-00008F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Despliegue trunk en QA tras modificar websocket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Remote 2.4
- EHCOSPROD-43846 - Videoconferencia N:M: visualización invitados en la video. Parte 2 (desarrollo) fin 11/02
- preparación sesiones por producto
- EHCOSPROD-38932: daily, sesiones por producto</t>
        </r>
        <r>
          <rPr>
            <b/>
            <sz val="8"/>
            <color indexed="81"/>
            <rFont val="Tahoma"/>
            <family val="2"/>
          </rPr>
          <t xml:space="preserve">
Avance:
- Despliegue trunk en QA tras modificar websocket
- preparación sesiones por producto
- EHCOSPROD-38932: daily, sesiones por producto, soporte Osvaldo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P22" authorId="0" shapeId="0" xr:uid="{00000000-0006-0000-0100-000090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EHCOSPROD-43846 - Videoconferencia N:M: visualización invitados en la video. Parte 2 (desarrollo) fin 11/02
- EHCOSPROD-38932: daily</t>
        </r>
        <r>
          <rPr>
            <b/>
            <sz val="8"/>
            <color indexed="81"/>
            <rFont val="Tahoma"/>
            <family val="2"/>
          </rPr>
          <t xml:space="preserve">
Avance:
Remote 2.4
- EHCOSPROD-43846 - Videoconferencia N:M: visualización invitados en la video. Parte 2 (desarrollo)
- EHCOSPROD-38932: daily, soporte a Osvaldo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Q22" authorId="0" shapeId="0" xr:uid="{00000000-0006-0000-0100-000091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EHCOSPROD-43846 - Videoconferencia N:M: visualización invitados en la video. Parte 2 (desarrollo) fin 12/02
- EHCOSPROD-44266 - Incluir el userId en servicio de websocket
- EHCOSPROD-43591 - Agregar parámetro loginTut en servicio loginEntity
- EHCOSPROD-38932: daily</t>
        </r>
        <r>
          <rPr>
            <b/>
            <sz val="8"/>
            <color indexed="81"/>
            <rFont val="Tahoma"/>
            <family val="2"/>
          </rPr>
          <t xml:space="preserve">
Avance:
Remote 2.4
- EHCOSPROD-43846 - Videoconferencia N:M: visualización invitados en la video. Parte 2 (desarrollo) fin 12/02
- EHCOSPROD-38932: daily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T22" authorId="0" shapeId="0" xr:uid="{00000000-0006-0000-0100-000092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EHCOSPROD-43846 - Videoconferencia N:M: visualización invitados en la video. Parte 2 (desarrollo, revisión con Aida y Nerea) fin 15/02
- EHCOSPROD-44266 - Incluir el userId en servicio de websocket
- EHCOSPROD-43591 - Agregar parámetro loginTut en servicio loginEntity
- EHCOSPROD-38932: daily</t>
        </r>
        <r>
          <rPr>
            <b/>
            <sz val="8"/>
            <color indexed="81"/>
            <rFont val="Tahoma"/>
            <family val="2"/>
          </rPr>
          <t xml:space="preserve">
Avance:
Remote 2.4
- EHCOSPROD-43846 - Videoconferencia N:M: visualización invitados en la video. Parte 2 (desarrollo, revisión con Aida y Nerea)
- EHCOSPROD-44266 - Incluir el userId en servicio de websocket
- EHCOSPROD-38932: daily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U22" authorId="0" shapeId="0" xr:uid="{00000000-0006-0000-0100-000093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EHCOSPROD-43846 - Videoconferencia N:M: visualización invitados en la video. Parte 2 (cerrar desarrollo) fin 16/02
- EHCOSPROD-44266 - Incluir el userId en servicio de websocket (cerrar traducciones y realizar commit) fin 16/02
- EHCOSPROD-43591 - Agregar parámetro loginTut en servicio loginEntity (desarrollo) fin 16/02
- EHCOSPROD-43195 - Backend, Crear notificación push para videoconferencia NM e individual (desarrollo) inicio 17/02, fin 18/02
- EHCOSPROD-38932: daily</t>
        </r>
        <r>
          <rPr>
            <b/>
            <sz val="8"/>
            <color indexed="81"/>
            <rFont val="Tahoma"/>
            <family val="2"/>
          </rPr>
          <t xml:space="preserve">
Avance:
Remote 2.4
- EHCOSPROD-43846 - Videoconferencia N:M: visualización invitados en la video. Parte 2 (cerrar desarrollo)
- EHCOSPROD-44266 - Incluir el userId en servicio de websocket (cerrar traducciones y realizar commit) 
- EHCOSPROD-43591 - Agregar parámetro loginTut en servicio loginEntity (desarrollo)
- EHCOSPROD-43195 - Backend, Crear notificación push para videoconferencia NM e individual (desarrollo)
- EHCOSPROD-38932: daily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V22" authorId="0" shapeId="0" xr:uid="{00000000-0006-0000-0100-000094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EHCOSPROD-43846 - Videoconferencia N:M: visualización invitados en la video. Parte 2 (cerrar desarrollo)
- EHCOSPROD-43195 - Backend, Crear notificación push para videoconferencia NM e individual (desarrollo) inicio 17/02, fin 18/02
- EHCOSPROD-43004 - Videoconferencia N:M: reinvitar, EHCOSPROD-43079 - Videoconferencia N:M: reinvitar participantes expulsados (desarrollo) fin 19/02
- EHCOSPROD-44048 - Servicio para mostrar el listado de usuarios por estado (análisis técnico)
- correctivos: EHCOSPROD-44240 - Mejorar semaforo de websocket para evitar duplicados ; EHCOSPROD-44486 - Notificaciones de inicio video
- EHCOSPROD-38932: daily</t>
        </r>
        <r>
          <rPr>
            <b/>
            <sz val="8"/>
            <color indexed="81"/>
            <rFont val="Tahoma"/>
            <family val="2"/>
          </rPr>
          <t xml:space="preserve">
Avance:
Remote 2.4
- EHCOSPROD-43195 - Backend, Crear notificación push para videoconferencia NM e individual (desarrollo)
- EHCOSPROD-38932: daily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W22" authorId="0" shapeId="0" xr:uid="{00000000-0006-0000-0100-000095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instalación de postgres11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Remote 2.4
- EHCOSPROD-43195 - Backend, Crear notificación push para videoconferencia NM e individual (desarrollo) inicio 17/02, fin 23/02
- correctivos: EHCOSPROD-44240 - Mejorar semaforo de websocket para evitar duplicados ; EHCOSPROD-44486 - Notificaciones de inicio video
- EHCOSPROD-44048 - Servicio para mostrar el listado de usuarios por estado (análisis técnico)
- EHCOSPROD-43004 - Videoconferencia N:M: reinvitar, EHCOSPROD-43079 - Videoconferencia N:M: reinvitar participantes expulsados (desarrollo) fin 19/02
- EHCOSPROD-38932: daily</t>
        </r>
        <r>
          <rPr>
            <b/>
            <sz val="8"/>
            <color indexed="81"/>
            <rFont val="Tahoma"/>
            <family val="2"/>
          </rPr>
          <t xml:space="preserve">
Avance:
Remote 2.4
- EHCOSPROD-43195 - Backend, Crear notificación push para videoconferencia NM e individual (desarrollo) inicio 17/02, fin 23/02
- EHCOSPROD-38932: daily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X22" authorId="0" shapeId="0" xr:uid="{00000000-0006-0000-0100-000096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instalación de postgres11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Remote 2.4
- EHCOSPROD-43195 - Backend, Crear notificación push para videoconferencia NM e individual (desarrollo, registrar horas en el listado de tareas) inicio 17/02, fin 22/02
- EHCOSPROD-44048 - Servicio para mostrar el listado de usuarios por estado (análisis técnico)
- EHCOSPROD-43004 - Videoconferencia N:M: reinvitar, EHCOSPROD-43079 - Videoconferencia N:M: reinvitar participantes expulsados (desarrollo) inicio 23/02, fin 24/02
- correctivos: EHCOSPROD-44240 - Mejorar semaforo de websocket para evitar duplicados ; EHCOSPROD-44486 - Notificaciones de inicio video
- EHCOSPROD-38932: daily</t>
        </r>
        <r>
          <rPr>
            <b/>
            <sz val="8"/>
            <color indexed="81"/>
            <rFont val="Tahoma"/>
            <family val="2"/>
          </rPr>
          <t xml:space="preserve">
Avance:
Remote 2.4
- EHCOSPROD-43195 - Backend, Crear notificación push para videoconferencia NM e individual (desarrollo, registrar horas en el listado de tareas) inicio 17/02, fin 22/02
- EHCOSPROD-38932: daily
Backlog: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A22" authorId="0" shapeId="0" xr:uid="{00000000-0006-0000-0100-000097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EHCOSPROD-43195 - Backend, Crear notificación push para videoconferencia NM e individual (desarrollo, registrar horas en el listado de tareas) inicio 17/02, fin 22/02
- EHCOSPROD-44048 - Servicio para mostrar el listado de usuarios por estado (análisis técnico)
- correctivos: EHCOSPROD-44240 - Mejorar semaforo de websocket para evitar duplicados ; EHCOSPROD-44486 - Notificaciones de inicio video; EHCOSPROD-44047 - POC videoconferencia websocket
- EHCOSPROD-38932: daily</t>
        </r>
        <r>
          <rPr>
            <b/>
            <sz val="8"/>
            <color indexed="81"/>
            <rFont val="Tahoma"/>
            <family val="2"/>
          </rPr>
          <t xml:space="preserve">
Avance:
Remote 2.4
- EHCOSPROD-43195 - Backend, Crear notificación push para videoconferencia NM e individual (desarrollo, registrar horas en el listado de tareas)
- EHCOSPROD-38932: daily
Backlog:
</t>
        </r>
        <r>
          <rPr>
            <sz val="8"/>
            <color indexed="81"/>
            <rFont val="Tahoma"/>
            <family val="2"/>
          </rPr>
          <t>- instalación de postgres11
- EHCOSPROD-43004 - Videoconferencia N:M: reinvitar, EHCOSPROD-43079 - Videoconferencia N:M: reinvitar participantes expulsados (desarrollo) inicio 23/02, fin 24/02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B22" authorId="0" shapeId="0" xr:uid="{00000000-0006-0000-0100-000098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EHCOSPROD-43195 - Backend, Crear notificación push para videoconferencia NM e individual (desarrollo, registrar horas en el listado de tareas) inicio 17/02, fin 22/02
- EHCOSPROD-44048 - Servicio para mostrar el listado de usuarios por estado (análisis técnico)
- correctivos: EHCOSPROD-44240 - Mejorar semaforo de websocket para evitar duplicados ; EHCOSPROD-44486 - Notificaciones de inicio video; EHCOSPROD-44047 - POC videoconferencia websocket
- EHCOSPROD-38932: daily</t>
        </r>
        <r>
          <rPr>
            <b/>
            <sz val="8"/>
            <color indexed="81"/>
            <rFont val="Tahoma"/>
            <family val="2"/>
          </rPr>
          <t xml:space="preserve">
Avance:
Remote 2.4
- EHCOSPROD-43195 - Backend, Crear notificación push para videoconferencia NM e individual (desarrollo, registrar horas en el listado de tareas) inicio 17/02, fin 22/02
- EHCOSPROD-44048 - Servicio para mostrar el listado de usuarios por estado (análisis técnico)
- EHCOSPROD-38932: daily
Backlog:
</t>
        </r>
        <r>
          <rPr>
            <sz val="8"/>
            <color indexed="81"/>
            <rFont val="Tahoma"/>
            <family val="2"/>
          </rPr>
          <t>- instalación de postgres11
- EHCOSPROD-43004 - Videoconferencia N:M: reinvitar, EHCOSPROD-43079 - Videoconferencia N:M: reinvitar participantes expulsados (desarrollo) inicio 23/02, fin 24/02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C22" authorId="0" shapeId="0" xr:uid="{00000000-0006-0000-0100-000099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EHCOSPROD-43195 - Backend, Crear notificación push para videoconferencia NM e individual (desarrollo, registrar horas en el listado de tareas) inicio 17/02, fin 22/02
- EHCOSPROD-44048 - Servicio para mostrar el listado de usuarios por estado (análisis técnico)
- correctivos: EHCOSPROD-44240 - Mejorar semaforo de websocket para evitar duplicados ; EHCOSPROD-44486 - Notificaciones de inicio video; EHCOSPROD-44047 - POC videoconferencia websocket
- EHCOSPROD-38932: daily</t>
        </r>
        <r>
          <rPr>
            <b/>
            <sz val="8"/>
            <color indexed="81"/>
            <rFont val="Tahoma"/>
            <family val="2"/>
          </rPr>
          <t xml:space="preserve">
Avance:
Remote 2.4
- EHCOSPROD-43195 - Backend, Crear notificación push para videoconferencia NM e individual (desarrollo, registrar horas en el listado de tareas, merge trunk) inicio 17/02, fin 22/02
- EHCOSPROD-44048 - Servicio para mostrar el listado de usuarios por estado (análisis técnico)
- correctivos: EHCOSPROD-44240 - Mejorar semaforo de websocket para evitar duplicados ; EHCOSPROD-44486 - Notificaciones de inicio video; 
- EHCOSPROD-38932: daily
Backlog:
</t>
        </r>
        <r>
          <rPr>
            <sz val="8"/>
            <color indexed="81"/>
            <rFont val="Tahoma"/>
            <family val="2"/>
          </rPr>
          <t>- instalación de postgres11
- EHCOSPROD-43004 - Videoconferencia N:M: reinvitar, EHCOSPROD-43079 - Videoconferencia N:M: reinvitar participantes expulsados (desarrollo) inicio 23/02, fin 24/02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D22" authorId="0" shapeId="0" xr:uid="{00000000-0006-0000-0100-00009A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correctivos: EHCOSPROD-44486 - Notificaciones de inicio video; EHCOSPROD-44047 - POC videoconferencia websocket  fin 25/02
- EHCOSPROD-43004 - Videoconferencia N:M: reinvitar, EHCOSPROD-43079 - Videoconferencia N:M: reinvitar participantes expulsados (desarrollo) inicio 25/02, fin 26/02
- EHCOSPROD-44048 - Servicio para mostrar el listado de usuarios por estado (desarrollo) inicio 01/03, fin 01/03
- EHCOSPROD-43000 - Videoconferencia N:M: ponencia y taller grupal + EHCOSPROD-43639 - Cambios Servicios videoconferencia (desarrollo) inicio 02/03, fin 11/03
- EHCOSPROD-38932: daily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instalación de postgres11
- EHCOSPROD-43195 - Backend, Crear notificación push para videoconferencia NM e individual (desarrollo, registrar horas en el listado de tareas) inicio 17/02, fin 22/02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E22" authorId="0" shapeId="0" xr:uid="{00000000-0006-0000-0100-00009B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correctivos: EHCOSPROD-44486 - Notificaciones de inicio video; EHCOSPROD-44047 - POC videoconferencia websocket  fin 25/02
- EHCOSPROD-43004 - Videoconferencia N:M: reinvitar, EHCOSPROD-43079 - Videoconferencia N:M: reinvitar participantes expulsados (desarrollo) inicio 25/02, fin 26/02
- EHCOSPROD-44048 - Servicio para mostrar el listado de usuarios por entidad (desarrollo) inicio 01/03, fin 01/03
- EHCOSPROD-44709 - Videoconferencia N;M. Avatar remote i2cat (desarrollo) inicio 02/03, fin 02/03
- EHCOSPROD-43000 - Videoconferencia N:M: ponencia y taller grupal + EHCOSPROD-43639 - Cambios Servicios videoconferencia (soporte desarrollo) inicio 03/03, fin 11/03
- estabilización
- EHCOSPROD-38932: daily</t>
        </r>
        <r>
          <rPr>
            <b/>
            <sz val="8"/>
            <color indexed="81"/>
            <rFont val="Tahoma"/>
            <family val="2"/>
          </rPr>
          <t xml:space="preserve">
Avance:
- EHCOSPROD-43004 - Videoconferencia N:M: reinvitar, EHCOSPROD-43079 - Videoconferencia N:M: reinvitar - terminado y desplegado en trunk
Backlog:
</t>
        </r>
        <r>
          <rPr>
            <sz val="8"/>
            <color indexed="81"/>
            <rFont val="Tahoma"/>
            <family val="2"/>
          </rPr>
          <t>- instalación de postgres11
- EHCOSPROD-43195 - Backend, Crear notificación push para videoconferencia NM e individual (desarrollo, registrar horas en el listado de tareas) inicio 17/02, fin 22/02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EHCOSPROD-42131 - Actividad prevista y timeline Perfil 360 - Recuperar de las tablas de Remote (desarrollo)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MH22" authorId="21" shapeId="0" xr:uid="{00000000-0006-0000-0100-00009C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
- EHCOSPROD-44048 - Servicio para mostrar el listado de usuarios por entidad (desarrollo) inicio 01/03, fin 01/03
- EHCOSPROD-44709 - Videoconferencia N;M. Avatar remote i2cat (desarrollo) inicio 02/03, fin 02/03
- EHCOSPROD-43000 - Videoconferencia N:M: ponencia y taller grupal + EHCOSPROD-43639 - Cambios Servicios videoconferencia (soporte desarrollo) inicio 03/03, fin 11/03
- estabilización
- EHCOSPROD-38932: daily
</t>
        </r>
        <r>
          <rPr>
            <b/>
            <sz val="9"/>
            <color indexed="81"/>
            <rFont val="Tahoma"/>
            <family val="2"/>
          </rPr>
          <t>Avance: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- EHCOSPROD-44048 - Servicio para mostrar el listado de usuarios por entidad 
&gt; completado desarrollo, pendiente de ajustes despues de revisar con grecia
- estabilización del websocket para evitar duplicados
&gt; revisar incidencia</t>
        </r>
        <r>
          <rPr>
            <sz val="9"/>
            <color indexed="81"/>
            <rFont val="Tahoma"/>
            <family val="2"/>
          </rPr>
          <t xml:space="preserve">
Backlog:
- instalación de postgres11
- EHCOSPROD-43195 - Backend, Crear notificación push para videoconferencia NM e individual (desarrollo, registrar horas en el listado de tareas) inicio 17/02, fin 22/02
- EHCOSPROD-42131 - Actividad prevista y timeline Perfil 360 - Recuperar de las tablas de Remote (desarrollo)
</t>
        </r>
      </text>
    </comment>
    <comment ref="MI22" authorId="21" shapeId="0" xr:uid="{00000000-0006-0000-0100-00009D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Tareas planificadas:
Remote 2.4
- EHCOSPROD-44048 - Servicio para mostrar el listado de usuarios por entidad (desarrollo) inicio 01/03, fin 01/03
- EHCOSPROD-43534 - Envío de estados y participantes videoconferencia inicio 02/03, fin 02/03
- EHCOSPROD-44070 - Servicio para recibir notificaciones de i2cat (desarrollo) inicio 03/03, fin 04/03 
- EHCOSPROD-44709 - Videoconferencia N;M. Avatar remote i2cat (desarrollo) inicio 04/03, fin 04/03 
- EHCOSPROD-43639 - Cambios Servicios videoconferencia (soporte desarrollo) inicio 05/03, fin 05/03
- estabilización
- EHCOSPROD-38932: daily
</t>
        </r>
        <r>
          <rPr>
            <b/>
            <sz val="9"/>
            <color indexed="81"/>
            <rFont val="Tahoma"/>
            <family val="2"/>
          </rPr>
          <t>Avance:</t>
        </r>
        <r>
          <rPr>
            <sz val="9"/>
            <color indexed="81"/>
            <rFont val="Tahoma"/>
            <family val="2"/>
          </rPr>
          <t xml:space="preserve">
- EHCOSPROD-44048 - Servicio para mostrar el listado de usuarios por entidad (desarrollo) inicio 01/03, fin 01/03 
&gt; terminada y desplegada
- estabilización - revision de duplicados en websocket
&gt; revisar y realizar despliegue de qa 
- EHCOSPROD-43534 - Envío de estados y participantes videoconferencia inicio 02/03, fin 02/03
&gt; pausada en espera de merge de tarea relacionada
Backlog:
- instalación de postgres11
- EHCOSPROD-43195 - Backend, Crear notificación push para videoconferencia NM e individual (desarrollo, registrar horas en el listado de tareas) inicio 17/02, fin 22/02
- EHCOSPROD-42131 - Actividad prevista y timeline Perfil 360 - Recuperar de las tablas de Remote (desarrollo)
</t>
        </r>
      </text>
    </comment>
    <comment ref="MJ22" authorId="21" shapeId="0" xr:uid="{00000000-0006-0000-0100-00009E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
- EHCOSPROD-44070 - Servicio para recibir notificaciones de i2cat (desarrollo) inicio 03/03, fin 04/03 
- EHCOSPROD-43534 - Envío de estados y participantes videoconferencia inicio 02/03, fin 02/03 (Pausada en espera de merge)
- EHCOSPROD-44709 - Videoconferencia N;M. Avatar remote i2cat (desarrollo) inicio 04/03, fin 04/03 
- EHCOSPROD-43639 - Cambios Servicios videoconferencia (soporte desarrollo) inicio 05/03, fin 05/03
- estabilización
- EHCOSPROD-38932: daily
</t>
        </r>
        <r>
          <rPr>
            <b/>
            <sz val="9"/>
            <color indexed="81"/>
            <rFont val="Tahoma"/>
            <family val="2"/>
          </rPr>
          <t xml:space="preserve">
Avance:</t>
        </r>
        <r>
          <rPr>
            <sz val="9"/>
            <color indexed="81"/>
            <rFont val="Tahoma"/>
            <family val="2"/>
          </rPr>
          <t xml:space="preserve">
Remote 2.4
- EHCOSPROD-44070 - Servicio para recibir notificaciones de i2cat (desarrollo) inicio 03/03, fin 04/03 
- EHCOSPROD-38932: daily
</t>
        </r>
        <r>
          <rPr>
            <b/>
            <sz val="9"/>
            <color indexed="81"/>
            <rFont val="Tahoma"/>
            <family val="2"/>
          </rPr>
          <t>Backlog:</t>
        </r>
        <r>
          <rPr>
            <sz val="9"/>
            <color indexed="81"/>
            <rFont val="Tahoma"/>
            <family val="2"/>
          </rPr>
          <t xml:space="preserve">
- instalación de postgres11
- EHCOSPROD-43195 - Backend, Crear notificación push para videoconferencia NM e individual (desarrollo, registrar horas en el listado de tareas) inicio 17/02, fin 22/02
- EHCOSPROD-42131 - Actividad prevista y timeline Perfil 360 - Recuperar de las tablas de Remote (desarrollo)
</t>
        </r>
      </text>
    </comment>
    <comment ref="MK22" authorId="21" shapeId="0" xr:uid="{00000000-0006-0000-0100-00009F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
- EHCOSPROD-44048 - Servicio para mostrar el listado de usuarios por entidad (desarrollo ajuste solicitado para indicar primero los usuarios conectados) fin 04/03
- EHCOSPROD-43534 - Envío de estados y participantes videoconferencia ; inicio 04/03, fin 05/03
- EHCOSPROD-44709 - Videoconferencia N;M. Avatar remote i2cat (desarrollo) inicio 05/03, fin 05/03
- estabilización: EHCOSPROD-44486, EHCOSPROD-44945, EHCOSPROD-44240
- EHCOSPROD-43000 - Videoconferencia N:M: ponencia y taller grupal + EHCOSPROD-43639 - Cambios Servicios videoconferencia (desarrollo junto a Marcos) ; inicio 08/03, fin 12/03
- EHCOSPROD-38932: daily
</t>
        </r>
        <r>
          <rPr>
            <b/>
            <sz val="9"/>
            <color indexed="81"/>
            <rFont val="Tahoma"/>
            <family val="2"/>
          </rPr>
          <t xml:space="preserve">
Avance: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- EHCOSPROD-44048 - Servicio para mostrar el listado de usuarios por entidad (desarrollo ajuste solicitado para indicar primero los usuarios conectados) fin 04/03
&gt; terminada 
- EHCOSPROD-43534 - Envío de estados y participantes videoconferencia ; inicio 04/03, fin 05/03
&gt; Avance termina hoy
- EHCOSPROD-38932: daily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Backlog:</t>
        </r>
        <r>
          <rPr>
            <sz val="9"/>
            <color indexed="81"/>
            <rFont val="Tahoma"/>
            <family val="2"/>
          </rPr>
          <t xml:space="preserve">
- instalación de postgres11
- EHCOSPROD-43195 - Backend, Crear notificación push para videoconferencia NM e individual (desarrollo, registrar horas en el listado de tareas) inicio 17/02, fin 22/02
- EHCOSPROD-42131 - Actividad prevista y timeline Perfil 360 - Recuperar de las tablas de Remote (desarrollo)
</t>
        </r>
      </text>
    </comment>
    <comment ref="ML22" authorId="21" shapeId="0" xr:uid="{00000000-0006-0000-0100-0000A0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
- EHCOSPROD-43534 - Envío de estados y participantes videoconferencia ; inicio 04/03, fin 05/03
- EHCOSPROD-44709 - Videoconferencia N;M. Avatar remote i2cat (desarrollo) inicio 05/03, fin 05/03
- estabilización: EHCOSPROD-44486, EHCOSPROD-44945, EHCOSPROD-44240
- Nuevo JIRA - Listado de grupos para la app (consultar con @grecia)
- EHCOSPROD-43000 - Videoconferencia N:M: ponencia y taller grupal + EHCOSPROD-43639 - Cambios Servicios videoconferencia (desarrollo junto a Marcos) ; inicio 08/03, fin 12/03
- EHCOSPROD-38932: daily
</t>
        </r>
        <r>
          <rPr>
            <b/>
            <sz val="9"/>
            <color indexed="81"/>
            <rFont val="Tahoma"/>
            <family val="2"/>
          </rPr>
          <t>Avance:
- [EHCOSPROD-43534] Envío de estados y participantes videoconferencia ; inicio 04/03, fin 05/03
&gt; terminada
- [EHCOSPROD-44709] Videoconferencia N;M. Avatar remote i2cat (desarrollo) inicio 05/03, fin 05/03
&gt; avanzando y termina hoy</t>
        </r>
        <r>
          <rPr>
            <sz val="9"/>
            <color indexed="81"/>
            <rFont val="Tahoma"/>
            <family val="2"/>
          </rPr>
          <t xml:space="preserve">
Backlog:
- instalación de postgres11
- EHCOSPROD-43195 - Backend, Crear notificación push para videoconferencia NM e individual (desarrollo, registrar horas en el listado de tareas) inicio 17/02, fin 22/02
- EHCOSPROD-42131 - Actividad prevista y timeline Perfil 360 - Recuperar de las tablas de Remote (desarrollo)
</t>
        </r>
      </text>
    </comment>
    <comment ref="MO22" authorId="21" shapeId="0" xr:uid="{00000000-0006-0000-0100-0000A1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2.4:
- [EHCOSPROD-44709] Videoconferencia N;M. Avatar remote i2cat (desarrollo) inicio 05/03, fin 05/03
- Scripts rollback 2.4
Estabilización:
- [EHCOSPROD-44240] Mejorar semaforo de websocket para evitar duplicados &gt; Revisar con Grecia
- [EHCOSPROD-43033] Videoconferencia N:M: notificación inicio video
- [EHCOSPROD-44486] Notificaciones de inicio video
- [EHCOSPROD-44945] No llegan las notificaciones de inicio video
- [EHCOSPROD-43195] Backend, Crear notificación push para videoconferencia NM e individual
Backlog:
- [EHCOSPROD-43639] Cambios Servicios videoconferencia (desarrollo junto a Marcos) ; inicio 08/03, fin 12/03
- Nuevo JIRA - Listado de grupos para la app &gt; Revisar con Grecia
- instalación de postgres11
- [EHCOSPROD-42131] Actividad prevista y timeline Perfil 360 - Recuperar de las tablas de Remote (desarrollo)
- [EHCOSPROD-38932]: daily
</t>
        </r>
        <r>
          <rPr>
            <b/>
            <sz val="9"/>
            <color indexed="81"/>
            <rFont val="Tahoma"/>
            <family val="2"/>
          </rPr>
          <t>Avance:
- [EHCOSPROD-44709] Videoconferencia N;M. Avatar remote i2cat (desarrollo) inicio 05/03, fin 05/03
&gt; terminada pendiente de revisar con ana por que no aparecen los avatares.
&gt; conflicto despues de update</t>
        </r>
      </text>
    </comment>
    <comment ref="MP22" authorId="21" shapeId="0" xr:uid="{00000000-0006-0000-0100-0000A2020000}">
      <text>
        <r>
          <rPr>
            <sz val="11"/>
            <color rgb="FF000000"/>
            <rFont val="Calibri"/>
            <family val="2"/>
          </rPr>
          <t>Tareas planificadas:
Remote 2.4:
- [EHCOSPROD-44709] Videoconferencia N;M. Avatar remote i2cat (desarrollo) inicio 05/03, fin 05/03
- Scripts rollback 2.4
Estabilización:
- [EHCOSPROD-44240] Mejorar semaforo de websocket para evitar duplicados &gt; Revisar con Grecia
- [EHCOSPROD-43033] Videoconferencia N:M: notificación inicio video
- [EHCOSPROD-44486] Notificaciones de inicio video
- [EHCOSPROD-44945] No llegan las notificaciones de inicio video
- [EHCOSPROD-43195] Backend, Crear notificación push para videoconferencia NM e individual
Backlog:
- [EHCOSPROD-45129] Videoconferencia N:M i2cat api 
- [EHCOSPROD-43639] Cambios Servicios videoconferencia (desarrollo junto a Marcos) ; inicio 08/03, fin 12/03
- Nuevo JIRA - Listado de grupos para la app &gt; Revisar con Grecia
- instalación de postgres11
- [EHCOSPROD-42131] Actividad prevista y timeline Perfil 360 - Recuperar de las tablas de Remote (desarrollo)
- [EHCOSPROD-38932]: daily
Avance:
- [EHCOSPROD-44240] Mejorar semaforo de websocket para evitar duplicados
&gt; Avance en la estabilizacion
- [EHCOSPROD-44709] Videoconferencia N;M. Avatar remote i2cat (desarrollo) inicio 05/03, fin 05/03
&gt; Terminado ya se muestran los avatares
- Scripts rollback 2.4
&gt; Terminado</t>
        </r>
      </text>
    </comment>
    <comment ref="MQ22" authorId="40" shapeId="0" xr:uid="{00000000-0006-0000-0100-0000A3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JORDI
Tareas planificadas:
Estabilización:
- [EHCOSPROD-43033] Videoconferencia N:M: notificación inicio video
- [EHCOSPROD-44486] Notificaciones de inicio video
- [EHCOSPROD-44945] No llegan las notificaciones de inicio video
- [EHCOSPROD-43195] Backend, Crear notificación push para videoconferencia NM e individual
Remote 2.4:
- [EHCOSPROD-45129] Videoconferencia N:M i2cat api 
- Presentacion por producto
Backlog:
- [EHCOSPROD-43639] Cambios Servicios videoconferencia (desarrollo junto a Marcos) ; inicio 08/03, fin 12/03
- instalación de postgres11
- [EHCOSPROD-42131] Actividad prevista y timeline Perfil 360 - Recuperar de las tablas de Remote (desarrollo)
- [EHCOSPROD-38932]: daily
Avance:
- [EHCOSPROD-44070] Servicio para recibir notificaciones de i2cat
&gt; terminado y desplegado en QA
- [EHCOSPROD-44486] Notificaciones de inicio video
&gt; Estabilizando notificaciones
</t>
      </text>
    </comment>
    <comment ref="MR22" authorId="41" shapeId="0" xr:uid="{00000000-0006-0000-0100-0000A4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JORDI
Tareas planificadas:
- Presentacion por producto
Estabilización:
- [EHCOSPROD-43033] Videoconferencia N:M: notificación inicio video
- [EHCOSPROD-44486] Notificaciones de inicio video
- [EHCOSPROD-44945] No llegan las notificaciones de inicio video
- [EHCOSPROD-43195] Backend, Crear notificación push para videoconferencia NM e individual
- [EHCOSPROD-44070] Servicio para recibir notificaciones de i2cat
- [EHCOSPROD-45151] Estado de las sesiones
Remote 2.4:
- [EHCOSPROD-45129] Videoconferencia N:M i2cat api 
Backlog:
- [EHCOSPROD-43639] Cambios Servicios videoconferencia (desarrollo junto a Marcos) ; inicio 08/03, fin 12/03
- instalación de postgres11
- [EHCOSPROD-42131] Actividad prevista y timeline Perfil 360 - Recuperar de las tablas de Remote (desarrollo)
- [EHCOSPROD-38932]: daily
Reply:
    Avance:
- Presentacion por producto
- [EHCOSPROD-43195] Backend, Crear notificación push para videoconferencia NM e individual
&gt; Terminada</t>
      </text>
    </comment>
    <comment ref="MS22" authorId="42" shapeId="0" xr:uid="{00000000-0006-0000-0100-0000A5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JORDI
Tareas planificadas:
- [EHCOSPROD-44070] Servicio para recibir notificaciones de i2cat
- [EHCOSPROD-45151] Estado de las sesiones
- [EHCOSPROD-45240] URL sesión i2cat
- [EHCOSPROD-45129] Videoconferencia N:M i2cat api 
Estabilización:
- [EHCOSPROD-43033] Videoconferencia N:M: notificación inicio video
- [EHCOSPROD-44486] Notificaciones de inicio video
- [EHCOSPROD-44945] No llegan las notificaciones de inicio video
Backlog:
- instalación de postgres11
- [EHCOSPROD-42131] Actividad prevista y timeline Perfil 360 - Recuperar de las tablas de Remote (desarrollo)
- [EHCOSPROD-38932]: daily
Reply:
    Avance:
- [EHCOSPROD-45240] URL sesión i2cat
&gt; terminada
- [EHCOSPROD-44070] Servicio para recibir notificaciones de i2cat
&gt; terminada
- [EHCOSPROD-45151] Estado de las sesiones
&gt; terminada</t>
      </text>
    </comment>
    <comment ref="MV22" authorId="43" shapeId="0" xr:uid="{00000000-0006-0000-0100-0000A6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JORDI
Tareas planificadas:
- [EHCOSPROD-45238] Error videoconferencia paciente tutorizado 
- [EHCOSPROD-45356] Backend. Recibir evento de salid de último moderador o cierre de sesión 
- [EHCOSPROD-45357] Crear acción websocket para cierre de webview 
Estabilización:
- [EHCOSPROD-43033] Videoconferencia N:M: notificación inicio video
- [EHCOSPROD-44486] Notificaciones de inicio video
- [EHCOSPROD-44945] No llegan las notificaciones de inicio video
Backlog:
- instalación de postgres11
- [EHCOSPROD-42131] Actividad prevista y timeline Perfil 360 - Recuperar de las tablas de Remote (desarrollo)
- [EHCOSPROD-38932]: daily
Reply:
    Avance:
- [EHCOSPROD-45238] Error videoconferencia paciente tutorizado 
&gt; terminado
&gt; boton oculto recuperado despues de merge
- [EHCOSPROD-43033] Videoconferencia N:M: notificación inicio video
- [EHCOSPROD-44486] Notificaciones de inicio video
- [EHCOSPROD-44945] No llegan las notificaciones de inicio video
&gt; terminado y realizado pruebas apps</t>
      </text>
    </comment>
    <comment ref="NC22" authorId="44" shapeId="0" xr:uid="{00000000-0006-0000-0100-0000A7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JORDI
Tareas planificadas:
- actualizar trunk y bd local
- [EHCOSPROD-44486] Notificaciones de inicio video 
- [EHCOSPROD-45508] Videoconferencia. Falla de websocket 
- [EHCOSPROD-45356] Backend. Recibir evento de salid de último moderador o cierre de sesión 
Bloqueadas:
- [EHCOSPROD-43033] Videoconferencia N:M: notificación inicio video
Backlog:
- instalación de postgres11
- [EHCOSPROD-42131] Actividad prevista y timeline Perfil 360 - Recuperar de las tablas de Remote (desarrollo)
- [EHCOSPROD-38932]: daily
Reply:
    Avance:
-----------------------------------
- actualizar trunk y bd local
&gt; realizado
- [EHCOSPROD-44486] Notificaciones de inicio video 
&gt; terminado
- [EHCOSPROD-45508] Videoconferencia. Falla de websocket 
&gt; terminado
- v2.4.1 - [EHCOSPROD-45356] Backend. Recibir evento de salid de último moderador o cierre de sesión - fin 29/03
&gt; iniciada
&gt; Corregido: Mostrar lista de profesionales para los pacientes 
Reply:
    Avance:
-----------------------------------
&gt; Revisando &gt; Mostrar lista de profesionales para los pacientes 
&gt; Preparar BD de QA con v2.3 y actualizada a 2.4
- v2.4.1 - [EHCOSPROD-45356] Backend. Recibir evento de salida de último moderador o cierre de sesión - fin 29/03
&gt; avanzando</t>
      </text>
    </comment>
    <comment ref="ND22" authorId="45" shapeId="0" xr:uid="{00000000-0006-0000-0100-0000A8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JORDI
Tareas planificadas:
- [EHCOSPROD-45629] Notificación app-web individual &gt; Revisarlo con grecia
- v2.4.1 - [EHCOSPROD-45356] Backend. Recibir evento de salida de último moderador o cierre de sesión - fin 29/03
Bloqueadas:
- [EHCOSPROD-43033] Videoconferencia N:M: notificación inicio video
Backlog:
- instalación de postgres11
- [EHCOSPROD-42131] Actividad prevista y timeline Perfil 360 - Recuperar de las tablas de Remote (desarrollo)
- [EHCOSPROD-38932]: daily
Reply:
    Avance:
-----------------------------------
- [EHCOSPROD-45629] Notificación app-web individual &gt; Revisarlo con grecia
&gt; pruebas con grecia, se corrigio y se valido con android, en ios no se estaba añadiendo el paciente a la sala.
&gt; Revisando Mostrar lista de profesionales para los pacientes 
</t>
      </text>
    </comment>
    <comment ref="NE22" authorId="46" shapeId="0" xr:uid="{00000000-0006-0000-0100-0000A9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JORDI
Tareas planificadas:
- Crear Dump de PRE para restaurar QA para validar errores de datos vitales 
- Mostrar lista de profesionales para los pacientes
- v2.4.1 - [EHCOSPROD-45356] Backend. Recibir evento de salida de último moderador o cierre de sesión - fin 29/03
Bloqueadas:
- [EHCOSPROD-43033] Videoconferencia N:M: notificación inicio video
Backlog:
- instalación de postgres11
- [EHCOSPROD-42131] Actividad prevista y timeline Perfil 360 - Recuperar de las tablas de Remote (desarrollo)
- [EHCOSPROD-38932]: daily
Reply:
    Avance:
-----------------------------------
&gt; Revisando &gt; Mostrar lista de profesionales para los pacientes 
&gt; Preparar BD de QA con v2.3 y actualizada con scripts a 2.4
- v2.4.1 - [EHCOSPROD-45356] Backend. Recibir evento de salida de último moderador o cierre de sesión - fin 29/03
&gt; avanzando</t>
      </text>
    </comment>
    <comment ref="NF22" authorId="47" shapeId="0" xr:uid="{00000000-0006-0000-0100-0000AA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JORDI
Tareas planificadas:
- Revisar google meet en WEB y APPS - Falta la url
- v2.4.1 - [EHCOSPROD-45356] Backend. Recibir evento de salida de último moderador o cierre de sesión - fin 29/03
Bloqueadas:
- [EHCOSPROD-43033] Videoconferencia N:M: notificación inicio video
Backlog:
- instalación de postgres11
- [EHCOSPROD-42131] Actividad prevista y timeline Perfil 360 - Recuperar de las tablas de Remote (desarrollo)
- [EHCOSPROD-38932]: daily
Reply:
    Avance:
-----------------------------------
&gt; Pruebas revisar google meet en WEB y APPS - Falta la url
- v2.4.1 - [EHCOSPROD-45356] Backend. Recibir evento de salida de último moderador o cierre de sesión - fin 29/03 &gt; 30/03
</t>
      </text>
    </comment>
    <comment ref="NG22" authorId="48" shapeId="0" xr:uid="{00000000-0006-0000-0100-0000AB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JORDI
Tareas planificadas:
&gt; ¿Avance evolutivo?
- v2.4.1 - [EHCOSPROD-45356] Backend. Recibir evento de salida de último moderador o cierre de sesión - fin 29/03 &gt; 30/03
Bloqueadas:
- [EHCOSPROD-43033] Videoconferencia N:M: notificación inicio video
Backlog:
- instalación de postgres11
- [EHCOSPROD-42131] Actividad prevista y timeline Perfil 360 - Recuperar de las tablas de Remote (desarrollo)
- [EHCOSPROD-38932]: daily
Reply:
    Avance:
-----------------------------------
- v2.4.1: [EHCOSPROD-45356] Backend. Recibir evento de salida de último moderador o cierre de sesión - fin 29/03 &gt; 30/03
&gt; avanzando, pruebas puente js:java</t>
      </text>
    </comment>
    <comment ref="NJ22" authorId="49" shapeId="0" xr:uid="{00000000-0006-0000-0100-0000AC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JORDI
Tareas planificadas:
&gt; Actualizar JIRA, si faltan tareas apuntarlo para solicitarlas a grecia
- v2.4.1: [EHCOSPROD-45356] Backend. Recibir evento de salida de último moderador o cierre de sesión - fin 29/03 &gt; 30/03
Backlog:
- instalación de postgres11
- v2.4.1: EHCOSPROD-45162 Back. Chat 1:1 app  
- [EHCOSPROD-42131] Actividad prevista y timeline Perfil 360 - Recuperar de las tablas de Remote (desarrollo)
- [EHCOSPROD-38932]: daily
Reply:
    Avance:
-----------------------------------
- v2.4.1: [EHCOSPROD-45356] Backend. Recibir evento de salida de último moderador o cierre de sesión - fin 29/03 &gt; 30/03
&gt; avanzando, terminado desarrollo y pendiente de documentación, pendiente de validacion local con grecia
</t>
      </text>
    </comment>
    <comment ref="NK22" authorId="50" shapeId="0" xr:uid="{00000000-0006-0000-0100-0000AD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JORDI
Tareas planificadas:
&gt; Actualizado JIRA sobre todo de EHCOSPROD-45356, si faltan tareas apuntarlo para solicitarlas a grecia
- v2.4.1: [EHCOSPROD-45356] Backend. Recibir evento de salida de último moderador o cierre de sesión - fin 29/03 &gt; 30/03
- v2.4.1: [EHCOSPROD-45162] Back. Chat 1:1 app &gt; preparar DT
Backlog:
- instalación de postgres11
- [EHCOSPROD-42131] Actividad prevista y timeline Perfil 360 - Recuperar de las tablas de Remote (desarrollo)
- [EHCOSPROD-38932]: daily
Reply:
    Avance:
-----------------------------------
- v2.4.1: [EHCOSPROD-45356] Backend. Recibir evento de salida de último moderador o cierre de sesión - fin 29/03 &gt; 30/03
&gt; documentar en api rest websocket, con ejemplos para la futura integracion de apps
- v2.4.1: [EHCOSPROD-45162] Back. Chat 1:1 app 
&gt; preparar DT
</t>
      </text>
    </comment>
    <comment ref="NL22" authorId="51" shapeId="0" xr:uid="{00000000-0006-0000-0100-0000AE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JORDI
Tareas planificadas:
- v2.4.1: [EHCOSPROD-45356] Backend. Recibir evento de salida de último moderador o cierre de sesión - fin 29/03 &gt; 30/03
&gt; Merge al trunk y copiar DL al onedrive
- v2.4.1: [EHCOSPROD-45162] Back. Chat 1:1 app 
&gt; preparar DT
Backlog:
- instalación de postgres11
- [EHCOSPROD-42131] Actividad prevista y timeline Perfil 360 - Recuperar de las tablas de Remote (desarrollo)
- [EHCOSPROD-38932]: daily
</t>
      </text>
    </comment>
    <comment ref="KD23" authorId="52" shapeId="0" xr:uid="{00000000-0006-0000-0100-0000AF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EHCOSPROD-42616:
   Documentación
   Merge, debido a que la rama de   origen del evolutivo era incorrecta
Jiras 2.4
Correctivos 2.3.2</t>
      </text>
    </comment>
    <comment ref="KE23" authorId="53" shapeId="0" xr:uid="{00000000-0006-0000-0100-0000B0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Correctivos 2.3.2
- EHCOSPROD-43381
- EHCOSPROD-42911
Revision cambios en evolutivo EHCOSPROD-42616</t>
      </text>
    </comment>
    <comment ref="KF23" authorId="54" shapeId="0" xr:uid="{00000000-0006-0000-0100-0000B1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Correctivos 2.3.2
- EHCOSPROD-42545</t>
      </text>
    </comment>
    <comment ref="KU23" authorId="0" shapeId="0" xr:uid="{00000000-0006-0000-0100-0000B2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puesta al día, actualización entorno trunk y base de datps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correctivos remote v2.4
- Daily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Y23" authorId="0" shapeId="0" xr:uid="{00000000-0006-0000-0100-0000B3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remote v2.3.3. Desplegar en Pre-Brasil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correctivos remote v2.4
- Daily</t>
        </r>
        <r>
          <rPr>
            <b/>
            <sz val="8"/>
            <color indexed="81"/>
            <rFont val="Tahoma"/>
            <family val="2"/>
          </rPr>
          <t xml:space="preserve">
Avance:
- correctivos remote v2.3.3.
- correctivos remote v2.4
- Daily
Backlog:
Curso 2h (11-13)
</t>
        </r>
      </text>
    </comment>
    <comment ref="KZ23" authorId="0" shapeId="0" xr:uid="{00000000-0006-0000-0100-0000B4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remote v2.3.3. Desplegar en Pre-Brasil
- correctivos remote v2.4
- EHCOSPROD-43020 - Cambios FILTROS pantalla Videoconferencia (lectura documentación, preparar entorno,  desarrollo) inicio 27/01, fin 12/02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- correctivos remote v2.3.3. Desplegar en Pre-Brasil
- correctivos remote v2.4
- Daily
Backlog:
Curso 2h (11-13)
</t>
        </r>
      </text>
    </comment>
    <comment ref="LA23" authorId="0" shapeId="0" xr:uid="{00000000-0006-0000-0100-0000B5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remote v2.3.3. Desplegar en Pre-Brasil
- correctivos remote v2.4 (cerrar en progreso)
- EHCOSPROD-43020 - Cambios FILTROS pantalla Videoconferencia (lectura documentación, preparar entorno,  desarrollo) inicio 27/01, fin 12/02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Backlog:
Curso 2h (11-13)
</t>
        </r>
      </text>
    </comment>
    <comment ref="LB23" authorId="0" shapeId="0" xr:uid="{00000000-0006-0000-0100-0000B6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remote v2.3.4. Desplegar en Pre-Brasil rama 2.3
- EHCOSPROD-43020 - Cambios FILTROS pantalla Videoconferencia (lectura documentación, preparar entorno,  desarrollo) inicio 27/01, fin 12/02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Backlog:
Curso 2h (11-13)
</t>
        </r>
      </text>
    </comment>
    <comment ref="LC23" authorId="0" shapeId="0" xr:uid="{00000000-0006-0000-0100-0000B7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remote v2.3.4. Desplegar en Pre-Brasil rama 2.3
- EHCOSPROD-43020 - Cambios FILTROS pantalla Videoconferencia (lectura documentación, preparar entorno,  desarrollo) inicio 27/01, fin 12/02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- Desplegar en Pre-Brasil rama 2.3
- EHCOSPROD-43020 - Cambios FILTROS pantalla Videoconferencia (lectura documentación, preparar entorno,  desarrollo)
- Daily
Backlog:
Curso 2h (11-13)
</t>
        </r>
      </text>
    </comment>
    <comment ref="LF23" authorId="0" shapeId="0" xr:uid="{00000000-0006-0000-0100-0000B8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Desplegar en Pre-Brasil rama 2.3. Traspaso de conocimiento a Ricardo Acuña para despliegue en Pre-BR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correctivos remote v2.3.4: EHCOSPROD-44087
- EHCOSPROD-43020 - Cambios FILTROS pantalla Videoconferencia (desarrollo) inicio 27/01, fin 15/02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- Desplegar en Pre-Brasil rama 2.3.
- correctivos remote v2.3.4: EHCOSPROD-44086, EHCOSPROD-44087
- Daily
Backlog:
Curso 2h (11-13)
</t>
        </r>
      </text>
    </comment>
    <comment ref="LG23" authorId="0" shapeId="0" xr:uid="{00000000-0006-0000-0100-0000B9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Desplegar en Pre-Brasil rama 2.3. Traspaso de conocimiento a Ricardo Acuña para despliegue en Pre-BR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correctivos remote v2.3.4: EHCOSPROD-44087
- EHCOSPROD-43020 - Cambios FILTROS pantalla Videoconferencia (desarrollo) inicio 27/01, fin 12/02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Backlog:
Curso 2h (11-13)
</t>
        </r>
      </text>
    </comment>
    <comment ref="LH23" authorId="0" shapeId="0" xr:uid="{00000000-0006-0000-0100-0000BA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Desplegar en Pre-Brasil rama 2.3. Traspaso de conocimiento a Ricardo Acuña para despliegue en Pre-BR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correctivos remote v2.3.4: EHCOSPROD-44087, EHCOSPROD-44121
- EHCOSPROD-43020 - Cambios FILTROS pantalla Videoconferencia (desarrollo) inicio 27/01, fin 17/02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Problemas PC, formateo necesario. Rescatar datos pendientes de commit
Backlog:
Curso 2h (11-13)
</t>
        </r>
      </text>
    </comment>
    <comment ref="LI23" authorId="0" shapeId="0" xr:uid="{00000000-0006-0000-0100-0000BB020000}">
      <text>
        <r>
          <rPr>
            <b/>
            <sz val="8"/>
            <color indexed="81"/>
            <rFont val="Tahoma"/>
            <family val="2"/>
          </rPr>
          <t xml:space="preserve">Tareas planificadas:
- ambientar en local
</t>
        </r>
        <r>
          <rPr>
            <sz val="8"/>
            <color indexed="81"/>
            <rFont val="Tahoma"/>
            <family val="2"/>
          </rPr>
          <t>- Desplegar en Pre-Brasil rama 2.3.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correctivos remote v2.3.4: 
- EHCOSPROD-43020 - Cambios FILTROS pantalla Videoconferencia (desarrollo) inicio 27/01, fin 17/02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- ambientar en local
- Daily
Backlog:
Curso 2h (11-13)
</t>
        </r>
      </text>
    </comment>
    <comment ref="LJ23" authorId="0" shapeId="0" xr:uid="{00000000-0006-0000-0100-0000BC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2.3.X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correctivos
Remote 2.4
- EHCOSPROD-43020 - Cambios FILTROS pantalla Videoconferencia (desarrollo) inicio 27/01, fin 17/02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Backlog:
Curso 2h (11-13)
</t>
        </r>
      </text>
    </comment>
    <comment ref="LM23" authorId="0" shapeId="0" xr:uid="{00000000-0006-0000-0100-0000BD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Formateo y preparación PC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Remote 2.3.X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correctivos
Remote 2.4
- EHCOSPROD-43020 - Cambios FILTROS pantalla Videoconferencia (desarrollo) inicio 27/01, fin 17/02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Formateo y preparación PC
Backlog:
Curso 2h (11-13)
</t>
        </r>
      </text>
    </comment>
    <comment ref="LN23" authorId="0" shapeId="0" xr:uid="{00000000-0006-0000-0100-0000BE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Formateo y preparación PC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Remote 2.4
- EHCOSPROD-43020 - Cambios FILTROS pantalla Videoconferencia (desarrollo) inicio 27/01, fin 17/02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Formateo y preparación PC
- Daily
Backlog:
Curso 2h (11-13)
</t>
        </r>
      </text>
    </comment>
    <comment ref="LO23" authorId="0" shapeId="0" xr:uid="{00000000-0006-0000-0100-0000BF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EHCOSPROD-43020 - Cambios FILTROS pantalla Videoconferencia (desarrollo, registro de horas y avance) inicio 27/01, fin 17/02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Remote 2.4
- EHCOSPROD-43020 - Cambios FILTROS pantalla Videoconferencia (desarrollo, registro de horas y avance)
- Daily
Backlog:
</t>
        </r>
      </text>
    </comment>
    <comment ref="LP23" authorId="0" shapeId="0" xr:uid="{00000000-0006-0000-0100-0000C0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EHCOSPROD-43020 - Cambios FILTROS pantalla Videoconferencia,  EHCOSPROD-44395 - Búsqueda inicial en pantalla videoconferencia (desarrollo, registro de horas y avance) inicio 27/01, fin 17/02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Remote 2.4
- EHCOSPROD-43020 - Cambios FILTROS pantalla Videoconferencia,  EHCOSPROD-44395 - Búsqueda inicial en pantalla videoconferencia (desarrollo, registro de horas y avance)
- Daily
Backlog:
Curso 2h (11-13)
</t>
        </r>
      </text>
    </comment>
    <comment ref="LQ23" authorId="0" shapeId="0" xr:uid="{00000000-0006-0000-0100-0000C1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EHCOSPROD-43020 - Cambios FILTROS pantalla Videoconferencia,  EHCOSPROD-44395 - Búsqueda inicial en pantalla videoconferencia (desarrollo, registro de horas y avance) inicio 27/01, fin 17/02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LT23" authorId="0" shapeId="0" xr:uid="{00000000-0006-0000-0100-0000C2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EHCOSPROD-43020 - Cambios FILTROS pantalla Videoconferencia,  EHCOSPROD-44395 - Búsqueda inicial en pantalla videoconferencia (desarrollo, registro de horas y avance) inicio 27/01, fin 17/02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LU23" authorId="0" shapeId="0" xr:uid="{00000000-0006-0000-0100-0000C3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EHCOSPROD-43020 - Cambios FILTROS pantalla Videoconferencia,  EHCOSPROD-44395 - Búsqueda inicial en pantalla videoconferencia (desarrollo, registro de horas y avance) inicio 27/01, fin 17/02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Remote 2.4
- EHCOSPROD-43020 - Cambios FILTROS pantalla Videoconferencia,  EHCOSPROD-44395 - Búsqueda inicial en pantalla videoconferencia (desarrollo, registro de horas y avance)
- Daily
Backlog:
</t>
        </r>
      </text>
    </comment>
    <comment ref="LV23" authorId="0" shapeId="0" xr:uid="{00000000-0006-0000-0100-0000C4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EHCOSPROD-43020 - Cambios FILTROS pantalla Videoconferencia,  EHCOSPROD-44395 - Búsqueda inicial en pantalla videoconferencia (desarrollo, registro de horas y avance) inicio 27/01, fin 24/02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LW23" authorId="0" shapeId="0" xr:uid="{00000000-0006-0000-0100-0000C5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EHCOSPROD-43020 - Cambios FILTROS pantalla Videoconferencia,  EHCOSPROD-44395 - Búsqueda inicial en pantalla videoconferencia (desarrollo, registro de horas y avance) inicio 27/01, fin 24/02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Remote 2.4
- EHCOSPROD-43020 - Cambios FILTROS pantalla Videoconferencia,  EHCOSPROD-44395 - Búsqueda inicial en pantalla videoconferencia (desarrollo, registro de horas y avance) inicio 27/01, fin 24/02
- Daily
Backlog:
</t>
        </r>
      </text>
    </comment>
    <comment ref="LX23" authorId="0" shapeId="0" xr:uid="{00000000-0006-0000-0100-0000C6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
- EHCOSPROD-43020 - Cambios FILTROS pantalla Videoconferencia,  EHCOSPROD-44395 - Búsqueda inicial en pantalla videoconferencia (desarrollo, pruebas y ajustes, documentación, sincronizar rama con el trunk) inicio 27/01, fin 23/02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Remote 2.4
- EHCOSPROD-43020 - Cambios FILTROS pantalla Videoconferencia,  EHCOSPROD-44395 - Búsqueda inicial en pantalla videoconferencia (desarrollo, pruebas y ajustes, documentación, sincronizar rama con el trunk)
- Daily
Backlog:
</t>
        </r>
      </text>
    </comment>
    <comment ref="MA23" authorId="0" shapeId="0" xr:uid="{00000000-0006-0000-0100-0000C7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EHCOSPROD-43020 - Cambios FILTROS pantalla Videoconferencia,  EHCOSPROD-44395 - Búsqueda inicial en pantalla videoconferencia (pruebas y ajustes, documentación, sincronizar rama con el trunk, validación y merge al trunk) inicio 27/01, fin 23/02
Remote 2.3.7
- preparar entorno 2.3
- correctivos: EHCOSPROD-44658, EHCOSPROD-44201, EHCOSPROD-44396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Remote 2.4
- EHCOSPROD-43020 - Cambios FILTROS pantalla Videoconferencia,  EHCOSPROD-44395 - Búsqueda inicial en pantalla videoconferencia (pruebas y ajustes, documentación, sincronizar rama con el trunk, validación y merge al trunk) inicio 27/01, fin 23/02
Remote 2.3.7
- preparar entorno 2.3
- Daily
Backlog:
</t>
        </r>
      </text>
    </comment>
    <comment ref="MB23" authorId="0" shapeId="0" xr:uid="{00000000-0006-0000-0100-0000C8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EHCOSPROD-43020 - Cambios FILTROS pantalla Videoconferencia,  EHCOSPROD-44395 - Búsqueda inicial en pantalla videoconferencia (pruebas y ajustes, documentación, sincronizar rama con el trunk, validación con Grecia y merge al trunk. Cambiar estado en JIRA a pdte Despliegue) inicio 27/01, fin 23/02
Remote 2.3.7
- correctivos: EHCOSPROD-44690, EHCOSPROD-44396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Remote 2.4
- EHCOSPROD-43020 - Cambios FILTROS pantalla Videoconferencia,  EHCOSPROD-44395 - Búsqueda inicial en pantalla videoconferencia (pruebas y ajustes, documentación, sincronizar rama con el trunk, validación con Grecia y merge al trunk. Cambiar estado en JIRA a pdte Despliegue) inicio 27/01, fin 23/02
- Daily
Backlog:
</t>
        </r>
      </text>
    </comment>
    <comment ref="MC23" authorId="0" shapeId="0" xr:uid="{00000000-0006-0000-0100-0000C9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EHCOSPROD-43020 - Cambios FILTROS pantalla Videoconferencia,  EHCOSPROD-44395 - Búsqueda inicial en pantalla videoconferencia (pruebas y ajustes, documentación, sincronizar rama con el trunk, validación con Grecia y merge al trunk. Cambiar estado en JIRA a pdte Despliegue) inicio 27/01, fin 23/02
Remote 2.3.7
- correctivos: EHCOSPROD-44690, EHCOSPROD-44396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Remote 2.4
- EHCOSPROD-43020 - Cambios FILTROS pantalla Videoconferencia,  EHCOSPROD-44395 - Búsqueda inicial en pantalla videoconferencia (pruebas y ajustes, documentación, sincronizar rama con el trunk, validación con Grecia y merge al trunk. Cambiar estado en JIRA a pdte Despliegue)
- Daily
Backlog:
</t>
        </r>
      </text>
    </comment>
    <comment ref="MD23" authorId="0" shapeId="0" xr:uid="{00000000-0006-0000-0100-0000CA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EHCOSPROD-43020 - Cambios FILTROS pantalla Videoconferencia,  EHCOSPROD-44395 - Búsqueda inicial en pantalla videoconferencia (pruebas y ajustes, documentación, sincronizar rama con el trunk, validación con Grecia y merge al trunk. Cambiar estado en JIRA a pdte Despliegue) inicio 27/01, fin 25/02
- EHCOSPROD-44046 - Integracion Wellbeling con pantallas de ehcos remote (lectura documentación, preparar entorno, desarrollo con Emilio) inicio 01/03, fin 09/03
- EHCOSPROD-44070 - Servicio para recibir notificaciones de i2cat (desarrollo) inicio 10/03, fin 11/03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Remote 2.4
- EHCOSPROD-43020 - Cambios FILTROS pantalla Videoconferencia,  EHCOSPROD-44395 - Búsqueda inicial en pantalla videoconferencia (pruebas y ajustes, documentación, sincronizar rama con el trunk, validación con Grecia y merge al trunk. Cambiar estado en JIRA a pdte Despliegue)
- EHCOSPROD-44046 - Integracion Wellbeling con pantallas de ehcos remote (lectura documentación, preparar entorno, desarrollo con Emilio) inicio 01/03, fin 09/03
- Daily
Backlog:
</t>
        </r>
      </text>
    </comment>
    <comment ref="ME23" authorId="0" shapeId="0" xr:uid="{00000000-0006-0000-0100-0000CB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Remote 2.4
- EHCOSPROD-44046 - Integracion Wellbeling con pantallas de ehcos remote (lectura documentación, preparar entorno, desarrollo con Emilio) inicio 25/02, fin 09/03
- EHCOSPROD-44070 - Servicio para recibir notificaciones de i2cat (desarrollo) inicio 10/03, fin 11/03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- EHCOSPROD-44046 - Integracion Wellbeling - avance segun planificado
Backlog:
</t>
        </r>
      </text>
    </comment>
    <comment ref="MH23" authorId="21" shapeId="0" xr:uid="{00000000-0006-0000-0100-0000CC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
- Merge de evolutivo completado en el trunk
- EHCOSPROD-44046 - Integracion Wellbeling con pantallas de ehcos remote (lectura documentación, preparar entorno, desarrollo con Emilio) inicio 25/02, fin 09/03
- Daily
</t>
        </r>
        <r>
          <rPr>
            <b/>
            <sz val="9"/>
            <color indexed="81"/>
            <rFont val="Tahoma"/>
            <family val="2"/>
          </rPr>
          <t xml:space="preserve">
Avance:
- Merge en el trunk de evolutivo de filtros 
&gt; completado 
- EHCOSPROD-44046 - Integracion Wellbeling con pantallas de ehcos remote 
&gt; Scripts y datos de prueba</t>
        </r>
        <r>
          <rPr>
            <sz val="9"/>
            <color indexed="81"/>
            <rFont val="Tahoma"/>
            <family val="2"/>
          </rPr>
          <t xml:space="preserve">
Backlog:
</t>
        </r>
      </text>
    </comment>
    <comment ref="MI23" authorId="21" shapeId="0" xr:uid="{00000000-0006-0000-0100-0000CD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
- EHCOSPROD-44046 - Integracion Wellbeling con pantallas de ehcos remote (lectura documentación, preparar entorno, desarrollo con Emilio) inicio 25/02, fin 09/03
- Daily
</t>
        </r>
        <r>
          <rPr>
            <b/>
            <sz val="9"/>
            <color indexed="81"/>
            <rFont val="Tahoma"/>
            <family val="2"/>
          </rPr>
          <t>Avance: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- EHCOSPROD-43020 - Merge en el trunk de evolutivo de filtros 
&gt; estabilizacion por problemas de svn y otras pruebas
- EHCOSPROD-44046 - Integracion Wellbeling con pantallas de ehcos remote 
&gt; Avance en evolutivo</t>
        </r>
        <r>
          <rPr>
            <sz val="9"/>
            <color indexed="81"/>
            <rFont val="Tahoma"/>
            <family val="2"/>
          </rPr>
          <t xml:space="preserve">
Backlog:
</t>
        </r>
      </text>
    </comment>
    <comment ref="MJ23" authorId="21" shapeId="0" xr:uid="{00000000-0006-0000-0100-0000CE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
- actualizar desde el trunk, y subir cambios de estabilizacion
- EHCOSPROD-44046 - Integracion Wellbeling con pantallas de ehcos remote (lectura documentación, preparar entorno, desarrollo con Emilio) inicio 25/02, fin 09/03
- Daily
</t>
        </r>
        <r>
          <rPr>
            <b/>
            <sz val="9"/>
            <color indexed="81"/>
            <rFont val="Tahoma"/>
            <family val="2"/>
          </rPr>
          <t>Avance:</t>
        </r>
        <r>
          <rPr>
            <sz val="9"/>
            <color indexed="81"/>
            <rFont val="Tahoma"/>
            <family val="2"/>
          </rPr>
          <t xml:space="preserve">
Remote 2.3.7
- Despliegue en PRE Brasil
Remote 2.4
- EHCOSPROD-43020 - actualizar desde el trunk, y subir cambios de estabilizacion
- EHCOSPROD-44046 - Integracion Wellbeling con pantallas de ehcos remote (lectura documentación, preparar entorno, desarrollo con Emilio) inicio 25/02, fin 09/03
- Daily
</t>
        </r>
        <r>
          <rPr>
            <b/>
            <sz val="9"/>
            <color indexed="81"/>
            <rFont val="Tahoma"/>
            <family val="2"/>
          </rPr>
          <t>Backlog: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K23" authorId="21" shapeId="0" xr:uid="{00000000-0006-0000-0100-0000CF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
- EHCOSPROD-43020 - Cambios FILTROS pantalla Videoconferencia (estabilización: EHCOSPROD-44993, EHCOSPROD-45008)
- EHCOSPROD-44046 - Integracion Wellbeling con pantallas de ehcos remote (desarrollo con Emilio) inicio 25/02, fin 09/03
- Daily
</t>
        </r>
        <r>
          <rPr>
            <b/>
            <sz val="9"/>
            <color indexed="81"/>
            <rFont val="Tahoma"/>
            <family val="2"/>
          </rPr>
          <t>Avance:
- [EHCOSPROD-44046] Integracion Wellbeling con pantallas de ehcos remote  inicio 03/03, fin 09/03 &gt; servicio rest
&gt; Avance evolutivo Wellbeling
- [EHCOSPROD-44046] Integracion Wellbeling con pantallas de ehcos remote  inicio 03/03, fin 09/03 &gt; servicio rest
&gt; Wellbeling - soporte a emilio con dump de bd
&gt; reunion - cierre de año fiscal</t>
        </r>
        <r>
          <rPr>
            <sz val="9"/>
            <color indexed="81"/>
            <rFont val="Tahoma"/>
            <family val="2"/>
          </rPr>
          <t xml:space="preserve">
Backlog:
</t>
        </r>
      </text>
    </comment>
    <comment ref="ML23" authorId="21" shapeId="0" xr:uid="{00000000-0006-0000-0100-0000D0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2.4:
- [EHCOSPROD-44046] Integracion Wellbeling con pantallas de ehcos remote (desarrollo con Emilio) inicio 25/02, fin 09/03
- Scripts rollback 2.4
Estabilización:
- [EHCOSPROD-44993] No se visualiza la sesión 
- [EHCOSPROD-45008] No realiza búsqueda correctamente 
- [EHCOSPROD-45077] Errores en apartado de sesiones o citas programadas 
- [EHCOSPROD-45081] Filtro de estados no trae opciones
- [EHCOSPROD-44752] [merge from 2.3.6 to trunk] Notificaciones datos vitales 
- Busqueda y filtros de sesiones
- Wellbeing
Backlog:
- instalación de postgres11
</t>
        </r>
        <r>
          <rPr>
            <b/>
            <sz val="9"/>
            <color indexed="81"/>
            <rFont val="Tahoma"/>
            <family val="2"/>
          </rPr>
          <t>Avance: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- Estabilización 
&gt; Pendiente de pruebas y aceptacion con grecia.
- [EHCOSPROD-45008] No realiza búsqueda correctamente 
&gt; TERMINADO, FALTAN VALIDACION.
- [EHCOSPROD-45077] Errores en apartado de sesiones o citas programadas 
&gt; TERMINADO, FALTA VALIDACION.
- [EHCOSPROD-45081] Filtro de estados no trae opciones 
&gt; TERMINADO, FALTAN VALIDACION.
- [EHCOSPROD-44752] [merge from 2.3.6 to trunk] Notificaciones datos vitales 
&gt; Validado en QA
- [EHCOSPROD-44046] Integracion Wellbeling con pantallas de ehcos remote 
&gt; Sin avance, revisando scripts</t>
        </r>
      </text>
    </comment>
    <comment ref="MO23" authorId="21" shapeId="0" xr:uid="{00000000-0006-0000-0100-0000D1020000}">
      <text>
        <r>
          <rPr>
            <sz val="11"/>
            <color rgb="FF000000"/>
            <rFont val="Calibri"/>
            <family val="2"/>
          </rPr>
          <t>Tareas planificadas:
Remote 2.4:
- Scripts rollback 2.4
- [EHCOSPROD-44046] Integracion Wellbeling con pantallas de ehcos remote (desarrollo con Emilio) inicio 25/02, fin 09/03
Estabilización:
- [EHCOSPROD-44993] No se visualiza la sesión 
Backlog:
- Estabilización Busqueda y filtros de sesiones
- Estabilización Wellbeing
- instalación de postgres11
Avance:
- Scripts rollback 2.4 
&gt; terminados
- [EHCOSPROD-44993] No se visualiza la sesión 
&gt; Terminada, pendiente de validación
&gt; Reunión en oficina
&gt; Reunión de revisión de metodología
&gt; Poco avance en el evolutivo, revisando dudas de Emilio</t>
        </r>
      </text>
    </comment>
    <comment ref="MP23" authorId="55" shapeId="0" xr:uid="{00000000-0006-0000-0100-0000D2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Remote 2.4:
- [EHCOSPROD-44046] Integracion Wellbeling con pantallas de ehcos remote (desarrollo con Emilio) inicio 25/02, fin 09/03
Estabilización:
- Pendiente de validacion con Grecia
Backlog:
- Estabilización Busqueda y filtros de sesiones
- Estabilización Wellbeing
- instalación de postgres11
Avance:
- [EHCOSPROD-44046] Integracion Wellbeling con pantallas de ehcos remote 
&gt; terminado desarrollo, revisando scripts, pendiente pruebas, documentación y validación </t>
      </text>
    </comment>
    <comment ref="MQ23" authorId="56" shapeId="0" xr:uid="{00000000-0006-0000-0100-0000D3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Remote 2.4:
- [EHCOSPROD-44046] Integracion Wellbeling con pantallas de ehcos remote (desarrollo con Emilio) inicio 25/02, fin 09/03
Estabilización:
- Pendiente de validacion con Grecia
Backlog:
- Estabilización Busqueda y filtros de sesiones
- Estabilización Wellbeing
- instalación de postgres11
- Tareas back de evolutivos APP
- Cambios auditoría seguridad
Avance:
Reply:
    - [EHCOSPROD-44046] Integracion Wellbeling con pantallas de ehcos remote (desarrollo con Emilio) inicio 25/02, fin 09/03
&gt; Pruebas, Problema al guardar el dato del glucometro
- [EHCOSPROD-44993] No se visualiza la sesión 
&gt; Estabilizacion, se detecta error en la validacion
</t>
      </text>
    </comment>
    <comment ref="MR23" authorId="57" shapeId="0" xr:uid="{00000000-0006-0000-0100-0000D4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Remote 2.4:
- [EHCOSPROD-44046] Integracion Wellbeling con pantallas de ehcos remote (desarrollo con Emilio) inicio 25/02, fin 09/03
Estabilización:
- Pendiente de validacion con Grecia (44993, 45008, 45077, 45081)
Backlog:
- Estabilización Busqueda y filtros de sesiones
- Estabilización Wellbeing
- instalación de postgres11
- Tareas back de evolutivos APP
- Cambios auditoría seguridad
Reply:
    Avance:
45081, 45077
&gt; Validadas pendiente de merge cuando se validen todos los correctivos
- [EHCOSPROD-44046] Integracion Wellbeling con pantallas de ehcos remote (desarrollo con Emilio) inicio 25/02, fin 09/03
&gt; terminada, pendiente de validar y documentación
</t>
      </text>
    </comment>
    <comment ref="MS23" authorId="58" shapeId="0" xr:uid="{00000000-0006-0000-0100-0000D5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## OSVALDO
Tareas planificadas:
Remote 2.4.1:
- Merge de actualización con trunk y validacion de Correctivos (carpeta rama correctivo)
- Merge de integracion con trunk de Correctivos (carpeta trunk)
- Merge de actualización con trunk y validacion de Wellbeing (carpeta rama wellbeing)
- DL de Wellbeing parte web
Estabilización:
- Pendiente de validacion con Grecia (44993, 45008)
Backlog:
- Estabilización Busqueda y filtros de sesiones
- Estabilización Wellbeing
- [EHCOSPROD-43810] Error en idioma del correo de soporte técnico parte publica 
- [EHCOSPROD-45084] Filtro de videoconferencias paciente 
- instalación de postgres11
- Tareas back de evolutivos APP
- Cambios auditoría seguridad
Reply:
    Avance:
- Merge de actualización con trunk y validacion de Correctivos (carpeta rama correctivo)
- Merge de integracion con trunk de Correctivos (carpeta trunk)
- Merge de actualización con trunk y validacion de Wellbeing (carpeta rama wellbeing)
&gt; terminados
- Estabilización Wellbeing 
&gt; Pruebas con grecia, dudas con notificacion con medida
</t>
      </text>
    </comment>
    <comment ref="MV23" authorId="59" shapeId="0" xr:uid="{00000000-0006-0000-0100-0000D6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Remote 2.4.1:
- Revisar scirpts falta dispositivo de test cnoga VSM
- DL de Wellbeing parte web
- [EHCOSPROD-45378] Integracion Wellbeling - nuevo combo para notificaciones por medida 
- [EHCOSPROD-43810] Error en idioma del correo de soporte técnico parte publica 
Backlog:
- [EHCOSPROD-45084] Filtro de videoconferencias paciente 
- Estabilización Busqueda y filtros de sesiones
- Estabilización Wellbeing
- instalación de postgres11
- Tareas back de evolutivos APP
- Cambios auditoría seguridad
Reply:
    Avance:
-----------------------------------
- [EHCOSPROD-45378] Integracion Wellbeling - nuevo combo para notificaciones por medida 
&gt; terminado y pausado
- [EHCOSPROD-45008] No realiza búsqueda correctamente 
- [EHCOSPROD-45388] Error en Logica invitar usuario
- [EHCOSPROD-45389] búsqueda videoconferencia opción profesionales
&gt; devueltas y terminado
- Revisar scripts falta dispositivo de test cnoga VSM
&gt; terminado
- DL de Wellbeing parte web
&gt; terminado</t>
      </text>
    </comment>
    <comment ref="MW23" authorId="60" shapeId="0" xr:uid="{00000000-0006-0000-0100-0000D7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- [EHCOSPROD-45378] Integracion Wellbeling - nuevo combo para notificaciones por medida 
Devueltas:
- [EHCOSPROD-45077] Errores en apartado de sesiones o citas programadas
Siguiente:
- [EHCOSPROD-45356] Backend. Recibir evento de salid de último moderador o cierre de sesión 
Backlog:
- [EHCOSPROD-45084] Filtro de videoconferencias paciente 
- Estabilización Busqueda y filtros de sesiones
- Estabilización Wellbeing
- instalación de postgres11
- Tareas back de evolutivos APP
- Cambios auditoría seguridad
Reply:
    Avance:
-----------------------------------
- [EHCOSPROD-45077] Errores en apartado de sesiones o citas programadas
&gt; avanzando con dudas
- [EHCOSPROD-45378] Integracion Wellbeling - nuevo combo para notificaciones por medida 
&gt; terminado pendiente de validar
- [EHCOSPROD-45389] búsqueda videoconferencia opción profesionales 
&gt; terminado
</t>
      </text>
    </comment>
    <comment ref="MX23" authorId="61" shapeId="0" xr:uid="{00000000-0006-0000-0100-0000D8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- [EHCOSPROD-45077] Errores en apartado de sesiones o citas programadas
- [EHCOSPROD-45378] Integracion Wellbeling - nuevo combo para notificaciones por medida &gt; pendiente de validar con grecia
- [EHCOSPROD-45426] Video grupal instantánea - sesión y taller grupal 
Backlog:
- [EHCOSPROD-45084] Filtro de videoconferencias paciente 
- Estabilización Busqueda y filtros de sesiones
- Estabilización Wellbeing
- instalación de postgres11
- Tareas back de evolutivos APP
- Cambios auditoría seguridad
Reply:
    Avance:
-----------------------------------
- [EHCOSPROD-45077] Errores en apartado de sesiones o citas programadas 
&gt; terminada
- [EHCOSPROD-45378] Integracion Wellbeling - nuevo combo para notificaciones por medida 
&gt; terminada
- [EHCOSPROD-45520] Al buscar por profesionales desaparecen las sesiones
&gt; avanzando y pendiente de pruebas
</t>
      </text>
    </comment>
    <comment ref="MY23" authorId="62" shapeId="0" xr:uid="{00000000-0006-0000-0100-0000D9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- [EHCOSPROD-45520] Al buscar por profesionales desaparecen las sesiones 
- [EHCOSPROD-45426] Video grupal instantánea - sesión y taller grupal 
- Nuevo JIRA para nuevo tipo de appointment individual
Backlog:
- [EHCOSPROD-45084] Filtro de videoconferencias paciente 
- Estabilización Busqueda y filtros de sesiones
- Estabilización Wellbeing
- instalación de postgres11
- Tareas back de evolutivos APP
- Cambios auditoría seguridad
Reply:
    Avance:
-----------------------------------
- [EHCOSPROD-45426] Video grupal instantánea - sesión y taller grupal 
&gt; avanzando termina hoy
- [EHCOSPROD-45520] Al buscar por profesionales desaparecen las sesiones 
&gt; terminada
- [EHCOSPROD-45081] Filtro de estados no trae opciones 
&gt; devuelta y terminada
</t>
      </text>
    </comment>
    <comment ref="MZ23" authorId="63" shapeId="0" xr:uid="{00000000-0006-0000-0100-0000DA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- [EHCOSPROD-45426] Video grupal instantánea - sesión y taller grupal 
- [EHCOSPROD-45563] Citas individuales no salen en la lista de sesiones 
Bloqueadas:
- [EHCOSPROD-43020] Cambios FILTROS pantalla Videoconferencia
Backlog:
- Estabilización Busqueda y filtros de sesiones
- Estabilización Wellbeing
- instalación de postgres11
- Versión 2.4.1 EHCOSPROD-45084 Filtro de videoconferencias paciente 
- Versión 2.5: EHCOSPROD-37551 Integración con EHR: elaboración de notas de evolución 
Reply:
    Avance:
-----------------------------------
- [EHCOSPROD-45426] Video grupal instantánea - sesión y taller grupal 
&gt; terminada, Pendiente de despliegue
- [EHCOSPROD-45563] Citas individuales no salen en la lista de sesiones 
&gt; terminada, pendientes de validacion antes de commit
- [EHCOSPROD-45077] Errores en apartado de sesiones o citas programadas 
&gt; terminada, pendientes de validacion antes de commit</t>
      </text>
    </comment>
    <comment ref="NC23" authorId="64" shapeId="0" xr:uid="{00000000-0006-0000-0100-0000DB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- [EHCOSPROD-45563] Citas individuales no salen en la lista de sesiones 
- [EHCOSPROD-45077] Errores en apartado de sesiones o citas programadas 
- [EHCOSPROD-45588] Errores en Notificaciones de datos vitales 
Bloqueadas:
- [EHCOSPROD-43020] Cambios FILTROS pantalla Videoconferencia
Backlog:
- Estabilización Busqueda y filtros de sesiones
- Estabilización Wellbeing
- instalación de postgres11
- v2.4.1 - EHCOSPROD-45084 Filtro de videoconferencias paciente 
- v2.5: EHCOSPROD-37551 Integración con EHR: elaboración de notas de evolución 
Reply:
    Avance:
-----------------------------------
- [EHCOSPROD-45563] Citas individuales no salen en la lista de sesiones 
&gt; terminado
- [EHCOSPROD-45077] Errores en apartado de sesiones o citas programadas 
&gt; terminado
- [EHCOSPROD-45588] Errores en Notificaciones de datos vitales 
&gt; en progreso, con pruebas de dispositivos</t>
      </text>
    </comment>
    <comment ref="ND23" authorId="65" shapeId="0" xr:uid="{00000000-0006-0000-0100-0000DC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- [EHCOSPROD-45588] Errores en Notificaciones de datos vitales 
- [EHCOSPROD-45426] Video grupal instantánea - sesión y taller grupal
- v2.4.1 - EHCOSPROD-45084 Filtro de videoconferencias paciente 
Bloqueadas:
- [EHCOSPROD-43020] Cambios FILTROS pantalla Videoconferencia
Backlog:
- Estabilización Busqueda y filtros de sesiones
- Estabilización Wellbeing
- instalación de postgres11
- v2.5: EHCOSPROD-37551 Integración con EHR: elaboración de notas de evolución 
Reply:
    - [EHCOSPROD-45588] Errores en Notificaciones de datos vitales 
&gt; en local no se reproduce, se prepara una bd de qa limpia para validar que es un problema de scripts.
&gt; error en info vital data</t>
      </text>
    </comment>
    <comment ref="NE23" authorId="66" shapeId="0" xr:uid="{00000000-0006-0000-0100-0000DD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- [EHCOSPROD-45588] Errores en Notificaciones de datos vitales 
- [EHCOSPROD-45426] Video grupal instantánea - sesión y taller grupal
- v2.4.1 - EHCOSPROD-45084 Filtro de videoconferencias paciente 
Bloqueadas:
- [EHCOSPROD-43020] Cambios FILTROS pantalla Videoconferencia
Backlog:
- Estabilización Busqueda y filtros de sesiones
- Estabilización Wellbeing
- instalación de postgres11
- v2.5: EHCOSPROD-37551 Integración con EHR: elaboración de notas de evolución 
Reply:
    Avance:
-----------------------------------
- [EHCOSPROD-45588] Errores en Notificaciones de datos vitales 
&gt; Corregido, generando dump de QA limpio para reproducir en LOCAL, validado con grecia
- v2.4.1 - EHCOSPROD-45084 Filtro de videoconferencias paciente 
&gt; empezando evolutivo</t>
      </text>
    </comment>
    <comment ref="NF23" authorId="67" shapeId="0" xr:uid="{00000000-0006-0000-0100-0000DE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- v2.4.1 - EHCOSPROD-45084 Filtro de videoconferencias paciente 
Bloqueadas:
- [EHCOSPROD-43020] Cambios FILTROS pantalla Videoconferencia
Backlog:
- Estabilización Busqueda y filtros de sesiones
- Estabilización Wellbeing
- instalación de postgres11
- v2.5: EHCOSPROD-37551 Integración con EHR: elaboración de notas de evolución 
Reply:
    Avance:
-----------------------------------
- v2.4.1: EHCOSPROD-45084 Filtro de videoconferencias paciente - fin 30/03
&gt; avanzando</t>
      </text>
    </comment>
    <comment ref="NG23" authorId="68" shapeId="0" xr:uid="{00000000-0006-0000-0100-0000DF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- Pruebas versión 2.4 - error de hora de cita
&gt; Revisar 03_data/012 - EHCOSPROD-44046.sql ¿cfg ehrs.push_notification_typedevice?
- v2.4.1: EHCOSPROD-45084 Filtro de videoconferencias paciente - fin 30/03
Bloqueadas:
- [EHCOSPROD-43020] Cambios FILTROS pantalla Videoconferencia
Backlog:
- Estabilización Busqueda y filtros de sesiones
- Estabilización Wellbeing
- instalación de postgres11
- v2.5: EHCOSPROD-37551 Integración con EHR: elaboración de notas de evolución 
Reply:
    Avance:
-----------------------------------
- v2.4.1: EHCOSPROD-45084 Filtro de videoconferencias paciente - fin 30/03
&gt; avanzando evolutivo
- Faltaban etiquetas en catalan 
&gt; corregido
- Pruebas versión 2.4 - error de hora de cita
&gt; corregido
&gt; Revisar 03_data/012 - EHCOSPROD-44046.sql ¿cfg ehrs.push_notification_typedevice?
&gt;revisado</t>
      </text>
    </comment>
    <comment ref="NJ23" authorId="69" shapeId="0" xr:uid="{00000000-0006-0000-0100-0000E0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&gt; Subir etiquetas en catalan al trunk y avisar a marcos
&gt; Actualizar JIRA, si faltan tareas apuntarlo para solicitarlas a grecia
- [EHCOSPROD-45588] Errores en Notificaciones de datos vitales 
&gt; actualizar JIRA
- v2.4.1: EHCOSPROD-45084 Filtro de videoconferencias paciente - fin 30/03
Backlog:
- instalación de postgres11
- v2.5: EHCOSPROD-37551 Integración con EHR: elaboración de notas de evolución
Reply:
    Avance:
-----------------------------------
- v2.4.1: [EHCOSPROD-45084] Filtro de videoconferencias paciente - fin 30/03
&gt; Terminado, pendiente de pruebas en local con grecia
&gt; Subir etiquetas en catalan al trunk y avisar a marcos</t>
      </text>
    </comment>
    <comment ref="NK23" authorId="70" shapeId="0" xr:uid="{00000000-0006-0000-0100-0000E1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&gt; Actualizar JIRA, si faltan tareas apuntarlo para solicitarlas a grecia
- [EHCOSPROD-45588] Errores en Notificaciones de datos vitales 
&gt; ¿pendiente de actualizar JIRA?
- v2.4.1: [EHCOSPROD-45084] Filtro de videoconferencias paciente - fin 30/03
&gt; ¿pendiente de pruebas en local con grecia y dl?
- v2.4.1: [EHCOSPROD-42384] Lista de pacientes en la videoconferencia - conectados primer
- v2.4.1: [EHCOSPROD-44290] Error al añadir un grupo dentro de otro 
Backlog:
- v2.4.1: [EHCOSPROD-44901] Separar idioma app y web
- v2.4.1: [EHCOSPROD-43791] Idioma servicio perfil 360 
- v2.4.1: [EHCOSPROD-43810] Error en idioma del correo de soporte técnico parte publica 
- instalación de postgres11
- v2.5: EHCOSPROD-37551 Integración con EHR: elaboración de notas de evolución
Reply:
    Avance:
-----------------------------------
&gt; Avance 30/03/2021: Parcial por caida de internet
- v2.4.1: [EHCOSPROD-45084] Filtro de videoconferencias paciente - fin 30/03
&gt; terminado desarrollo, pendiente de pruebas</t>
      </text>
    </comment>
    <comment ref="NL23" authorId="71" shapeId="0" xr:uid="{00000000-0006-0000-0100-0000E2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OSVALDO
Tareas planificadas:
- v2.4.1: [EHCOSPROD-45084] Filtro de videoconferencias paciente - fin 30/03
&gt; ¿pendiente de pruebas en local con grecia y documentar dl?
- v2.4.1: [EHCOSPROD-42384] Lista de pacientes en la videoconferencia - conectados primer
- v2.4.1: [EHCOSPROD-45845] Visualizacion de sesiones perfil profesional/moderador invitado en la WEB
- v2.4.1: [EHCOSPROD-44290] Error al añadir un grupo dentro de otro 
Backlog:
- v2.4.1: [EHCOSPROD-44901] Separar idioma app y web
- v2.4.1: [EHCOSPROD-43791] Idioma servicio perfil 360 
- v2.4.1: [EHCOSPROD-43810] Error en idioma del correo de soporte técnico parte publica 
- v2.4.1: [EHCOSPROD-45870] Envio de correo posiblemente cambia el idioma de la WEB
- instalación de postgres11
- v2.5: EHCOSPROD-37551 Integración con EHR: elaboración de notas de evolución </t>
      </text>
    </comment>
    <comment ref="KD24" authorId="72" shapeId="0" xr:uid="{00000000-0006-0000-0100-0000E3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Evolutivo 2.4
EHCOSPROD-42436: Video N:M</t>
      </text>
    </comment>
    <comment ref="KE24" authorId="73" shapeId="0" xr:uid="{00000000-0006-0000-0100-0000E4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 médica por 4 días</t>
      </text>
    </comment>
    <comment ref="KK24" authorId="0" shapeId="0" xr:uid="{00000000-0006-0000-0100-0000E5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EHCOSPROD-43036 - Error al crear usuarios en demosarg de WE (crear nueva entidad)
Remote 2.4: 
- EHCOSPROD-42436 - Videoconferencia N:M: visualización invitados en la video (desarrollo)
- EHCOSPROD-43106 - Permitir cuenta de google analytics por entidad (pruebas con cuentas adicionales)
Remote 2.6: 
- EHCOSPROD-42617 - Homogeneizar lógicas de envío de correos
- EHCOSPROD-42660 - Control de acceso a Remote OnPremise -&gt; implantar el sistema de gestión licencias de licencias que se utiliza en otros productos ehCOS. Revisar con arquitectura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EHCOSPROD-43036 - Error al crear usuarios en demosarg de WE (crear nueva entidad)
Remote 2.4: 
- EHCOSPROD-42436 - Videoconferencia N:M: visualización invitados en la video (desarrollo)
- EHCOSPROD-43106 - Permitir cuenta de google analytics por entidad (pruebas con cuentas adicionales)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EHCOSPROD-42281 - Configuración de idiomas por entidad, EHCOSPROD-40837 - Añadir posibilidad de mantener más de 3 idiomas por instalación (desarollo)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L24" authorId="0" shapeId="0" xr:uid="{00000000-0006-0000-0100-0000E6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EHCOSPROD-43036 - Error al crear usuarios en demosarg de WE (crear nueva entidad)
Remote 2.4: 
- desarrollo evolutivos video N:M
Remote 2.6: 
- EHCOSPROD-42617 - Homogeneizar lógicas de envío de correos
- EHCOSPROD-42660 - Control de acceso a Remote OnPremise -&gt; implantar el sistema de gestión licencias de licencias que se utiliza en otros productos ehCOS. Revisar con arquitectura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EHCOSPROD-43036 - Error al crear usuarios en demosarg de WE (crear nueva entidad)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EHCOSPROD-42281 - Configuración de idiomas por entidad, EHCOSPROD-40837 - Añadir posibilidad de mantener más de 3 idiomas por instalación (desarollo)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H24" authorId="0" shapeId="0" xr:uid="{00000000-0006-0000-0100-0000E7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puesta al día
Remote 2.4: 
- correctivos: EHCOSPROD-43708 - Envió paralelo de correos para planificaciones
- EHCOSPROD-42439 - Videoconferencia N:M: Gestión de estados en la videoconferencia (lectura documentación, preparar entorno, desarrollo)
- daily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Remote 2.6: 
- EHCOSPROD-42617 - Homogeneizar lógicas de envío de correos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EHCOSPROD-42281 - Configuración de idiomas por entidad, EHCOSPROD-40837 - Añadir posibilidad de mantener más de 3 idiomas por instalación (desarollo)
- EHCOSPROD-42660 - Control de acceso a Remote OnPremise -&gt; implantar el sistema de gestión licencias de licencias que se utiliza en otros productos ehCOS. Revisar con arquitectura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I24" authorId="0" shapeId="0" xr:uid="{00000000-0006-0000-0100-0000E8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2.3.4: 
- correctivos: EHCOSPROD-44121
Remote 2.4: 
- correctivos: EHCOSPROD-43708 - Envió paralelo de correos para planificaciones
- EHCOSPROD-42439 - Videoconferencia N:M: Gestión de estados en la videoconferencia (lectura documentación, preparar entorno, desarrollo)
- daily</t>
        </r>
        <r>
          <rPr>
            <b/>
            <sz val="8"/>
            <color indexed="81"/>
            <rFont val="Tahoma"/>
            <family val="2"/>
          </rPr>
          <t xml:space="preserve">
Avance:
Remote 2.3.4: 
- correctivos: EHCOSPROD-44121
Remote 2.4: 
- correctivos: EHCOSPROD-43708 - Envió paralelo de correos para planificaciones
- daily
Backlog:
</t>
        </r>
        <r>
          <rPr>
            <sz val="8"/>
            <color indexed="81"/>
            <rFont val="Tahoma"/>
            <family val="2"/>
          </rPr>
          <t>Remote 2.6: 
- EHCOSPROD-42617 - Homogeneizar lógicas de envío de correos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EHCOSPROD-42281 - Configuración de idiomas por entidad, EHCOSPROD-40837 - Añadir posibilidad de mantener más de 3 idiomas por instalación (desarollo)
- EHCOSPROD-42660 - Control de acceso a Remote OnPremise -&gt; implantar el sistema de gestión licencias de licencias que se utiliza en otros productos ehCOS. Revisar con arquitectura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J24" authorId="0" shapeId="0" xr:uid="{00000000-0006-0000-0100-0000E9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Remote 2.4: 
- correctivos: EHCOSPROD-43708 (</t>
        </r>
        <r>
          <rPr>
            <b/>
            <sz val="8"/>
            <color indexed="81"/>
            <rFont val="Tahoma"/>
            <family val="2"/>
          </rPr>
          <t>registro horas jira</t>
        </r>
        <r>
          <rPr>
            <sz val="8"/>
            <color indexed="81"/>
            <rFont val="Tahoma"/>
            <family val="2"/>
          </rPr>
          <t>)
- EHCOSPROD-42436 - Videoconferencia N:M: visualización invitados en la video (estabilización):  EHCOSPROD-44231
- EHCOSPROD-42439 - Videoconferencia N:M: Gestión de estados en la videoconferencia (lectura documentación, preparar entorno, desarrollo)
- daily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Remote 2.6: 
- EHCOSPROD-42617 - Homogeneizar lógicas de envío de correos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EHCOSPROD-42281 - Configuración de idiomas por entidad, EHCOSPROD-40837 - Añadir posibilidad de mantener más de 3 idiomas por instalación (desarollo)
- EHCOSPROD-42660 - Control de acceso a Remote OnPremise -&gt; implantar el sistema de gestión licencias de licencias que se utiliza en otros productos ehCOS. Revisar con arquitectura</t>
        </r>
        <r>
          <rPr>
            <b/>
            <sz val="8"/>
            <color indexed="81"/>
            <rFont val="Tahoma"/>
            <family val="2"/>
          </rPr>
          <t xml:space="preserve">
Remote 2.3.7
- correctivos: EHCOSPROD-44690, EHCOSPROD-44396</t>
        </r>
      </text>
    </comment>
    <comment ref="LM24" authorId="0" shapeId="0" xr:uid="{00000000-0006-0000-0100-0000EA020000}">
      <text>
        <r>
          <rPr>
            <b/>
            <sz val="8"/>
            <color indexed="81"/>
            <rFont val="Tahoma"/>
            <family val="2"/>
          </rPr>
          <t>Asistencia al médico por dolor en una mano, recibe licencia médica toda la semana pendiente de evolución</t>
        </r>
      </text>
    </comment>
    <comment ref="LO24" authorId="0" shapeId="0" xr:uid="{00000000-0006-0000-0100-0000EB020000}">
      <text>
        <r>
          <rPr>
            <b/>
            <sz val="8"/>
            <color indexed="81"/>
            <rFont val="Tahoma"/>
            <family val="2"/>
          </rPr>
          <t>Comunican que tras consultar con un especialista se amplia la baja hasta el 1 de Marzo</t>
        </r>
      </text>
    </comment>
    <comment ref="MH24" authorId="0" shapeId="0" xr:uid="{00000000-0006-0000-0100-0000EC02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puesta al día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Remote 2.3.7
- correctivos fin 02/03
Remote 2.4
- EHCOSPROD-44046 - Integracion Wellbeling con pantallas de ehcos remote (lectura documentación, preparar entorno, desarrollo con Osvaldo) inicio 03/03, fin 09/03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Daily</t>
        </r>
        <r>
          <rPr>
            <b/>
            <sz val="8"/>
            <color indexed="81"/>
            <rFont val="Tahoma"/>
            <family val="2"/>
          </rPr>
          <t xml:space="preserve">
Avance:
- EHCOSPROD-44396 - Los estilos del cuestionario no se guardan
&gt; terminado
- EHCOSPROD-44690 - Error al editar cuestionario 
&gt; en progreso con dudas
Backlog:
</t>
        </r>
      </text>
    </comment>
    <comment ref="MI24" authorId="0" shapeId="0" xr:uid="{00000000-0006-0000-0100-0000ED020000}">
      <text>
        <r>
          <rPr>
            <b/>
            <sz val="11"/>
            <color rgb="FF000000"/>
            <rFont val="Calibri"/>
            <family val="2"/>
          </rPr>
          <t xml:space="preserve">Tareas planificadas:
</t>
        </r>
        <r>
          <rPr>
            <sz val="11"/>
            <color rgb="FF000000"/>
            <rFont val="Calibri"/>
            <family val="2"/>
          </rPr>
          <t xml:space="preserve">
- puesta al día
Remote 2.3.7
- correctivos inicio 01/03 fin 02/03
- EHCOSPROD-44201 - Si hay mas de una alerta en un cuestionario, solo llega la primera
- EHCOSPROD-44658 - Si se versiona un cuestionario, se pierden las notificaciones de formulario, sección y campos
Remote 2.4
- EHCOSPROD-44046 - Integracion Wellbeling con pantallas de ehcos remote (lectura documentación, preparar entorno, desarrollo con Osvaldo) inicio 03/03, fin 09/03
- Daily
</t>
        </r>
        <r>
          <rPr>
            <b/>
            <sz val="11"/>
            <color rgb="FF000000"/>
            <rFont val="Calibri"/>
            <family val="2"/>
          </rPr>
          <t>Avance:
- EHCOSPROD-44201 - Si hay mas de una alerta en un cuestionario, solo llega la primera
&gt; terminado
- EHCOSPROD-44658 - Si se versiona un cuestionario, se pierden las notificaciones de formulario, sección y campos
&gt; en progreso con dudas</t>
        </r>
        <r>
          <rPr>
            <sz val="11"/>
            <color rgb="FF000000"/>
            <rFont val="Calibri"/>
            <family val="2"/>
          </rPr>
          <t xml:space="preserve">
Backlog:
- Daily
Avance:
maqueta oracle, postgres
Backlog:
</t>
        </r>
      </text>
    </comment>
    <comment ref="MJ24" authorId="21" shapeId="0" xr:uid="{00000000-0006-0000-0100-0000EE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2.3.7
- correctivos inicio 01/03 fin 02/03
- EHCOSPROD-44658 - Si se versiona un cuestionario, se pierden las notificaciones de formulario, sección y campos
Remote 2.4
- EHCOSPROD-44046 - Integracion Wellbeling con pantallas de ehcos remote (lectura documentación, preparar entorno, desarrollo con Osvaldo) inicio 03/03, fin 09/03
- Daily
</t>
        </r>
        <r>
          <rPr>
            <b/>
            <sz val="9"/>
            <color indexed="81"/>
            <rFont val="Tahoma"/>
            <family val="2"/>
          </rPr>
          <t>Avance:</t>
        </r>
        <r>
          <rPr>
            <sz val="9"/>
            <color indexed="81"/>
            <rFont val="Tahoma"/>
            <family val="2"/>
          </rPr>
          <t xml:space="preserve">
Remote 2.3.7
- despliegue y generación war
- correctivos inicio 01/03 fin 02/03
- EHCOSPROD-44658 - Si se versiona un cuestionario, se pierden las notificaciones de formulario, sección y campos
- Daily
</t>
        </r>
        <r>
          <rPr>
            <b/>
            <sz val="9"/>
            <color indexed="81"/>
            <rFont val="Tahoma"/>
            <family val="2"/>
          </rPr>
          <t>Backlog:</t>
        </r>
      </text>
    </comment>
    <comment ref="MK24" authorId="21" shapeId="0" xr:uid="{00000000-0006-0000-0100-0000EF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2.3.7
- correctivos, despliegue
Remote 2.4
- EHCOSPROD-44046 - Integracion Wellbeling con pantallas de ehcos remote (lectura documentación, preparar entorno, desarrollo con Osvaldo) inicio 03/03, fin 09/03
- correctivos
- Daily
</t>
        </r>
        <r>
          <rPr>
            <b/>
            <sz val="9"/>
            <color indexed="81"/>
            <rFont val="Tahoma"/>
            <family val="2"/>
          </rPr>
          <t>Avance: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- [EHCOSPROD-44046] Integracion Wellbeling con pantallas de ehcos remote  inicio 03/03, fin 09/03 &gt; servicio rest
&gt; preparando entorno y bd dump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Backlog:</t>
        </r>
      </text>
    </comment>
    <comment ref="ML24" authorId="21" shapeId="0" xr:uid="{00000000-0006-0000-0100-0000F0020000}">
      <text>
        <r>
          <rPr>
            <b/>
            <sz val="9"/>
            <color indexed="81"/>
            <rFont val="Tahoma"/>
            <family val="2"/>
          </rPr>
          <t>Tareas planificadas:</t>
        </r>
        <r>
          <rPr>
            <sz val="9"/>
            <color indexed="81"/>
            <rFont val="Tahoma"/>
            <family val="2"/>
          </rPr>
          <t xml:space="preserve">
Remote 2.4:
- [EHCOSPROD-44046] Integracion Wellbeling con pantallas de ehcos remote  inicio 03/03, fin 09/03 &gt; servicio rest
- Scripts rollback 2.4
Estabilización:
- [EHCOSPROD-44231] Error en participantes videoconferencia &gt; Revisar con Grecia
- [EHCOSPROD-44946] Privilegio para ver participantes
Backlog:
- Estabilización Wellbeing
- instalación de postgres11
</t>
        </r>
        <r>
          <rPr>
            <b/>
            <sz val="9"/>
            <color indexed="81"/>
            <rFont val="Tahoma"/>
            <family val="2"/>
          </rPr>
          <t xml:space="preserve">Avance:
- [EHCOSPROD-44046] Integracion Wellbeling con pantallas de ehcos remote  inicio 03/03, fin 09/03 &gt; servicio rest
&gt; avanza en evolutivo y corrigiendo scripts
- [EHCOSPROD-44231] Error en participantes videoconferencia &gt; Validado. Ya no se replica el error.
</t>
        </r>
      </text>
    </comment>
    <comment ref="MO24" authorId="21" shapeId="0" xr:uid="{00000000-0006-0000-0100-0000F1020000}">
      <text>
        <r>
          <rPr>
            <sz val="11"/>
            <color rgb="FF000000"/>
            <rFont val="Calibri"/>
            <family val="2"/>
          </rPr>
          <t>Tareas planificadas:
Remote 2.4:
- Scripts rollback 2.4
- [EHCOSPROD-44046] Integracion Wellbeling con pantallas de ehcos remote  inicio 03/03, fin 09/03 &gt; servicio rest
Backlog:
- [EHCOSPROD-44946] Privilegio para ver participantes
- Estabilización Wellbeing
- instalación de postgres11
Avance:
- [EHCOSPROD-44046] Integracion Wellbeling con pantallas de ehcos remote inicio 03/03, fin 09/03 &gt; servicio rest
&gt; Avance en evolutivo, se termina hoy si se solucionan las dudas </t>
        </r>
      </text>
    </comment>
    <comment ref="MP24" authorId="74" shapeId="0" xr:uid="{00000000-0006-0000-0100-0000F2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Remote 2.4:
- Scripts rollback 2.4
- [EHCOSPROD-44046] Integracion Wellbeling con pantallas de ehcos remote inicio 03/03, fin 09/03 &gt; servicio rest
Backlog:
- [EHCOSPROD-44946] Privilegio para ver participantes
- Estabilización Wellbeing
- instalación de postgres11
Avance:
- [EHCOSPROD-44046] Integracion Wellbeling con pantallas de ehcos remote inicio 03/03, fin 09/03 &gt; servicio rest
&gt; terminado, pendiente de documentación, subir a QA para pruebas de integración</t>
      </text>
    </comment>
    <comment ref="MQ24" authorId="75" shapeId="0" xr:uid="{00000000-0006-0000-0100-0000F3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[EHCOSPROD-44046] Integracion Wellbeling con pantallas de ehcos remote inicio 03/03, fin 09/03 &gt; servicio rest
Remote 2.4:
- [EHCOSPROD-44946] Privilegio para ver participantes
- [EHCOSPROD-43742] Posición del footer privado en paciente/profesional 
- [EHCOSPROD-44062] Problemas UX al ejecutar cuestionario
- [EHCOSPROD-43214] Problemas de visualización de cuestionarios - Perfil Paciente 
Backlog:
- Estabilización Wellbeing
- instalación de postgres11
- Multidioma
- Control licencias
Reply:
Avance:
- [EHCOSPROD-44946] Privilegio para ver participantes
&gt; Terminado
- [EHCOSPROD-45229] Integracion Wellbeling - Pruebas formato antiguo de vital data
&gt; se intentan las pruebas con un dump nuevo de QA</t>
      </text>
    </comment>
    <comment ref="MR24" authorId="76" shapeId="0" xr:uid="{00000000-0006-0000-0100-0000F4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Remote 2.4:
- [EHCOSPROD-45229] Integracion Wellbeling - Pruebas formato antiguo de vital data
- [EHCOSPROD-43742] Posición del footer privado en paciente/profesional 
- [EHCOSPROD-44062] Problemas UX al ejecutar cuestionario
- [EHCOSPROD-43214] Problemas de visualización de cuestionarios - Perfil Paciente 
Backlog:
- Estabilización Wellbeing
- instalación de postgres11
- Multidioma
- Control licencias
Reply:
    Avance:
- [EHCOSPROD-45229] Integracion Wellbeling - Pruebas formato antiguo de vital data
&gt; terminado pruebas completadas, revisado los orden
- [EHCOSPROD-43742] Posición del footer privado en paciente/profesional 
&gt; terminado
- [EHCOSPROD-44062] Problemas UX al ejecutar cuestionario
&gt; empezando
&gt; Despliegue en PRE de 2.3</t>
      </text>
    </comment>
    <comment ref="MS24" authorId="77" shapeId="0" xr:uid="{00000000-0006-0000-0100-0000F5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Cuando avise Osvaldo, Merge de integracion con trunk de Wellbeing (carpeta trunk) 
- Subir scripts de Wellbeing con el correspondiente numero, version, log, rollback
- DL de Wellbeing parte rest y actualizar doc api rest
Remote 2.4:
- [EHCOSPROD-43214] Problemas de visualización de cuestionarios - Perfil Paciente 
- [EHCOSPROD-45210] Errores creación cuestionarios
Backlog:
- Estabilización Wellbeing
- instalación de postgres11
- Multidioma
- Control licencias
Reply:
    Avance:
- Merge de integracion con trunk de Wellbeing (carpeta trunk) 
- Subir scripts de Wellbeing con el correspondiente numero, version, log, rollback
&gt; terminados 
- [EHCOSPROD-43214] Problemas de visualización de cuestionarios - Perfil Paciente 
&gt; Problemas para reproducir,
- [EHCOSPROD-45210] Errores creación cuestionarios
&gt; Avanzando se puede reproducir en local
</t>
      </text>
    </comment>
    <comment ref="MV24" authorId="78" shapeId="0" xr:uid="{00000000-0006-0000-0100-0000F6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Remote 2.4:
- [EHCOSPROD-45210] Errores creación cuestionarios
- [EHCOSPROD-45358] Error crear cuestionario. Se borra lo registrado
- [EHCOSPROD-43214] Problemas de visualización de cuestionarios - Perfil Paciente &gt; Pausada: Dudas para reproducir el problema
Backlog:
- Estabilización Wellbeing
- instalación de postgres11
- Multidioma
- Control licencias
Reply:
    Avance:
-----------------------------------
- [EHCOSPROD-45210] Errores creación cuestionarios 
&gt; investigando el stackoverflow  </t>
      </text>
    </comment>
    <comment ref="MW24" authorId="79" shapeId="0" xr:uid="{00000000-0006-0000-0100-0000F7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[EHCOSPROD-45210] Errores creación cuestionarios 
- [EHCOSPROD-45358] Error crear cuestionario. Se borra lo registrado
- [EHCOSPROD-43214] Problemas de visualización de cuestionarios - Perfil Paciente 
&gt; Pausada: Dudas para reproducir el problema
Backlog:
- Estabilización Wellbeing
- instalación de postgres11
- Multidioma
- Control licencias
Reply:
    Avance:
-----------------------------------
- [EHCOSPROD-45210] Errores creación cuestionarios 
&gt; se corrige parcialmente, se sigue investigando
- [EHCOSPROD-45358] Error crear cuestionario. Se borra lo registrado
&gt; terminado, no se reproduce
- [EHCOSPROD-43214] Problemas de visualización de cuestionarios - Perfil Paciente 
&gt; Pausada: Dudas para reproducir el problema</t>
      </text>
    </comment>
    <comment ref="MX24" authorId="80" shapeId="0" xr:uid="{00000000-0006-0000-0100-0000F8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[EHCOSPROD-45210] Errores creación cuestionarios 
- [EHCOSPROD-43214] Problemas de visualización de cuestionarios - Perfil Paciente 
- Pruebas de servicio de datos vitales con grecia
- Preparar nueva bd local con dump de PRO, y anonimizarlo con scripts/remotehs_anonymized.sql
Backlog:
- Estabilización Wellbeing
- instalación de postgres11
- Multidioma
- Control licencias
Reply:
    Avance:
-----------------------------------
- Pruebas de servicio de datos vitales con grecia
&gt; realizado
- Preparar nueva bd local con dump de PRO, y anonimizarlo con scripts/remotehs_anonymized.sql
&gt; realizado
- [EHCOSPROD-45512] Servicio deviceList no toma en cuenta nuevos dispositivos
&gt; nueva tarea prioritaria y terminada
- [EHCOSPROD-45229] Integracion Wellbeling - Pruebas formato antiguo de vital data 
&gt; ajustes detectados
</t>
      </text>
    </comment>
    <comment ref="MY24" authorId="81" shapeId="0" xr:uid="{00000000-0006-0000-0100-0000F9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[EHCOSPROD-45229] Integracion Wellbeling - Pruebas formato antiguo de vital data &gt; Recuperar servicios antiguos de datos vitales para mantener compatibilidad
- [EHCOSPROD-43214] Problemas de visualización de cuestionarios - Perfil Paciente 
- [EHCOSPROD-45358] Error crear cuestionario. Se borra lo registrado &gt; devuelta
Backlog:
- Estabilización Wellbeing
- instalación de postgres11
- Multidioma
- Control licencias
Reply:
    Avance:
-----------------------------------
- [EHCOSPROD-43214] Problemas de visualización de cuestionarios - Perfil Paciente 
&gt; terminada
- [EHCOSPROD-45564] Request de values de dispositivos nuevos no trae resultados correctos
&gt; nueva y terminada
- [EHCOSPROD-45512] Servicio deviceList no toma en cuenta nuevos dispositivos
&gt; Pruebas despues de recuperar servicios antiguos de datos vitales para mantener compatibilidad
</t>
      </text>
    </comment>
    <comment ref="MZ24" authorId="82" shapeId="0" xr:uid="{00000000-0006-0000-0100-0000FA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[EHCOSPROD-45358] Error crear cuestionario. Se borra lo registrado &gt; devuelta
- 019 - EHCOSPROD-44046.sql &gt; revisar script falla en QA
Backlog:
- Estabilización Wellbeing
- instalación de postgres11
- Versión 2.4.1 EHCOSPROD-43163 Incluir Exportación de Datos de personas – backoffice
- Versión 2.4.1 EHCOSPROD-44901 Separar idioma app y web 
Reply:
    Avance:
-----------------------------------
- [EHCOSPROD-45358] Error crear cuestionario. Se borra lo registrado 
&gt; terminado, pendiente de despliegue
- [EHCOSPROD-45585] Error con nuevo servicio listNew 
&gt; nueva y corregida
- 019 - EHCOSPROD-44046.sql &gt; revisar script falla en QA
&gt; faltaba ejecucion de scripts anteriores</t>
      </text>
    </comment>
    <comment ref="NC24" authorId="83" shapeId="0" xr:uid="{00000000-0006-0000-0100-0000FB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[EHCOSPROD-45578] Gráficas datos vitales. Errores detectados 
- v2.4.1 - [EHCOSPROD-43163] Incluir Exportación de Datos de personas – backoffice
Backlog:
- Soporte nuevo compañero
- Estabilización Wellbeing
- instalación de postgres11
- v2.4.1 - EHCOSPROD-44901 Separar idioma app y web 
Reply:
    Avance:
-----------------------------------
- [EHCOSPROD-45578] Gráficas datos vitales. Errores detectados 
&gt; devuelta y terminada
- v2.4.1 - [EHCOSPROD-43163] Incluir Exportación de Datos de personas – backoffice
&gt; iniciada</t>
      </text>
    </comment>
    <comment ref="ND24" authorId="84" shapeId="0" xr:uid="{00000000-0006-0000-0100-0000FC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v2.4.1 - [EHCOSPROD-43163] Incluir Exportación de Datos de personas – backoffice
Backlog:
- Estabilización Wellbeing
- instalación de postgres11
- Soporte nuevo compañero
- v2.4.1 - EHCOSPROD-44901 Separar idioma app y web 
Reply:
    Avance:
-----------------------------------
- [EHCOSPROD-45578] Gráficas datos vitales. Errores detectados 
&gt; devuelta y terminada
&gt; corregido datos vitales sin identificador
- v2.4.1 - [EHCOSPROD-43163] Incluir Exportación de Datos de personas – backoffice
&gt; avanzando
&gt; Soporte a Javier</t>
      </text>
    </comment>
    <comment ref="NE24" authorId="85" shapeId="0" xr:uid="{00000000-0006-0000-0100-0000FD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v2.4.1 - [EHCOSPROD-43163] Incluir Exportación de Datos de personas – backoffice &gt; fin 26/03
Backlog:
- Estabilización Wellbeing
- instalacion de oracle 12 y documentarlo en la wiki
- instalación de postgres11
- Soporte nuevo compañero
- v2.4.1 - EHCOSPROD-44901 Separar idioma app y web 
Reply:
    Avance:
-----------------------------------
- v2.4.1 - [EHCOSPROD-43163] Incluir Exportación de Datos de personas – backoffice
&gt; avanzando
&gt; problemas con dispositivos manuales
&gt; Soporte a Javier</t>
      </text>
    </comment>
    <comment ref="NF24" authorId="86" shapeId="0" xr:uid="{00000000-0006-0000-0100-0000FE02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v2.4.1 - [EHCOSPROD-43163] Incluir Exportación de Datos de personas – backoffice &gt; fin 26/03
Backlog:
- Estabilización Wellbeing
- instalacion de oracle 12 y documentarlo en la wiki
- instalación de postgres11
- Soporte nuevo compañero
- v2.4.1 - EHCOSPROD-44901 Separar idioma app y web 
Reply:
    Avance:
-----------------------------------
- v2.4.1: [EHCOSPROD-43163] Incluir Exportación de Datos de personas – backoffice &gt; fin 26/03
&gt; terminado</t>
      </text>
    </comment>
    <comment ref="NG24" authorId="87" shapeId="0" xr:uid="{00000000-0006-0000-0100-0000FF02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&gt; Revisar 03_data/011 - EHCOSPROD-44946.sql ¿duplicado?
- v2.4.1: [EHCOSPROD-43163] Incluir Exportación de Datos de personas – backoffice &gt; fin 26/03
Backlog:
- Estabilización Wellbeing
- v2.4.1: EHCOSPROD-44901 Separar idioma app y web 
- instalacion de oracle 12 y documentarlo en la wiki
- instalación de postgres11
- Soporte nuevo compañero
Reply:
    Avance:
-----------------------------------
&gt; Revisado 03_data/011 - EHCOSPROD-44946.sql ¿duplicado?
- v2.4.1: [EHCOSPROD-43163] Incluir Exportación de Datos de personas – backoffice &gt; fin 26/03 &gt; Actualizar JIRA
&gt; terminado desarrollo y documentacion, faltan pruebas validacion en local con grecia
&gt; esperar a mañana para merge en el trunk
&gt; Soporte a Javier
</t>
      </text>
    </comment>
    <comment ref="NJ24" authorId="88" shapeId="0" xr:uid="{00000000-0006-0000-0100-000000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&gt; Actualizar JIRA, si faltan tareas apuntarlo para solicitarlas a grecia
- [EHCOSPROD-45512] Servicio deviceList no toma en cuenta nuevos dispositivos 
&gt; Actualizar JIRA
- v2.4.1: [EHCOSPROD-43163] Incluir Exportación de Datos de personas – backoffice - fin 26/03 
&gt; Actualizar JIRA y pruebas local con grecia, esperar a mañana para merge en el trunk
- [EHCOSPROD-40837] Añadir posibilidad de mantener más de 3 idiomas por instalación 
&gt; revisar para retomar tarea
- [EHCOSPROD-42281] Configuración de idiomas por entidad 
&gt; revisar para retomar tarea
Backlog:
- Nuevo JIRA - Similar a 42281 para configurar idiomas de Frases del dia
- instalacion de oracle 12 y documentarlo en la wiki
- instalación de postgres11
- Soporte nuevo compañero
Reply:
    Avance:
-----------------------------------
&gt; Actualizar JIRA
- Soporte nuevo compañero
- v2.4.1: [EHCOSPROD-43163] Incluir Exportación de Datos de personas – backoffice - fin 26/03 
&gt; pendiente de merge en trunk
- EHCOSPROD-40837, EHCOSPROD-42281 
&gt; retomando evolutivos de multidiomas, realizado merge sin conflictos y revisando conflictos scripts.</t>
      </text>
    </comment>
    <comment ref="NK24" authorId="89" shapeId="0" xr:uid="{00000000-0006-0000-0100-000001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&gt; Actualizar JIRA, si faltan tareas apuntarlo para solicitarlas a grecia
- v2.4.1: [EHCOSPROD-43163] Incluir Exportación de Datos de personas – backoffice - fin 26/03 
&gt; ¿Falta documentar DL?
- [EHCOSPROD-40837] Añadir posibilidad de mantener más de 3 idiomas por instalación 
&gt; revisar para retomar tarea
- [EHCOSPROD-42281] Configuración de idiomas por entidad 
&gt; revisar para retomar tarea
Backlog:
- Nuevo JIRA - Similar a 42281 para configurar idiomas de Frases del dia
- instalacion de oracle 12 y documentarlo en la wiki
- instalación de postgres11
- Soporte nuevo compañero
Reply:
    Avance:
-----------------------------------
- v2.5: [EHCOSPROD-42281] Configuración de idiomas por entidad 
&gt; terminando de estabilizar y pruebas
- v2.5: [EHCOSPROD-40837] Añadir posibilidad de mantener más de 3 idiomas por instalación 
&gt; revisado con dudas de scripts</t>
      </text>
    </comment>
    <comment ref="NL24" authorId="90" shapeId="0" xr:uid="{00000000-0006-0000-0100-000002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v2.4.1: [EHCOSPROD-43163] Incluir Exportación de Datos de personas – backoffice - fin 26/03 
&gt; Merge al trunk y copiar DL al onedrive
- v2.5: [EHCOSPROD-42281] Configuración de idiomas por entidad 
&gt; revisar para retomar tarea
- v2.5: [EHCOSPROD-40837] Añadir posibilidad de mantener más de 3 idiomas por instalación 
&gt; revisar para retomar tarea
Backlog:
- Nuevo JIRA - Similar a 42281 para configurar idiomas de Frases del dia
- instalacion de oracle 12
- instalación de postgres11
- Soporte nuevo compañero</t>
      </text>
    </comment>
    <comment ref="NC25" authorId="91" shapeId="0" xr:uid="{00000000-0006-0000-0100-000003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Acabar de solventar error de configuración de entorno
Importar dump, ver que pasa con el entorno
Avance:
Acabar la configuración de entorno
Crear segunda instancia de ORACLE
Importar dump ORACLE
Backlog:</t>
      </text>
    </comment>
    <comment ref="NE25" authorId="92" shapeId="0" xr:uid="{00000000-0006-0000-0100-000004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ANDRÉS
Tareas planificadas:
- Preparacion de entorno: eclipse, JDK, MAVEN, POSTGRES 11, SVN, ehcos-server
- Preparacion de workspace: trunk remote, scripts en local.
Backlog:
- Configurar: PC, SVN, JIRA, VPN
- Documentacion Funcional remote
https://web.microsoftstream.com/video/dce91649-b79d-4b78-a643-9d56dd19e54d
- Documentacion Tecnica remote
https://everisgroup-my.sharepoint.com/:f:/g/personal/lgalvanm_everis_com/ErT2x2FIjDhPqDrxzHnXA2YBj6yQjrsuBuxoH1cQOLL7kQ?e=2Spbfa
- Vacaciones del 5 al 19 de Abril (ultimas vacaciones FY20)
Reply:
    Anterior:
-----------------------------------
&gt; Terminado configuración de Entorno y puede levantar el proyecto</t>
      </text>
    </comment>
    <comment ref="NF25" authorId="93" shapeId="0" xr:uid="{00000000-0006-0000-0100-00000503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 ANDRÉS
Tareas planificadas:
- Preparacion de entorno: eclipse, JDK, MAVEN, POSTGRES 11, SVN, ehcos-server
- Preparacion de workspace: trunk remote, scripts en local.
Backlog:
- Configurar: PC, SVN, JIRA, VPN
- Documentacion Funcional remote
https://web.microsoftstream.com/video/dce91649-b79d-4b78-a643-9d56dd19e54d
- Documentacion Tecnica remote
https://everisgroup-my.sharepoint.com/:f:/g/personal/lgalvanm_everis_com/ErT2x2FIjDhPqDrxzHnXA2YBj6yQjrsuBuxoH1cQOLL7kQ?e=2Spbfa
- Vacaciones del 5 al 19 de Abril (ultimas vacaciones FY20)
Reply:
    Avance:
-----------------------------------
&gt; Problemas intentando entrar en web local
</t>
      </text>
    </comment>
    <comment ref="NG25" authorId="94" shapeId="0" xr:uid="{00000000-0006-0000-0100-000006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ANDRÉS
Tareas planificadas:
- Preparacion de entorno: eclipse, JDK, MAVEN, POSTGRES 11, SVN, ehcos-server
- Preparacion de workspace: trunk remote, scripts en local.
- Configurar WIKI
Backlog:
- Configurar: PC, SVN, JIRA, VPN
- Documentacion Funcional remote
https://web.microsoftstream.com/video/dce91649-b79d-4b78-a643-9d56dd19e54d
- Documentacion Tecnica remote
https://everisgroup-my.sharepoint.com/:f:/g/personal/lgalvanm_everis_com/ErT2x2FIjDhPqDrxzHnXA2YBj6yQjrsuBuxoH1cQOLL7kQ?e=2Spbfa
- Vacaciones del 5 al 19 de Abril (ultimas vacaciones FY20)
Reply:
    Avance:
-----------------------------------
- Preparacion de entorno: eclipse, JDK, MAVEN, POSTGRES 11, SVN, ehcos-server
- Preparacion de workspace: trunk remote, scripts en local.
- Configurar: PC, SVN, JIRA, VPN, JREBEL
&gt; Corregido el login en web local
&gt; Actualizada la wiki
&gt; Configurar oracle.</t>
      </text>
    </comment>
    <comment ref="NJ25" authorId="95" shapeId="0" xr:uid="{00000000-0006-0000-0100-00000703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 ANDRÉS
Tareas planificadas:
- Configurar workspace en WIKI
- Documentacion Funcional remote
https://web.microsoftstream.com/video/dce91649-b79d-4b78-a643-9d56dd19e54d
- Documentacion Tecnica remote
https://everisgroup-my.sharepoint.com/:f:/g/personal/lgalvanm_everis_com/ErT2x2FIjDhPqDrxzHnXA2YBj6yQjrsuBuxoH1cQOLL7kQ?e=2Spbfa
Backlog:
- v2.4.1: [EHCOSPROD-42838] Remote debe ser responsive en navegador mobile
- v2.4.1: [EHCOSPROD-44901] Separar idioma app y web
- v2.4.1: [EHCOSPROD-43791] Idioma servicio perfil 360 
- v2.4.1: [EHCOSPROD-44290] Error al añadir un grupo dentro de otro 
- v2.4.1: [EHCOSPROD-43810] Error en idioma del correo de soporte técnico parte publica 
- Vacaciones del 5 al 19 de Abril (ultimas vacaciones FY20)
Reply:
    Avance:
-----------------------------------
- Configurar workspace en WIKI
&gt; realizado
- Configurado Oracle
&gt; realizado
</t>
      </text>
    </comment>
    <comment ref="NK25" authorId="96" shapeId="0" xr:uid="{00000000-0006-0000-0100-000008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ANDRÉS
Tareas planificadas:
- v2.4.1: [EHCOSPROD-42838] Remote debe ser responsive en navegador mobile
- formacion tecnica ZK (zooms de sesión_0_introduccón, sesion_1_desarrollo, sesión_2_desarrollo, sesion_3_extension)
https://everisgroup-my.sharepoint.com/:f:/g/personal/lgalvanm_everis_com/Eh2uTdzMU45LiryouorjHcoBQWdIS_QcnKDM7_K4X9EVEg?e=2EaSyC
Backlog:
- Formación Argentina &gt; todavia no disponible
- Vacaciones del 5 al 19 de Abril (ultimas vacaciones FY20)
Reply:
    Avance:
-----------------------------------
- v2.4.1: [EHCOSPROD-42838] Remote debe ser responsive en navegador mobile
&gt; empezando con los ajustes visuales</t>
      </text>
    </comment>
    <comment ref="NL25" authorId="97" shapeId="0" xr:uid="{00000000-0006-0000-0100-00000903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v2.4.1: [EHCOSPROD-42838] Remote debe ser responsive en navegador mobile
- formacion tecnica ZK (zooms de sesión_0_introduccón, sesion_1_desarrollo, sesión_2_desarrollo, sesion_3_extension)
https://everisgroup-my.sharepoint.com/:f:/g/personal/lgalvanm_everis_com/Eh2uTdzMU45LiryouorjHcoBQWdIS_QcnKDM7_K4X9EVEg?e=2EaSyC
- Formacion de Metodologia
Backlog:
- Formacion creacion de rama para evolutivo, imputar en dt y actualizar jira
- Formación Argentina &gt; todavia no disponible
- Vacaciones del 5 al 19 de Abril (ultimas vacaciones FY20)
</t>
      </text>
    </comment>
    <comment ref="B26" authorId="0" shapeId="0" xr:uid="{00000000-0006-0000-0100-00000A030000}">
      <text>
        <r>
          <rPr>
            <b/>
            <sz val="8"/>
            <color indexed="81"/>
            <rFont val="Tahoma"/>
            <family val="2"/>
          </rPr>
          <t>Salida de la compañía el 23/12/2020</t>
        </r>
      </text>
    </comment>
    <comment ref="KK27" authorId="0" shapeId="0" xr:uid="{00000000-0006-0000-0100-00000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EHCOSPROD-38936: daily
5.15R
- EHCOSPROD-38585 - MULTICENTRO - Urgencias (seguimiento y soporte, organizar punto de control 11/01/2021)
- EHCOSPROD-38589 - MULTICENTRO - Hospitalización (revisión con el equipo de desarrollo, repartir tareas entre Sara y Hernán, soporte)
- EHCOSPROD-39455 - Visualización de dónde se encuentra el paciente (alerta amarilla de hospitalización) (revisión desarrollo y pruebas mínimas en el despliegue, Rodrigo de vacaciones esta semana, actualizar rama con el trunk, estabilización)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EHCOSPROD-38936: daily
5.15R
- EHCOSPROD-38585 - MULTICENTRO - Urgencias (seguimiento y soporte, organizar punto de control, pruebas)
- EHCOSPROD-38589 - MULTICENTRO - Hospitalización (revisión con el equipo de desarrollo, repartir tareas entre Sara y Hernán, soporte)
- EHCOSPROD-39455 - Visualización de dónde se encuentra el paciente (alerta amarilla de hospitalización) (revisión desarrollo y pruebas mínimas en el despliegue, Rodrigo de vacaciones esta semana, actualizar rama con el trunk, estabilización)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EHCOSPROD-39751: revisión correctivo comites
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L27" authorId="0" shapeId="0" xr:uid="{00000000-0006-0000-0100-00000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EHCOSPROD-38936: daily
5.15R
- EHCOSPROD-39455 - Visualización de dónde se encuentra el paciente (alerta amarilla de hospitalización) (actualizar rama con el trunk, ajustes)
- EHCOSPROD-38585 - MULTICENTRO - Urgencias (seguimiento y soporte)
- EHCOSPROD-38589 - MULTICENTRO - Hospitalización (revisión con el equipo de desarrollo, soporte)
- Estimaciones alto nivel Melo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EHCOSPROD-38936: daily
5.15R
- EHCOSPROD-39455 - Visualización de dónde se encuentra el paciente (alerta amarilla de hospitalización) (actualizar rama con el trunk, ajustes)
- EHCOSPROD-38585 - MULTICENTRO - Urgencias (seguimiento y soporte)
- EHCOSPROD-38589 - MULTICENTRO - Hospitalización (revisión con el equipo de desarrollo, soporte)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M27" authorId="0" shapeId="0" xr:uid="{00000000-0006-0000-0100-00000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EHCOSPROD-38936: daily
5.15R
- EHCOSPROD-39455 - Visualización de dónde se encuentra el paciente (alerta amarilla de hospitalización) (actualizar rama con el trunk, ajustes)
- Estimaciones alto nivel Melo
- EHCOSPROD-38585 - MULTICENTRO - Urgencias (revisión documentación, pruebas mínimas)
- EHCOSPROD-38589 - MULTICENTRO - Hospitalización (revisión con el equipo de desarrollo, soporte)
- EHCOSPROD-39751: revisión correctivo comites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EHCOSPROD-38936: daily
5.15R
- EHCOSPROD-39455 - Visualización de dónde se encuentra el paciente (alerta amarilla de hospitalización) (actualizar rama con el trunk, ajustes, merge branch al trunk)
- EHCOSPROD-38589 - MULTICENTRO - Hospitalización (revisión con el equipo de desarrollo, soporte)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N27" authorId="0" shapeId="0" xr:uid="{00000000-0006-0000-0100-00000E030000}">
      <text>
        <r>
          <rPr>
            <b/>
            <sz val="8"/>
            <color indexed="81"/>
            <rFont val="Tahoma"/>
            <family val="2"/>
          </rPr>
          <t xml:space="preserve">Tareas planificadas:
- </t>
        </r>
        <r>
          <rPr>
            <sz val="8"/>
            <color indexed="81"/>
            <rFont val="Tahoma"/>
            <family val="2"/>
          </rPr>
          <t>EHCOSPROD-38936: daily
- reunión ehCOS
5.15R
- EHCOSPROD-39455 - Visualización de dónde se encuentra el paciente (alerta amarilla de hospitalización) (revert commit a la rama, actualizar rama con el trunk, estabilización)
- Estimaciones alto nivel Melo
- EHCOSPROD-38585 - MULTICENTRO - Urgencias (revisión documentación, pruebas mínimas)
- EHCOSPROD-38589 - MULTICENTRO - Hospitalización (revisión documentación, pruebas mínimas)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EHCOSPROD-38936: daily
- reunión ehCOS
5.15R
- EHCOSPROD-39455 - Visualización de dónde se encuentra el paciente (alerta amarilla de hospitalización) (revert commit a la rama)
- Estimaciones alto nivel Melo
- EHCOSPROD-38585 - MULTICENTRO - Urgencias (revisión documentación, pruebas mínimas)
- EHCOSPROD-38589 - MULTICENTRO - Hospitalización (revisión documentación, pruebas mínimas)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O27" authorId="0" shapeId="0" xr:uid="{00000000-0006-0000-0100-00000F030000}">
      <text>
        <r>
          <rPr>
            <b/>
            <sz val="8"/>
            <color indexed="81"/>
            <rFont val="Tahoma"/>
            <family val="2"/>
          </rPr>
          <t xml:space="preserve">Tareas planificadas:
- </t>
        </r>
        <r>
          <rPr>
            <sz val="8"/>
            <color indexed="81"/>
            <rFont val="Tahoma"/>
            <family val="2"/>
          </rPr>
          <t>EHCOSPROD-38936: daily
5.15R
- EHCOSPROD-39455 - Visualización de dónde se encuentra el paciente (alerta amarilla de hospitalización) (actualizar rama con el trunk, estabilización)
- Estimaciones alto nivel Melo
- EHCOSPROD-38585 - MULTICENTRO - Urgencias (revisión documentación, pruebas mínimas)
- EHCOSPROD-38589 - MULTICENTRO - Hospitalización (revisión documentación, pruebas mínimas)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EHCOSPROD-38936: daily
5.15R
- Estimaciones alto nivel Melo
- EHCOSPROD-38585 - MULTICENTRO - Urgencias y EHCOSPROD-38589 - MULTICENTRO - Hospitalización (revisión documentación, pruebas mínimas, pruebas testlink)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R27" authorId="0" shapeId="0" xr:uid="{00000000-0006-0000-0100-000010030000}">
      <text>
        <r>
          <rPr>
            <b/>
            <sz val="8"/>
            <color indexed="81"/>
            <rFont val="Tahoma"/>
            <family val="2"/>
          </rPr>
          <t xml:space="preserve">Tareas planificadas:
- </t>
        </r>
        <r>
          <rPr>
            <sz val="8"/>
            <color indexed="81"/>
            <rFont val="Tahoma"/>
            <family val="2"/>
          </rPr>
          <t>EHCOSPROD-38936: daily
5.15R
- Estimaciones alto nivel Melo
- EHCOSPROD-38585 - MULTICENTRO - Urgencias y EHCOSPROD-38589 - MULTICENTRO - Hospitalización (revisión documentación, pruebas mínimas)
- EHCOSPROD-39455 - Visualización de dónde se encuentra el paciente (alerta amarilla de hospitalización) (actualizar rama con el trunk, estabilización)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EHCOSPROD-38936: daily
5.15R
- EHCOSPROD-38585 - MULTICENTRO - Urgencias y EHCOSPROD-38589 - MULTICENTRO - Hospitalización (revisión documentación, dudas pruebas)
- EHCOSPROD-39455 - Visualización de dónde se encuentra el paciente (alerta amarilla de hospitalización) (actualizar rama con el trunk, pruebas)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S27" authorId="0" shapeId="0" xr:uid="{00000000-0006-0000-0100-000011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(revisión documentación, dudas pruebas)
- EHCOSPROD-39455 - Visualización de dónde se encuentra el paciente (alerta amarilla de hospitalización) (actualizar rama con el trunk, estabilización)
- Estimaciones alto nivel Melo
- EHCOSPROD-38936: daily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(revisión documentación, dudas pruebas)
- EHCOSPROD-39455 - Visualización de dónde se encuentra el paciente (alerta amarilla de hospitalización) (actualizar rama con el trunk, estabilización)
- EHCOSPROD-38936: daily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T27" authorId="0" shapeId="0" xr:uid="{00000000-0006-0000-0100-000012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Generar rama 5.15R y merge desarrollo multicentro hospitalización y cpoe a la rama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(revisión documentación, dudas pruebas)
- EHCOSPROD-39455 - Visualización de dónde se encuentra el paciente (alerta amarilla de hospitalización) (actualizar rama con el trunk, estabilización)
- Estimaciones alto nivel Melo
- EHCOSPROD-38936: daily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(revisión documentación, dudas pruebas)
- Generar rama 5.15R y merge desarrollo multicentro hospitalización y cpoe a la rama
- EHCOSPROD-41846 - INTEGRACIÓN: ehCOS Clinic - ehCOS Triaje sincronización usuario (desarrollo)
- EHCOSPROD-39455 - Visualización de dónde se encuentra el paciente (alerta amarilla de hospitalización) (estabilización con Rodrigo)
- EHCOSPROD-38936: daily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U27" authorId="0" shapeId="0" xr:uid="{00000000-0006-0000-0100-000013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(revisión documentación, dudas pruebas)
- EHCOSPROD-38607 - MULTICENTRO - Visor de historia clínica y resumen (análisis técnico)
- EHCOSPROD-41846 - INTEGRACIÓN: ehCOS Clinic - ehCOS Triaje sincronización usuario (desarrollo y pruebas)
- EHCOSPROD-39455 - Visualización de dónde se encuentra el paciente (alerta amarilla de hospitalización) (actualizar rama con el trunk, estabilización)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EHCOSPROD-39455 - Visualización de dónde se encuentra el paciente (alerta amarilla de hospitalización) (soporte Rodrigo)
- EHCOSPROD-38607 - MULTICENTRO - Visor de historia clínica y resumen (análisis técnico)
- EHCOSPROD-38585 - MULTICENTRO - Urgencias y EHCOSPROD-38589 - MULTICENTRO - Hospitalización (soporte y seguimiento, dudas, pruebas)
- EHCOSPROD-38936: daily
Backlog:
</t>
        </r>
      </text>
    </comment>
    <comment ref="KY27" authorId="0" shapeId="0" xr:uid="{00000000-0006-0000-0100-000014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(revisión documentación, dudas pruebas)
- EHCOSPROD-39455 - Visualización de dónde se encuentra el paciente (alerta amarilla de hospitalización) (actualizar rama con el trunk, estabilización)
- EHCOSPROD-38607 - MULTICENTRO - Visor de historia clínica y resumen (análisis técnico) fin 26/01
- EHCOSPROD-41846 - INTEGRACIÓN: ehCOS Clinic - ehCOS Triaje sincronización usuario (desarrollo y pruebas, registrar horas excel y avance)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(análisis técnico)
- EHCOSPROD-38585 - MULTICENTRO - Urgencias y EHCOSPROD-38589 - MULTICENTRO - Hospitalización (seguimiento y soporte)
- EHCOSPROD-38936: daily
Backlog:
</t>
        </r>
      </text>
    </comment>
    <comment ref="KZ27" authorId="0" shapeId="0" xr:uid="{00000000-0006-0000-0100-000015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(análisis técnico) fin 26/01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(seguimiento y soporte, revisión documentación, pruebas)
- EHCOSPROD-41846 - INTEGRACIÓN: ehCOS Clinic - ehCOS Triaje sincronización usuario (desarrollo y pruebas, registrar horas excel y avance)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(análisis técnico, soporte)
- EHCOSPROD-38585 - MULTICENTRO - Urgencias y EHCOSPROD-38589 - MULTICENTRO - Hospitalización (seguimiento y soporte, revisión documentación, pruebas)
- EHCOSPROD-38936: daily
Backlog:
</t>
        </r>
        <r>
          <rPr>
            <sz val="8"/>
            <color indexed="81"/>
            <rFont val="Tahoma"/>
            <family val="2"/>
          </rPr>
          <t>- EHCOSPROD-39455 - Visualización de dónde se encuentra el paciente (alerta amarilla de hospitalización) (actualizar rama con el trunk, estabilización pendiente entorno)
- EHCOSPROD-40236 - Alerta conflicto agendas (análisis técnico) inicio 27/01, fin 28/01
- EHCOSPROD-40542 - Privilegios para agendar y atender turnos (análisis técnico) inicio 28/01, fin 29/01</t>
        </r>
      </text>
    </comment>
    <comment ref="LA27" authorId="0" shapeId="0" xr:uid="{00000000-0006-0000-0100-00001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(seguimiento y soporte) fin 10/02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(seguimiento y soporte, revisión documentación, pruebas)
- EHCOSPROD-40236 - Alerta conflicto agendas (análisis técnico) inicio 27/01, fin 28/01
- EHCOSPROD-41846 - INTEGRACIÓN: ehCOS Clinic - ehCOS Triaje sincronización usuario (desarrollo y pruebas, registrar horas excel y avance)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(seguimiento y soporte)
- EHCOSPROD-38585 - MULTICENTRO - Urgencias y EHCOSPROD-38589 - MULTICENTRO - Hospitalización (seguimiento y soporte, revisión documentación, pruebas)
- EHCOSPROD-38936: daily
Backlog:
</t>
        </r>
        <r>
          <rPr>
            <sz val="8"/>
            <color indexed="81"/>
            <rFont val="Tahoma"/>
            <family val="2"/>
          </rPr>
          <t>- EHCOSPROD-39455 - Visualización de dónde se encuentra el paciente (alerta amarilla de hospitalización) (actualizar rama con el trunk, estabilización pendiente entorno)
- EHCOSPROD-40542 - Privilegios para agendar y atender turnos (análisis técnico) inicio 28/01, fin 29/01</t>
        </r>
      </text>
    </comment>
    <comment ref="LB27" authorId="0" shapeId="0" xr:uid="{00000000-0006-0000-0100-00001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(análisis técnico) inicio 28/01, fin 29/01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(seguimiento y soporte) fin 10/02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(seguimiento y soporte, revisión documentación, pruebas)
- EHCOSPROD-41846 - INTEGRACIÓN: ehCOS Clinic - ehCOS Triaje sincronización usuario (desarrollo y pruebas, registrar horas excel y avance)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EHCOSPROD-40236 - Alerta conflicto agendas (análisis técnico)
- EHCOSPROD-38607 - MULTICENTRO - Visor de historia clínica y resumen (seguimiento y soporte)
- EHCOSPROD-38585 - MULTICENTRO - Urgencias y EHCOSPROD-38589 - MULTICENTRO - Hospitalización (seguimiento y soporte, revisión documentación, pruebas)
- EHCOSPROD-38936: daily
Backlog:
</t>
        </r>
        <r>
          <rPr>
            <sz val="8"/>
            <color indexed="81"/>
            <rFont val="Tahoma"/>
            <family val="2"/>
          </rPr>
          <t>- EHCOSPROD-39455 - Visualización de dónde se encuentra el paciente (alerta amarilla de hospitalización) (actualizar rama con el trunk, estabilización pendiente entorno)
- EHCOSPROD-40542 - Privilegios para agendar y atender turnos (análisis técnico) inicio 28/01, fin 29/01</t>
        </r>
      </text>
    </comment>
    <comment ref="LC27" authorId="0" shapeId="0" xr:uid="{00000000-0006-0000-0100-00001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(análisis técnico) inicio 28/01, fin 29/01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(seguimiento y soporte) fin 10/02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(seguimiento y soporte, revisión documentación, pruebas)
- EHCOSPROD-41846 - INTEGRACIÓN: ehCOS Clinic - ehCOS Triaje sincronización usuario (desarrollo y pruebas, registrar horas excel y avance)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EHCOSPROD-40236 - Alerta conflicto agendas (análisis técnico)
- EHCOSPROD-38607 - MULTICENTRO - Visor de historia clínica y resumen (seguimiento y soporte) fin 10/02
- EHCOSPROD-38585 - MULTICENTRO - Urgencias y EHCOSPROD-38589 - MULTICENTRO - Hospitalización (seguimiento y soporte, revisión documentación, pruebas)
- EHCOSPROD-41846 - INTEGRACIÓN: ehCOS Clinic - ehCOS Triaje sincronización usuario (desarrollo y pruebas, registrar horas excel y avance)
- EHCOSPROD-38936: daily
Backlog:
</t>
        </r>
        <r>
          <rPr>
            <sz val="8"/>
            <color indexed="81"/>
            <rFont val="Tahoma"/>
            <family val="2"/>
          </rPr>
          <t>- EHCOSPROD-39455 - Visualización de dónde se encuentra el paciente (alerta amarilla de hospitalización) (actualizar rama con el trunk, estabilización pendiente entorno)
- EHCOSPROD-40542 - Privilegios para agendar y atender turnos (análisis técnico) inicio 28/01, fin 29/01</t>
        </r>
      </text>
    </comment>
    <comment ref="LF27" authorId="0" shapeId="0" xr:uid="{00000000-0006-0000-0100-00001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EHCOSPROD-40236 - Alerta conflicto agendas (análisis técnico, modificaciones en la rama, seguimiento y soporte)
- EHCOSPROD-39890 - Validação EFR no agendamento (análisis técnico) fin 02/02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(seguimiento y soporte) fin 10/02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(seguimiento y soporte, revisión documentación, pruebas)
- EHCOSPROD-41846 - INTEGRACIÓN: ehCOS Clinic - ehCOS Triaje sincronización usuario (desarrollo y pruebas, registrar horas excel y avance)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EHCOSPROD-40236 - Alerta conflicto agendas (modificaciones en la rama, seguimiento y soporte)
- EHCOSPROD-39890 - Validação EFR no agendamento (análisis técnico)
- EHCOSPROD-38607 - MULTICENTRO - Visor de historia clínica y resumen (seguimiento y soporte)
- EHCOSPROD-38936: daily
Backlog:
</t>
        </r>
        <r>
          <rPr>
            <sz val="8"/>
            <color indexed="81"/>
            <rFont val="Tahoma"/>
            <family val="2"/>
          </rPr>
          <t>- EHCOSPROD-39455 - Visualización de dónde se encuentra el paciente (alerta amarilla de hospitalización) (actualizar rama con el trunk, estabilización pendiente entorno)
- EHCOSPROD-40542 - Privilegios para agendar y atender turnos (análisis técnico) inicio 28/01, fin 29/01</t>
        </r>
      </text>
    </comment>
    <comment ref="LG27" authorId="0" shapeId="0" xr:uid="{00000000-0006-0000-0100-00001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Validação EFR no agendamento (análisis técnico) fin 03/02
- EHCOSPROD-40542 - Privilégios para agendar e atender os turnos (análisis técnico) fin 05/02
- revisar documentación de los evolutivos de la 5.15 que haya analizado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EHCOSPROD-40236 - Alerta conflicto agendas (seguimiento y soporte gino)
- EHCOSPROD-38607 - MULTICENTRO - Visor de historia clínica y resumen (seguimiento y soporte alfonso) fin 10/02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EHCOSPROD-38585 - MULTICENTRO - Urgencias y EHCOSPROD-38589 - MULTICENTRO - Hospitalización (seguimiento y soporte Ricardo, revisión documentación, pruebas)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EHCOSPROD-39890 - Validação EFR no agendamento (análisis técnico)
- EHCOSPROD-40236 - Alerta conflicto agendas (seguimiento y soporte gino)
- EHCOSPROD-38607 - MULTICENTRO - Visor de historia clínica y resumen (seguimiento y soporte alfonso)
- EHCOSPROD-38585 - MULTICENTRO - Urgencias y EHCOSPROD-38589 - MULTICENTRO - Hospitalización (borrado rama)
- EHCOSPROD-38936: daily
Backlog:
</t>
        </r>
        <r>
          <rPr>
            <sz val="8"/>
            <color indexed="81"/>
            <rFont val="Tahoma"/>
            <family val="2"/>
          </rPr>
          <t>- EHCOSPROD-39455 - Visualización de dónde se encuentra el paciente (alerta amarilla de hospitalización) (actualizar rama con el trunk, estabilización pendiente entorno)
- EHCOSPROD-41846 - INTEGRACIÓN: ehCOS Clinic - ehCOS Triaje sincronización usuario (desarrollo y pruebas, registrar horas excel y avance)</t>
        </r>
      </text>
    </comment>
    <comment ref="LH27" authorId="0" shapeId="0" xr:uid="{00000000-0006-0000-0100-00001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Validação EFR no agendamento (análisis técnico) fin 03/02
- EHCOSPROD-38607 - MULTICENTRO - Visor de historia clínica y resumen (seguimiento y soporte alfonso) fin 10/02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EHCOSPROD-40236 - Alerta conflicto agendas (seguimiento y soporte gino)
- revisar documentación de los evolutivos de la 5.15 que haya analizado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EHCOSPROD-39890 - Validação EFR no agendamento (análisis técnico)
- EHCOSPROD-38607 - MULTICENTRO - Visor de historia clínica y resumen (seguimiento y soporte alfonso)
- EHCOSPROD-40236 - Alerta conflicto agendas (seguimiento y soporte gino)
- EHCOSPROD-38936: daily
Backlog:
</t>
        </r>
        <r>
          <rPr>
            <sz val="8"/>
            <color indexed="81"/>
            <rFont val="Tahoma"/>
            <family val="2"/>
          </rPr>
          <t>- EHCOSPROD-40542 - Privilégios para agendar e atender os turnos (análisis técnico) fin 05/02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EHCOSPROD-39455 - Visualización de dónde se encuentra el paciente (alerta amarilla de hospitalización) (actualizar rama con el trunk, estabilización pendiente entorno)
- EHCOSPROD-41846 - INTEGRACIÓN: ehCOS Clinic - ehCOS Triaje sincronización usuario (desarrollo y pruebas, registrar horas excel y avance)</t>
        </r>
      </text>
    </comment>
    <comment ref="LI27" authorId="0" shapeId="0" xr:uid="{00000000-0006-0000-0100-00001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EHCOSPROD-39890 - Validação EFR no agendamento (análisis técnico) fin 03/02
- EHCOSPROD-39455 - Visualización de dónde se encuentra el paciente (alerta amarilla de hospitalización) (actualizar rama con el trunk, estabilización)
- EHCOSPROD-40542 - Privilégios para agendar e atender os turnos (análisis técnico) fin 05/02
- EHCOSPROD-38607 - MULTICENTRO - Visor de historia clínica y resumen (seguimiento y soporte alfonso) fin 10/02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EHCOSPROD-40236 - Alerta conflicto agendas (seguimiento y soporte gino) fin 09/02
- revisar documentación de los evolutivos de la 5.15 que haya analizado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EHCOSPROD-39890 - Validação EFR no agendamento (análisis técnico)
- EHCOSPROD-38607 - MULTICENTRO - Visor de historia clínica y resumen (seguimiento y soporte alfonso)
- EHCOSPROD-40236 - Alerta conflicto agendas (seguimiento y soporte gino)
- EHCOSPROD-39455 - Visualización de dónde se encuentra el paciente (alerta amarilla de hospitalización) (actualizar rama con el trunk, estabilización)
- EHCOSPROD-38936: daily
Backlog:</t>
        </r>
        <r>
          <rPr>
            <sz val="8"/>
            <color indexed="81"/>
            <rFont val="Tahoma"/>
            <family val="2"/>
          </rPr>
          <t xml:space="preserve">
- EHCOSPROD-41846 - INTEGRACIÓN: ehCOS Clinic - ehCOS Triaje sincronización usuario (desarrollo y pruebas, registrar horas excel y avance)</t>
        </r>
      </text>
    </comment>
    <comment ref="LJ27" authorId="0" shapeId="0" xr:uid="{00000000-0006-0000-0100-00001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EHCOSPROD-39455 - Visualización de dónde se encuentra el paciente (alerta amarilla de hospitalización) (actualizar rama con el trunk, estabilización 72, </t>
        </r>
        <r>
          <rPr>
            <b/>
            <sz val="8"/>
            <color indexed="81"/>
            <rFont val="Tahoma"/>
            <family val="2"/>
          </rPr>
          <t>incluir horas de merge</t>
        </r>
        <r>
          <rPr>
            <sz val="8"/>
            <color indexed="81"/>
            <rFont val="Tahoma"/>
            <family val="2"/>
          </rPr>
          <t>)
- EHCOSPROD-40542 - Privilégios para agendar e atender os turnos (análisis técnico) fin 05/02
- EHCOSPROD-38607 - MULTICENTRO - Visor de historia clínica y resumen (seguimiento y soporte alfonso) fin 10/02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EHCOSPROD-40236 - Alerta conflicto agendas (seguimiento y soporte gino) fin 09/02
- revisar documentación de los evolutivos de la 5.15 que haya analizado
- revisar DF EHCSPROD-40516, EHCSPROD-40354
- EHCOSPROD-38936: daily</t>
        </r>
        <r>
          <rPr>
            <b/>
            <sz val="8"/>
            <color indexed="81"/>
            <rFont val="Tahoma"/>
            <family val="2"/>
          </rPr>
          <t xml:space="preserve">
Avance:
- revisar documentación de los evolutivos de la 5.15 que haya analizado
- EHCOSPROD-40542 - Privilégios para agendar e atender os turnos (análisis técnico)
- EHCOSPROD-38607 - MULTICENTRO - Visor de historia clínica y resumen (seguimiento y soporte alfonso, punto de control)
- EHCOSPROD-40236 - Alerta conflicto agendas (seguimiento y soporte gino)
- revisar DF EHCSPROD-40516, EHCSPROD-40354
- EHCOSPROD-38936: daily
Backlog:</t>
        </r>
        <r>
          <rPr>
            <sz val="8"/>
            <color indexed="81"/>
            <rFont val="Tahoma"/>
            <family val="2"/>
          </rPr>
          <t xml:space="preserve">
- EHCOSPROD-39890 - Validação EFR no agendamento (seguimiento y soporte Gino) fin 22/02
- EHCOSPROD-41846 - INTEGRACIÓN: ehCOS Clinic - ehCOS Triaje sincronización usuario (desarrollo y pruebas, registrar horas excel y avance)</t>
        </r>
      </text>
    </comment>
    <comment ref="LM27" authorId="0" shapeId="0" xr:uid="{00000000-0006-0000-0100-00001E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EHCOSPROD-39455 - Visualización de dónde se encuentra el paciente (alerta amarilla de hospitalización) (actualizar rama con el trunk, estabilización 72, </t>
        </r>
        <r>
          <rPr>
            <b/>
            <sz val="8"/>
            <color indexed="81"/>
            <rFont val="Tahoma"/>
            <family val="2"/>
          </rPr>
          <t>incluir horas de merge</t>
        </r>
        <r>
          <rPr>
            <sz val="8"/>
            <color indexed="81"/>
            <rFont val="Tahoma"/>
            <family val="2"/>
          </rPr>
          <t>)
- EHCOSPROD-40542 - Privilégios para agendar e atender os turnos (análisis técnico) fin 05/02
- EHCOSPROD-38607 - MULTICENTRO - Visor de historia clínica y resumen (seguimiento y soporte alfonso) fin 10/02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EHCOSPROD-40236 - Alerta conflicto agendas (seguimiento y soporte gino) fin 09/02
- revisar documentación de los evolutivos de la 5.15 que haya analizado
- revisar DF EHCSPROD-40516, EHCSPROD-40354, reunión con Portugal
- preparación sesiones por producto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EHCOSPROD-40542 - Privilégios para agendar e atender os turnos (análisis técnico)
- EHCOSPROD-38607 - MULTICENTRO - Visor de historia clínica y resumen (seguimiento y soporte alfonso)
- EHCOSPROD-40236 - Alerta conflicto agendas (seguimiento y soporte gino)
- revisar DF EHCSPROD-40516, EHCSPROD-40354, reunión con Portugal
- preparación sesiones por producto
- EHCOSPROD-38936: daily
Backlog:</t>
        </r>
        <r>
          <rPr>
            <sz val="8"/>
            <color indexed="81"/>
            <rFont val="Tahoma"/>
            <family val="2"/>
          </rPr>
          <t xml:space="preserve">
- EHCOSPROD-39890 - Validação EFR no agendamento (seguimiento y soporte Gino) fin 22/02
- EHCOSPROD-41846 - INTEGRACIÓN: ehCOS Clinic - ehCOS Triaje sincronización usuario (desarrollo y pruebas, registrar horas excel y avance)</t>
        </r>
      </text>
    </comment>
    <comment ref="LN27" authorId="0" shapeId="0" xr:uid="{00000000-0006-0000-0100-00001F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EHCOSPROD-39455 - Visualización de dónde se encuentra el paciente (alerta amarilla de hospitalización) (actualizar rama con el trunk, estabilización 72, </t>
        </r>
        <r>
          <rPr>
            <b/>
            <sz val="8"/>
            <color indexed="81"/>
            <rFont val="Tahoma"/>
            <family val="2"/>
          </rPr>
          <t>incluir horas de merge</t>
        </r>
        <r>
          <rPr>
            <sz val="8"/>
            <color indexed="81"/>
            <rFont val="Tahoma"/>
            <family val="2"/>
          </rPr>
          <t>)
- EHCOSPROD-40542 - Privilégios para agendar e atender os turnos (análisis técnico) fin 05/02
- EHCOSPROD-38607 - MULTICENTRO - Visor de historia clínica y resumen (seguimiento y soporte alfonso) fin 10/02
- EHCOSPROD-39890 - Validação EFR no agendamento (seguimiento y soporte Gino) fin 22/02
- revisar documentación de los evolutivos de la 5.15 que haya analizado
- revisar DF EHCSPROD-40516, EHCSPROD-40354, reunión con Portugal
- preparación sesiones por producto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EHCOSPROD-40542 - Privilégios para agendar e atender os turnos (análisis técnico)
- EHCOSPROD-38607 - MULTICENTRO - Visor de historia clínica y resumen (seguimiento y soporte alfonso)
- EHCOSPROD-39890 - Validação EFR no agendamento (seguimiento y soporte Gino)
- EHCOSPROD-39455 - Visualización de dónde se encuentra el paciente (alerta amarilla de hospitalización) (estabilización 72, incluir horas de merge)
- preparación sesiones por producto
- EHCOSPROD-38936: daily
Backlog:</t>
        </r>
        <r>
          <rPr>
            <sz val="8"/>
            <color indexed="81"/>
            <rFont val="Tahoma"/>
            <family val="2"/>
          </rPr>
          <t xml:space="preserve">
- EHCOSPROD-41846 - INTEGRACIÓN: ehCOS Clinic - ehCOS Triaje sincronización usuario (desarrollo y pruebas, registrar horas excel y avance)</t>
        </r>
      </text>
    </comment>
    <comment ref="LO27" authorId="0" shapeId="0" xr:uid="{00000000-0006-0000-0100-000020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EHCOSPROD-39455 - Visualización de dónde se encuentra el paciente (alerta amarilla de hospitalización) (actualizar rama con el trunk, merge al trunk, estabilización 72, </t>
        </r>
        <r>
          <rPr>
            <b/>
            <sz val="8"/>
            <color indexed="81"/>
            <rFont val="Tahoma"/>
            <family val="2"/>
          </rPr>
          <t>incluir horas de merge</t>
        </r>
        <r>
          <rPr>
            <sz val="8"/>
            <color indexed="81"/>
            <rFont val="Tahoma"/>
            <family val="2"/>
          </rPr>
          <t>): EHCOSPROD-44305
- EHCOSPROD-40542 - Privilégios para agendar e atender os turnos (análisis técnico) fin 10/02
- EHCOSPROD-38607 - MULTICENTRO - Visor de historia clínica y resumen (seguimiento y soporte alfonso) fin 10/02
- EHCOSPROD-39890 - Validação EFR no agendamento (seguimiento y soporte Gino) fin 22/02
- revisar documentación de los evolutivos de la 5.15 que haya analizado
- revisar DF EHCSPROD-40516, EHCSPROD-40354, reunión con Portugal
- preparación sesiones por producto
- EHCOSPROD-38936: daily, sesiones por producto</t>
        </r>
        <r>
          <rPr>
            <b/>
            <sz val="8"/>
            <color indexed="81"/>
            <rFont val="Tahoma"/>
            <family val="2"/>
          </rPr>
          <t xml:space="preserve">
Avance:
- EHCOSPROD-39455 - Visualización de dónde se encuentra el paciente (alerta amarilla de hospitalización) (actualizar rama con el trunk, merge al trunk, estabilización 72, incluir horas de merge): EHCOSPROD-44305
- EHCOSPROD-38607 - MULTICENTRO - Visor de historia clínica y resumen (seguimiento y soporte alfonso) fin 10/02
- revisar DF EHCSPROD-40516, EHCSPROD-40354, reunión con Portugal
- preparación sesiones por producto
- EHCOSPROD-38936: daily, sesiones por producto
Backlog:</t>
        </r>
        <r>
          <rPr>
            <sz val="8"/>
            <color indexed="81"/>
            <rFont val="Tahoma"/>
            <family val="2"/>
          </rPr>
          <t xml:space="preserve">
- EHCOSPROD-41846 - INTEGRACIÓN: ehCOS Clinic - ehCOS Triaje sincronización usuario (desarrollo y pruebas, registrar horas excel y avance)</t>
        </r>
      </text>
    </comment>
    <comment ref="LP27" authorId="0" shapeId="0" xr:uid="{00000000-0006-0000-0100-000021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EHCOSPROD-39455 - Visualización de dónde se encuentra el paciente (alerta amarilla de hospitalización) (</t>
        </r>
        <r>
          <rPr>
            <b/>
            <sz val="8"/>
            <color indexed="81"/>
            <rFont val="Tahoma"/>
            <family val="2"/>
          </rPr>
          <t>incluir horas de merge</t>
        </r>
        <r>
          <rPr>
            <sz val="8"/>
            <color indexed="81"/>
            <rFont val="Tahoma"/>
            <family val="2"/>
          </rPr>
          <t>)
- EHCOSPROD-40542 - Privilégios para agendar e atender os turnos (análisis técnico) fin 10/02
- EHCOSPROD-38607 - MULTICENTRO - Visor de historia clínica y resumen (seguimiento y soporte alfonso) fin 10/02
- EHCOSPROD-39890 - Validação EFR no agendamento (seguimiento y soporte Gino) fin 22/02
- revisar documentación de los evolutivos de la 5.15 que haya analizado
- seguimiento desarrollos Portugal: EHCSPROD-40516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EHCOSPROD-40542 - Privilégios para agendar e atender os turnos (análisis técnico)
- EHCOSPROD-38607 - MULTICENTRO - Visor de historia clínica y resumen (seguimiento y soporte alfonso)
- EHCOSPROD-39890 - Validação EFR no agendamento (seguimiento y soporte Gino)
- EHCOSPROD-38936: daily
Backlog:</t>
        </r>
        <r>
          <rPr>
            <sz val="8"/>
            <color indexed="81"/>
            <rFont val="Tahoma"/>
            <family val="2"/>
          </rPr>
          <t xml:space="preserve">
- EHCOSPROD-41846 - INTEGRACIÓN: ehCOS Clinic - ehCOS Triaje sincronización usuario (desarrollo y pruebas, registrar horas excel y avance)</t>
        </r>
      </text>
    </comment>
    <comment ref="LQ27" authorId="0" shapeId="0" xr:uid="{00000000-0006-0000-0100-000022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EHCOSPROD-40542 - Privilégios para agendar e atender os turnos (completar análisis técnico) fin 12/02
- EHCOSPROD-38607 - MULTICENTRO - Visor de historia clínica y resumen (seguimiento y soporte alfonso) fin 12/02
- EHCOSPROD-39890 - Validação EFR no agendamento (seguimiento y soporte Gino) fin 22/02
- revisar documentación de los evolutivos de la 5.15 que haya analizado
- seguimiento desarrollos Portugal: EHCSPROD-40516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EHCOSPROD-40542 - Privilégios para agendar e atender os turnos (completar análisis técnico)
- EHCOSPROD-40236 (seguimiento estabilización)
- EHCOSPROD-38607 - MULTICENTRO - Visor de historia clínica y resumen (seguimiento y soporte alfonso)
- EHCOSPROD-39890 - Validação EFR no agendamento (seguimiento y soporte Gino)
- seguimiento desarrollos Portugal: EHCSPROD-40516
- EHCOSPROD-38936: daily
Backlog:</t>
        </r>
        <r>
          <rPr>
            <sz val="8"/>
            <color indexed="81"/>
            <rFont val="Tahoma"/>
            <family val="2"/>
          </rPr>
          <t xml:space="preserve">
- EHCOSPROD-41846 - INTEGRACIÓN: ehCOS Clinic - ehCOS Triaje sincronización usuario (desarrollo y pruebas, registrar horas excel y avance)</t>
        </r>
      </text>
    </comment>
    <comment ref="LT27" authorId="0" shapeId="0" xr:uid="{00000000-0006-0000-0100-000023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EHCOSPROD-40542 - Privilégios para agendar e atender os turnos (completar modificaciones entidades rama) fin 15/02
- EHCOSPROD-40564 - Pesquisa de Vagas - Horário e data (análisis técnico) fin 17/02
- EHCOSPROD-38607 - MULTICENTRO - Visor de historia clínica y resumen (seguimiento y soporte alfonso) fin 12/02
- EHCOSPROD-39890 - Validação EFR no agendamento (seguimiento y soporte Gino) fin 22/02
- revisar documentación de los evolutivos de la 5.15 que haya analizado
- seguimiento desarrollos Portugal: EHCSPROD-40516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EHCOSPROD-40542 - Privilégios para agendar e atender os turnos (completar modificaciones entidades rama)
- EHCOSPROD-40564 - Pesquisa de Vagas - Horário e data (análisis técnico)
- EHCOSPROD-38607 - MULTICENTRO - Visor de historia clínica y resumen (seguimiento y soporte alfonso)
- EHCOSPROD-39890 - Validação EFR no agendamento (separación tareas con Rodrigo, seguimiento y soporte Gino)
- EHCOSPROD-38936: daily
Backlog:</t>
        </r>
        <r>
          <rPr>
            <sz val="8"/>
            <color indexed="81"/>
            <rFont val="Tahoma"/>
            <family val="2"/>
          </rPr>
          <t xml:space="preserve">
- EHCOSPROD-41846 - INTEGRACIÓN: ehCOS Clinic - ehCOS Triaje sincronización usuario (desarrollo y pruebas, registrar horas excel y avance)</t>
        </r>
      </text>
    </comment>
    <comment ref="LU27" authorId="0" shapeId="0" xr:uid="{00000000-0006-0000-0100-000024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(análisis técnico) fin 17/02
- EHCOSPROD-38607 - MULTICENTRO - Visor de historia clínica y resumen (seguimiento y soporte alfonso) fin 12/02
- EHCOSPROD-39890 - Validação EFR no agendamento (seguimiento y soporte Gino y Rodrigo) fin 22/02
- revisar documentación de los evolutivos de la 5.15 que haya analizado
- seguimiento desarrollos Portugal: EHCSPROD-40516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EHCOSPROD-40564 - Pesquisa de Vagas - Horário e data (análisis técnico)
- EHCOSPROD-39890 - Validação EFR no agendamento (seguimiento y soporte Gino y Rodrigo)
- EHCOSPROD-38607 - MULTICENTRO - Visor de historia clínica y resumen (seguimiento y soporte alfonso)
- EHCOSPROD-38936: daily
Backlog:</t>
        </r>
        <r>
          <rPr>
            <sz val="8"/>
            <color indexed="81"/>
            <rFont val="Tahoma"/>
            <family val="2"/>
          </rPr>
          <t xml:space="preserve">
- EHCOSPROD-41846 - INTEGRACIÓN: ehCOS Clinic - ehCOS Triaje sincronización usuario (desarrollo y pruebas, registrar horas excel y avance)</t>
        </r>
      </text>
    </comment>
    <comment ref="LV27" authorId="0" shapeId="0" xr:uid="{00000000-0006-0000-0100-000025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(análisis técnico) fin 17/02
- EHCOSPROD-38607 - MULTICENTRO - Visor de historia clínica y resumen (seguimiento y soporte alfonso, revisión documentación)
- EHCOSPROD-39890 - Validação EFR no agendamento (seguimiento y soporte Gino y Rodrigo) fin 19/02
- revisar documentación de los evolutivos de la 5.15 que haya analizado
- seguimiento desarrollos Portugal: EHCSPROD-40516, EHCOSPROD-39378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EHCOSPROD-40564 - Pesquisa de Vagas - Horário e data (análisis técnico)
- EHCOSPROD-38607 - MULTICENTRO - Visor de historia clínica y resumen (seguimiento y soporte alfonso, revisión documentación)
- EHCOSPROD-39890 - Validação EFR no agendamento (seguimiento y soporte Gino y Rodrigo)
- seguimiento desarrollos Portugal: EHCOSPROD-39378 (revisar DT), EHCSPROD-40516
- EHCOSPROD-38936: daily
Backlog:</t>
        </r>
        <r>
          <rPr>
            <sz val="8"/>
            <color indexed="81"/>
            <rFont val="Tahoma"/>
            <family val="2"/>
          </rPr>
          <t xml:space="preserve">
- EHCOSPROD-41846 - INTEGRACIÓN: ehCOS Clinic - ehCOS Triaje sincronización usuario (desarrollo y pruebas, registrar horas excel y avance)</t>
        </r>
      </text>
    </comment>
    <comment ref="LW27" authorId="0" shapeId="0" xr:uid="{00000000-0006-0000-0100-00002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(análisis técnico) fin 17/02
- EHCOSPROD-38607 - MULTICENTRO - Visor de historia clínica y resumen (seguimiento y soporte alfonso, revisión documentación)
- EHCOSPROD-39890 - Validação EFR no agendamento (seguimiento y soporte Gino y Rodrigo) fin 19/02
- revisar documentación de los evolutivos de la 5.15 que haya analizado
- EHCOSPROD-41846 - INTEGRACIÓN: ehCOS Clinic - ehCOS Triaje sincronización usuario (desarrollo y pruebas, registrar horas excel y avance)
- seguimiento desarrollos Portugal: EHCSPROD-40516, EHCOSPROD-39378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EHCOSPROD-40564 - Pesquisa de Vagas - Horário e data (análisis técnico servicio Rest)
- EHCOSPROD-38607 - MULTICENTRO - Visor de historia clínica y resumen (seguimiento y soporte alfonso, revisión documentación)
- EHCOSPROD-39890 - Validação EFR no agendamento (seguimiento y soporte Gino y Rodrigo) fin 19/02
- seguimiento desarrollos Portugal: EHCSPROD-40516, EHCOSPROD-39378
- EHCOSPROD-38936: daily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X27" authorId="0" shapeId="0" xr:uid="{00000000-0006-0000-0100-00002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EHCOSPROD-40564 - Pesquisa de Vagas - Horário e data (análisis técnico servicio REST)
- EHCOSPROD-38607 - MULTICENTRO - Visor de historia clínica y resumen (seguimiento y soporte alfonso, revisión documentación y errores despliegue)
- EHCOSPROD-39890 - Validação EFR no agendamento (seguimiento y soporte Rodrigo, validaciones y pruebas mínimas) fin 19/02
- revisar documentación de los evolutivos de la 5.15 que haya analizado (incluir marca confidencialidad)
- EHCOSPROD-41846 - INTEGRACIÓN: ehCOS Clinic - ehCOS Triaje sincronización usuario (desarrollo y pruebas, registrar horas excel y avance)
- seguimiento desarrollos Portugal: EHCSPROD-40516, EHCOSPROD-39378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EHCOSPROD-40564 - Pesquisa de Vagas - Horário e data (análisis técnico servicio REST)
- EHCOSPROD-38607 - MULTICENTRO - Visor de historia clínica y resumen (seguimiento y soporte alfonso, revisión documentación y errores despliegue)
- EHCOSPROD-39890 - Validação EFR no agendamento (seguimiento y soporte Rodrigo, validaciones y pruebas mínimas) fin 19/02
- seguimiento desarrollos Portugal: EHCSPROD-40516, EHCOSPROD-39378
- EHCOSPROD-38936: daily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A27" authorId="0" shapeId="0" xr:uid="{00000000-0006-0000-0100-00002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EHCOSPROD-44678 - Pesquisa de Vagas - Horário e data (servicio REST)
- EHCOSPROD-38607 - MULTICENTRO - Visor de historia clínica y resumen (seguimiento y soporte alfonso, revisión documentación y errores despliegue)
- EHCOSPROD-39890 - Validação EFR no agendamento (seguimiento y soporte Rodrigo, validaciones y pruebas mínimas)
- revisar documentación de los evolutivos de la 5.15 que haya analizado (incluir marca confidencialidad)
- seguimiento desarrollos Portugal: EHCSPROD-40516, EHCOSPROD-39378
- EHCOSPROD-41846 - INTEGRACIÓN: ehCOS Clinic - ehCOS Triaje sincronización usuario (desarrollo y pruebas, registrar horas excel y avance)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EHCOSPROD-44678 - Pesquisa de Vagas - Horário e data (servicio REST)
- EHCOSPROD-38607 - MULTICENTRO - Visor de historia clínica y resumen (seguimiento y soporte alfonso, revisión documentación y errores despliegue)
- EHCOSPROD-39890 - Validação EFR no agendamento (seguimiento y soporte Rodrigo, validaciones y pruebas mínimas)
- seguimiento desarrollos Portugal: EHCSPROD-40516, EHCOSPROD-39378
- EHCOSPROD-38936: daily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B27" authorId="0" shapeId="0" xr:uid="{00000000-0006-0000-0100-00002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EHCOSPROD-44678 - Pesquisa de Vagas - Horário e data (servicio REST)
- EHCOSPROD-38607 - MULTICENTRO - Visor de historia clínica y resumen (seguimiento y soporte alfonso)
- EHCOSPROD-39890 - Validação EFR no agendamento (seguimiento y soporte Rodrigo, validaciones y pruebas mínimas)
- revisar documentación de los evolutivos de la 5.15 que haya analizado (incluir marca confidencialidad)
- seguimiento desarrollos Portugal: EHCSPROD-40516, EHCOSPROD-39378
- EHCOSPROD-41846 - INTEGRACIÓN: ehCOS Clinic - ehCOS Triaje sincronización usuario (desarrollo y pruebas, registrar horas excel y avance)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EHCOSPROD-39378 (revisión con Aida de los anexos desde PMG)
- EHCOSPROD-44678 - Pesquisa de Vagas - Horário e data (servicio REST)
- EHCOSPROD-38607 - MULTICENTRO - Visor de historia clínica y resumen (seguimiento y soporte alfonso)
- EHCOSPROD-39890 - Validação EFR no agendamento (seguimiento y soporte Rodrigo, validaciones y pruebas mínimas)
- seguimiento desarrollos Portugal: EHCSPROD-40516, EHCOSPROD-39378
- EHCOSPROD-38936: daily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C27" authorId="0" shapeId="0" xr:uid="{00000000-0006-0000-0100-00002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EHCOSPROD-44678 - Pesquisa de Vagas - Horário e data (servicio REST)
- EHCOSPROD-39378 - Anexação de Documentos Administrativos (reestimar, incluir parte de anexado desde PMG)
- EHCOSPROD-38607 - MULTICENTRO - Visor de historia clínica y resumen (seguimiento y soporte alfonso)
- EHCOSPROD-39890 - Validação EFR no agendamento (seguimiento y soporte Rodrigo, validaciones y pruebas mínimas)
- revisar documentación de los evolutivos de la 5.15 que haya analizado (incluir marca confidencialidad)
- seguimiento desarrollos Portugal: EHCSPROD-40516, EHCOSPROD-39378
- EHCOSPROD-41846 - INTEGRACIÓN: ehCOS Clinic - ehCOS Triaje sincronización usuario (desarrollo y pruebas, registrar horas excel y avance)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EHCOSPROD-44678 - Pesquisa de Vagas - Horário e data (servicio REST)
- EHCOSPROD-39378 - Anexação de Documentos Administrativos (reestimar, incluir parte de anexado desde PMG)
- EHCOSPROD-38607 - MULTICENTRO - Visor de historia clínica y resumen (seguimiento y soporte alfonso)
- EHCOSPROD-39890 - Validação EFR no agendamento (seguimiento y soporte, pruebas mínimas)
- revisar documentación de los evolutivos de la 5.15 que haya analizado (incluir marca confidencialidad)
- seguimiento desarrollos Portugal: EHCSPROD-40516, EHCOSPROD-39378
- EHCOSPROD-41846 - INTEGRACIÓN: ehCOS Clinic - ehCOS Triaje sincronización usuario (desarrollo y pruebas, registrar horas excel y avance)
- EHCOSPROD-38936: daily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D27" authorId="0" shapeId="0" xr:uid="{00000000-0006-0000-0100-00002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EHCOSPROD-39378 - Anexação de Documentos Administrativos (reestimar, incluir parte de anexado desde PMG)
- EHCOSPROD-38607 - MULTICENTRO - Visor de historia clínica y resumen (errores de compilación, seguimiento y soporte alfonso)
- EHCOSPROD-39890 - Validação EFR no agendamento (seguimiento y soporte Rodrigo, validaciones y pruebas mínimas)
- revisar documentación de los evolutivos de la 5.15 que haya analizado (incluir marca confidencialidad)
- seguimiento desarrollos Portugal: EHCSPROD-40516, EHCOSPROD-39378
- EHCOSPROD-41846 - INTEGRACIÓN: ehCOS Clinic - ehCOS Triaje sincronización usuario (desarrollo y pruebas, registrar horas excel y avance)
- EHCOSPROD-38936: daily</t>
        </r>
        <r>
          <rPr>
            <b/>
            <sz val="8"/>
            <color indexed="81"/>
            <rFont val="Tahoma"/>
            <family val="2"/>
          </rPr>
          <t xml:space="preserve">
Avance:
- EHCOSPROD-39378 - Anexação de Documentos Administrativos (reestimar, incluir parte de anexado desde PMG)
- EHCOSPROD-38607 - MULTICENTRO - Visor de historia clínica y resumen (errores de compilación, seguimiento y soporte alfonso)
- EHCOSPROD-39890 - Validação EFR no agendamento (seguimiento y soporte Rodrigo, validaciones y pruebas mínimas)
- seguimiento desarrollos Portugal: EHCSPROD-40516, EHCOSPROD-39378
- EHCOSPROD-38936: daily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E27" authorId="0" shapeId="0" xr:uid="{00000000-0006-0000-0100-00002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EHCOSPROD-39378 - Anexação de Documentos Administrativos (reestimar, incluir parte de anexado desde PMG) (cerrar)
- EHCOSPROD-38607 - MULTICENTRO - Visor de historia clínica y resumen (errores de compilación, seguimiento y soporte alfonso) (Revisión errores encontrados)
- EHCOSPROD-39890 - Validação EFR no agendamento (seguimiento y soporte Rodrigo, validaciones y pruebas mínimas)
- revisar documentación de los evolutivos de la 5.15 que haya analizado (incluir marca confidencialidad)
- seguimiento desarrollos Portugal: EHCSPROD-40516, EHCOSPROD-39378
- EHCOSPROD-41846 - INTEGRACIÓN: ehCOS Clinic - ehCOS Triaje sincronización usuario (desarrollo y pruebas, registrar horas excel y avance)
- EHCOSPROD-38936: daily</t>
        </r>
        <r>
          <rPr>
            <b/>
            <sz val="8"/>
            <color indexed="81"/>
            <rFont val="Tahoma"/>
            <family val="2"/>
          </rPr>
          <t xml:space="preserve">
Avance:
EHCOSPROD-39378 - Anexação de Documentos Administrativos (reestimar, incluir parte de anexado desde PMG) (cerrar) Falta dudas Aida
- EHCOSPROD-38607 - MULTICENTRO - Visor de historia clínica y resumen (errores de compilación, seguimiento y soporte alfonso) (Revisión errores encontrados) *
- seguimiento desarrollos Portugal: EHCSPROD-40516, EHCOSPROD-39378 (soporte via mail)
- EHCOSPROD-38936: daily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H27" authorId="0" shapeId="0" xr:uid="{00000000-0006-0000-0100-00002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EHCOSPROD-39378 - Anexação de Documentos Administrativos (reestimar, incluir parte de anexado desde PMG) (cerrar)
- EHCOSPROD-38607 - MULTICENTRO - Visor de historia clínica y resumen (errores de compilación, seguimiento y soporte alfonso) (Revisión errores encontrados)
- EHCOSPROD-39890 - Validação EFR no agendamento (seguimiento y soporte Rodrigo, validaciones y pruebas mínimas)
- revisar documentación de los evolutivos de la 5.15 que haya analizado (incluir marca confidencialidad)
- seguimiento desarrollos Portugal: EHCSPROD-40516, EHCOSPROD-39378
- EHCOSPROD-41846 - INTEGRACIÓN: ehCOS Clinic - ehCOS Triaje sincronización usuario (desarrollo y pruebas, registrar horas excel y avance)
- EHCOSPROD-38936: daily</t>
        </r>
        <r>
          <rPr>
            <b/>
            <sz val="8"/>
            <color indexed="81"/>
            <rFont val="Tahoma"/>
            <family val="2"/>
          </rPr>
          <t xml:space="preserve">
Avance:
EHCOSPROD-39378 - Anexação de Documentos Administrativos (reestimar, incluir parte de anexado desde PMG) (cerrar) Falta dudas Aida
- EHCOSPROD-38607 - MULTICENTRO - Visor de historia clínica y resumen (errores de compilación, seguimiento y soporte alfonso) (Revisión errores 
encontrados) *
- seguimiento desarrollos Portugal: EHCSPROD-40516, EHCOSPROD-39378 
Tareas soporte (bruno, karen, Marta Ruiz)
Soporte Gino (preguntar Jira)
Soportes y seguimientos EHCOSPROD-41846
- EHCOSPROD-38936: daily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I27" authorId="0" shapeId="0" xr:uid="{00000000-0006-0000-0100-00002E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EHCOSPROD-39378 - Anexação de Documentos Administrativos (reestimar, incluir parte de anexado desde PMG) (cerrar)
- EHCOSPROD-38607 - MULTICENTRO - Visor de historia clínica y resumen (errores de compilación, seguimiento y soporte alfonso) (Revisión errores encontrados)
- revisar documentación de los evolutivos de la 5.15 que haya analizado (incluir marca confidencialidad)
- seguimiento desarrollos Portugal: EHCSPROD-40516, EHCOSPROD-39378
- EHCOSPROD-41846 - INTEGRACIÓN: ehCOS Clinic - ehCOS Triaje sincronización usuario (desarrollo y pruebas, registrar horas excel y avance)
-EHCOSPROD-40564 PROGRAMAR_CITAS_RANGO_HORAS (soporte, seguimiento Gino)
- EHCOSPROD-38936: daily
</t>
        </r>
        <r>
          <rPr>
            <b/>
            <sz val="8"/>
            <color indexed="81"/>
            <rFont val="Tahoma"/>
            <family val="2"/>
          </rPr>
          <t xml:space="preserve">
Avance:
- EHCOSPROD-38936: daily
- EHCOSPROD-41846 - INTEGRACIÓN: ehCOS Clinic - ehCOS Triaje generar servicio de rest y pruebas unitarias y ajustes
- EHCOSPROD-40564 PROGRAMAR_CITAS_RANGO_HORAS (soporte, seguimiento Gino)
- seguimiento desarrollos Portugal: EHCSPROD-40516 (soporte)
-EHCOSPROD-40564 PROGRAMAR_CITAS_RANGO_HORAS (soporte, seguimiento Gino)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J27" authorId="0" shapeId="0" xr:uid="{00000000-0006-0000-0100-00002F030000}">
      <text>
        <r>
          <rPr>
            <b/>
            <sz val="8"/>
            <color indexed="81"/>
            <rFont val="Tahoma"/>
            <family val="2"/>
          </rPr>
          <t xml:space="preserve">Tareas planificadas:
- Asuntos personales 
</t>
        </r>
        <r>
          <rPr>
            <sz val="8"/>
            <color indexed="81"/>
            <rFont val="Tahoma"/>
            <family val="2"/>
          </rPr>
          <t xml:space="preserve">- EHCOSPROD-39378 - Anexação de Documentos Administrativos (reestimar, incluir parte de anexado desde PMG) (cerrar)
- EHCOSPROD-38607 - MULTICENTRO - Visor de historia clínica y resumen (errores de compilación, seguimiento y soporte alfonso) (Pendiente de liberación)
- revisar documentación de los evolutivos de la 5.15 que haya analizado (incluir marca confidencialidad)
- seguimiento desarrollos Portugal: EHCSPROD-40516, EHCOSPROD-39378
- EHCOSPROD-41846 - INTEGRACIÓN: ehCOS Clinic - ehCOS Triaje sincronización usuario (desarrollo y pruebas, registrar horas excel y avance) (cerrar entre hoy y primera hora de mañana)
-EHCOSPROD-40564 PROGRAMAR_CITAS_RANGO_HORAS (soporte, seguimiento Gino)
- EHCOSPROD-38936: daily
</t>
        </r>
        <r>
          <rPr>
            <b/>
            <sz val="8"/>
            <color indexed="81"/>
            <rFont val="Tahoma"/>
            <family val="2"/>
          </rPr>
          <t xml:space="preserve">
Avance:
- Asuntos personales 
- EHCOSPROD-38607 - MULTICENTRO - Visor de historia clínica y resumen (errores de compilación, seguimiento y soporte alfonso) (Pendiente de liberación)
- seguimiento desarrollos Portugal: EHCSPROD-40516, EHCOSPROD-39378
- EHCOSPROD-41846 - INTEGRACIÓN: ehCOS Clinic - ehCOS Triaje sincronización usuario (desarrollo y pruebas, registrar horas excel y avance)
- EHCOSPROD-40564 PROGRAMAR_CITAS_RANGO_HORAS (soporte, seguimiento Gino)
- EHCOSPROD-38936: daily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K27" authorId="0" shapeId="0" xr:uid="{00000000-0006-0000-0100-000030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
- EHCOSPROD-41846 - INTEGRACIÓN: ehCOS Clinic - ehCOS Triaje sincronización usuario (desarrollo y pruebas, registrar horas excel y avance)
- 40187 Revisar tareas multifirma *
- Anexado de documentacion
- EHCOSPROD-38936: daily
</t>
        </r>
        <r>
          <rPr>
            <b/>
            <sz val="8"/>
            <color indexed="81"/>
            <rFont val="Tahoma"/>
            <family val="2"/>
          </rPr>
          <t xml:space="preserve">
Avance:
- EHCOSPROD-40564 - PROGRAMAR_CITAS_RANGO_HORAS (soporte, seguimiento Gino)
- seguimiento desarrollos Portugal: EHCOSPROD-40516,  EHCOSPROD-39378
-anexado de documentación*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L27" authorId="0" shapeId="0" xr:uid="{00000000-0006-0000-0100-000031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
- EHCOSPROD-41846 - INTEGRACIÓN: ehCOS Clinic - ehCOS Triaje sincronización usuario (desarrollo y pruebas, registrar horas excel y avance)
- 40187 Revisar tareas multifirma *
- Anexado de documentacion
- EHCOSPROD-38936: daily
</t>
        </r>
        <r>
          <rPr>
            <b/>
            <sz val="8"/>
            <color indexed="81"/>
            <rFont val="Tahoma"/>
            <family val="2"/>
          </rPr>
          <t xml:space="preserve">
Avance:
- EHCOSPROD-39378 - Anexação de Documentos Administrativos (reestimar, incluir parte de anexado desde PMG) Analisis modificaciones. Tareas faltantes y dudas
- ehcosprod-40187 dt Revisión 
- Seguimientos evolutivos 40084 finalizado.
- 40516 Peniente de despliegue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O27" authorId="0" shapeId="0" xr:uid="{00000000-0006-0000-0100-000032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
- EHCOSPROD-41846 - INTEGRACIÓN: ehCOS Clinic - ehCOS Triaje sincronización usuario (desarrollo y pruebas, registrar horas excel y avance) * Triaje comunicarse con triaje y hacer pruebas integradas. y  Soporte y triaje. Documentación
- 40187 Seguimiento Revisar tareas multifirma *
- Anexado de documentacion
- EHCOSPROD-38936: daily
</t>
        </r>
        <r>
          <rPr>
            <b/>
            <sz val="8"/>
            <color indexed="81"/>
            <rFont val="Tahoma"/>
            <family val="2"/>
          </rPr>
          <t xml:space="preserve">
Avance:
- 5h sin luz.
- Soporte Melo 41702 - 39410
- seguimiento desarrollos Portugal: EHCOSPROD-40516,  EHCOSPROD-39378
- EHCOSPROD-41846 - INTEGRACIÓN: ehCOS Clinic - ehCOS Triaje sincronización usuario (desarrollo y pruebas, registrar horas excel y avance) * Triaje comunicarse con triaje y hacer pruebas integradas. y  Soporte y triaje. Merge con el trunk.
- EHCOSPROD-38936: daily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P27" authorId="0" shapeId="0" xr:uid="{00000000-0006-0000-0100-000033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EHCOSPROD-39378 - 40187 Seguimiento Revisar tareas multifirma 
- EHCOSPROD-41846 - INTEGRACIÓN: ehCOS Clinic - ehCOS Triaje sincronización usuario (desarrollo y pruebas, registrar horas excel y avance) * Triaje comunicarse con triaje y hacer pruebas integradas. y  Soporte y triaje. Merge con el trunk. Documentación
- EHCOSPROD  39410 Cambios en el Ris
- EHCOSPROD-38936: daily
</t>
        </r>
        <r>
          <rPr>
            <b/>
            <sz val="8"/>
            <color indexed="81"/>
            <rFont val="Tahoma"/>
            <family val="2"/>
          </rPr>
          <t xml:space="preserve">
Avance:
- EHCOSPROD-39378 - Anexação de Documentos Administrativos (reestimar, incluir parte de anexado desde PMG) Analisis modificaciones.
- seguimiento desarrollos Portugal: EHCOSPROD-40516,  EHCOSPROD-39378  40187 Seguimiento Revisar tareas multifirma 
- 39410 Cambios en el Ris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Q27" authorId="0" shapeId="0" xr:uid="{00000000-0006-0000-0100-000034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EHCOSPROD-39378 - 40187 Seguimiento Revisar tareas multifirma 
- EHCOSPROD-41846 - INTEGRACIÓN: ehCOS Clinic - ehCOS Triaje sincronización usuario (desarrollo y pruebas, registrar horas excel y avance) * Triaje comunicarse con triaje y hacer pruebas integradas. y  Soporte y triaje. Merge con el trunk. Documentación
- EHCOSPROD  39410 Cambios en el Ris
- EHCOSPROD-38936: daily
</t>
        </r>
        <r>
          <rPr>
            <b/>
            <sz val="8"/>
            <color indexed="81"/>
            <rFont val="Tahoma"/>
            <family val="2"/>
          </rPr>
          <t xml:space="preserve">
Avance:
- Estabilizacion 5.15 
- Seguimiento de evolutivos
Hoy: Estabilización 5.15 y revisar dt de melo. 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R27" authorId="0" shapeId="0" xr:uid="{00000000-0006-0000-0100-000035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EHCOSPROD-39378 - 40187 Seguimiento Revisar tareas multifirma 
- EHCOSPROD-41846 - INTEGRACIÓN: ehCOS Clinic - ehCOS Triaje sincronización usuario (desarrollo y pruebas, registrar horas excel y avance) * Triaje comunicarse con triaje y hacer pruebas integradas. y  Soporte y triaje. Merge con el trunk. Documentación
- EHCOSPROD  39410 Cambios en el Ris
- EHCOSPROD-38936: daily
</t>
        </r>
        <r>
          <rPr>
            <b/>
            <sz val="8"/>
            <color indexed="81"/>
            <rFont val="Tahoma"/>
            <family val="2"/>
          </rPr>
          <t xml:space="preserve">
Avance:
- Soporte Melo
- Sesiones por producto
- Seguimiento portugal Jira estimados
- Revision evolutivos
- Estabilizacion 5.15 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S27" authorId="0" shapeId="0" xr:uid="{00000000-0006-0000-0100-00003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EHCOSPROD-39378 - 40187 Seguimiento Revisar tareas multifirma 
- EHCOSPROD-41846 - INTEGRACIÓN: ehCOS Clinic - ehCOS Triaje sincronización usuario (desarrollo y pruebas, registrar horas excel y avance) * Triaje comunicarse con triaje y hacer pruebas integradas. y  Soporte y triaje. Merge con el trunk. Documentación
- Estabilización 5,15
- EHCOSPROD-38936: daily
</t>
        </r>
        <r>
          <rPr>
            <b/>
            <sz val="8"/>
            <color indexed="81"/>
            <rFont val="Tahoma"/>
            <family val="2"/>
          </rPr>
          <t xml:space="preserve">
Avance:
- Estabilización 5,15
- seguimiento desarrollos Portugal: EHCOSPROD-40516,  EHCOSPROD-39378 - 40187 
- Seguimiento Evolutivos portugal producto
- Reunión portugal EHCOSPROD-39378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V27" authorId="0" shapeId="0" xr:uid="{00000000-0006-0000-0100-00003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EHCOSPROD-39378 - 40187 Seguimiento 
- EHCOSPROD-41846 - INTEGRACIÓN: ehCOS Clinic - ehCOS Triaje sincronización usuario (desarrollo y pruebas, registrar horas excel y avance) * Triaje comunicarse con triaje y hacer pruebas integradas. y  Soporte y triaje. Merge con el trunk. Documentación
- Estabilización 5,15
- EHCOSPROD-38936: daily
</t>
        </r>
        <r>
          <rPr>
            <b/>
            <sz val="8"/>
            <color indexed="81"/>
            <rFont val="Tahoma"/>
            <family val="2"/>
          </rPr>
          <t xml:space="preserve">
Avance:
Estabilización 5,15 - EHCOSPRO 45244
Soporte Portugal revisión dts 40878, Evolutivos de melo revison dts
Revision dudas Hector
EHCOSPROD41702 Revisión
44707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W27" authorId="0" shapeId="0" xr:uid="{00000000-0006-0000-0100-00003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EHCOSPROD-39378 - 40187 Seguimiento 
- EHCOSPROD-41846 - INTEGRACIÓN: ehCOS Clinic - ehCOS Triaje sincronización usuario (desarrollo y pruebas, registrar horas excel y avance) * Triaje comunicarse con triaje y hacer pruebas integradas. y  Soporte y triaje. Merge con el trunk. Documentación
- Estabilización 5,15
- EHCOSPROD-38936: daily
- EHCOSPROD-41702 Revisión
- EHCOSPROD-44707 Estabilización
</t>
        </r>
        <r>
          <rPr>
            <b/>
            <sz val="8"/>
            <color indexed="81"/>
            <rFont val="Tahoma"/>
            <family val="2"/>
          </rPr>
          <t xml:space="preserve">
Avance:
Estabilización 5,15 - EHCOSPRO 45244
Soporte Portugal revisión dts 40878, Evolutivos de melo revison dts
Revision dudas Hector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X27" authorId="0" shapeId="0" xr:uid="{00000000-0006-0000-0100-00003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EHCOSPROD-39378 - 40187 Seguimiento 
- EHCOSPROD-41846 - INTEGRACIÓN: ehCOS Clinic - ehCOS Triaje sincronización usuario (desarrollo y pruebas, registrar horas excel y avance) * Triaje comunicarse con triaje y hacer pruebas integradas. y  Soporte y triaje. Merge con el trunk. Documentación
- Estabilización 5,15
- EHCOSPROD-38936: daily
- EHCOSPROD-41702 Revisión
- EHCOSPROD-44707 Estabilización
</t>
        </r>
        <r>
          <rPr>
            <b/>
            <sz val="8"/>
            <color indexed="81"/>
            <rFont val="Tahoma"/>
            <family val="2"/>
          </rPr>
          <t xml:space="preserve">
Avance:
- Seguimiento evolutivos  
- Revisión tareas
- Modificaciones revisiones tareas realizadas y resto de modificaciones correos indicando correcciones.
- Soporte de Melo EFR
- Estabilizacion 5,15 3 bugs en uno hoy 45400
- Seguimiento evolutivos
- Revision error EFR
-&gt; Reunión revisión evolutivo*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Y27" authorId="0" shapeId="0" xr:uid="{00000000-0006-0000-0100-00003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EHCOSPROD-39378 - 40187 Seguimiento 
- EHCOSPROD-41846 - INTEGRACIÓN: ehCOS Clinic - ehCOS Triaje sincronización usuario (desarrollo y pruebas, registrar horas excel y avance) * Triaje comunicarse con triaje y hacer pruebas integradas. y  Soporte y triaje. Merge con el trunk. Documentación
- Estabilización 5,15
- EHCOSPROD-38936: daily
- EHCOSPROD-38631 (Falta documento de liberación).
- EHCOSPROD-41702 Revisión
- EHCOSPROD-44707 Estabilización
</t>
        </r>
        <r>
          <rPr>
            <b/>
            <sz val="8"/>
            <color indexed="81"/>
            <rFont val="Tahoma"/>
            <family val="2"/>
          </rPr>
          <t xml:space="preserve">
Avance:
- 2h DT modificaciones Perfiles. Actualizar jira y estimación
- Soporte Melo con EFR.
- Soporte Melo EHCOSPROD-40516 Merge trunk.
- Soporte Melo Filipe Dudas Servicio jpa.
- Estabilización de la 5,15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F27" authorId="0" shapeId="0" xr:uid="{00000000-0006-0000-0100-00003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EHCOSPROD-39378 - 40187 Seguimiento 
- EHCOSPROD-41846 - INTEGRACIÓN: ehCOS Clinic - ehCOS Triaje sincronización usuario (desarrollo y pruebas, registrar horas excel y avance) * Triaje comunicarse con triaje y hacer pruebas integradas. y  Soporte y triaje. Merge con el trunk. Documentación
- Estabilización 5,15
- EHCOSPROD-38936: daily
- EHCOSPROD-38631 (Falta documento de liberación).
- EHCOSPROD-41702 Revisión
- EHCOSPROD-44707 Estabilización
</t>
        </r>
        <r>
          <rPr>
            <b/>
            <sz val="8"/>
            <color indexed="81"/>
            <rFont val="Tahoma"/>
            <family val="2"/>
          </rPr>
          <t xml:space="preserve">
Avance:
- Poner al dia (problemas one drive)
- Seguimiento evolutivos y melo
- Estabilización 5,15 2 incidencias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G27" authorId="0" shapeId="0" xr:uid="{00000000-0006-0000-0100-00003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EHCOSPROD-39378 - 40187 Seguimiento 
- EHCOSPROD-41846 - INTEGRACIÓN: ehCOS Clinic - ehCOS Triaje sincronización usuario (desarrollo y pruebas, registrar horas excel y avance) * Triaje comunicarse con triaje y hacer pruebas integradas. y  Soporte y triaje. Merge con el trunk. Documentación
- Estabilización 5,15
- EHCOSPROD-38936: daily
- EHCOSPROD-38631 (Falta documento de liberación).
- EHCOSPROD-41702 Revisión
- EHCOSPROD-44707 Estabilización
</t>
        </r>
        <r>
          <rPr>
            <b/>
            <sz val="8"/>
            <color indexed="81"/>
            <rFont val="Tahoma"/>
            <family val="2"/>
          </rPr>
          <t xml:space="preserve">
Avance: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J27" authorId="0" shapeId="0" xr:uid="{00000000-0006-0000-0100-00003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EHCOSPROD-39378 - 40187 Seguimiento 
- EHCOSPROD-41846 - INTEGRACIÓN: ehCOS Clinic - ehCOS Triaje sincronización usuario (desarrollo y pruebas, registrar horas excel y avance) * Triaje comunicarse con triaje y hacer pruebas integradas. y  Soporte y triaje. Merge con el trunk. Documentación
- Estabilización 5,15
- EHCOSPROD-38936: daily
- EHCOSPROD-38631 (Falta documento de liberación).
- EHCOSPROD-41702 Revisión
- EHCOSPROD-44707 Estabilización
</t>
        </r>
        <r>
          <rPr>
            <b/>
            <sz val="8"/>
            <color indexed="81"/>
            <rFont val="Tahoma"/>
            <family val="2"/>
          </rPr>
          <t xml:space="preserve">
Avance:
- Soporte de Melo a bruno
- Seguimientos de incidencias y revisiones dt y tareas Jira.
- Estabilización.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K27" authorId="0" shapeId="0" xr:uid="{00000000-0006-0000-0100-00003E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EHCOSPROD-39378 - 40187 Seguimiento 
- EHCOSPROD-41846 - INTEGRACIÓN: ehCOS Clinic - ehCOS Triaje sincronización usuario (desarrollo y pruebas, registrar horas excel y avance) * Triaje comunicarse con triaje y hacer pruebas integradas. y  Soporte y triaje. Merge con el trunk. Documentación
- Estabilización 5,15
- EHCOSPROD-38936: daily
- EHCOSPROD-38631 (Falta documento de liberación).
</t>
        </r>
        <r>
          <rPr>
            <b/>
            <sz val="8"/>
            <color indexed="81"/>
            <rFont val="Tahoma"/>
            <family val="2"/>
          </rPr>
          <t xml:space="preserve">
Avance:
- Seguimiento y soporte MELO
- Estabilización 5,15
- Prueba concepto popUp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L27" authorId="0" shapeId="0" xr:uid="{00000000-0006-0000-0100-00003F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EHCOSPROD-40564 - PROGRAMAR_CITAS_RANGO_HORAS (soporte, seguimiento Gino)
- EHCOSPROD-39378 - Anexação de Documentos Administrativos (reestimar, incluir parte de anexado desde PMG) Analisis modificaciones.
- seguimiento desarrollos Portugal: EHCOSPROD-40516,  EHCOSPROD-39378 - 40187 Seguimiento 
- EHCOSPROD-41846 - INTEGRACIÓN: ehCOS Clinic - ehCOS Triaje sincronización usuario (desarrollo y pruebas, registrar horas excel y avance) * Triaje comunicarse con triaje y hacer pruebas integradas. y  Soporte y triaje. Merge con el trunk. Documentación
- Estabilización 5,15
- EHCOSPROD-38936: daily
- EHCOSPROD-38631 (Falta documento de liberación).
</t>
        </r>
        <r>
          <rPr>
            <b/>
            <sz val="8"/>
            <color indexed="81"/>
            <rFont val="Tahoma"/>
            <family val="2"/>
          </rPr>
          <t xml:space="preserve">
Avance:
- Seguimiento y soporte MELO
- Estabilización 5,15
- Excel integraciones. *
- Prueba concepto *
Backlog: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D28" authorId="2" shapeId="0" xr:uid="{00000000-0006-0000-0100-000040030000}">
      <text>
        <r>
          <rPr>
            <b/>
            <sz val="9"/>
            <color indexed="81"/>
            <rFont val="Tahoma"/>
            <family val="2"/>
          </rPr>
          <t xml:space="preserve">Marcela Alejandra Alvarado Jara:
</t>
        </r>
        <r>
          <rPr>
            <sz val="9"/>
            <color indexed="81"/>
            <rFont val="Tahoma"/>
            <family val="2"/>
          </rPr>
          <t>evolutivo multicentro urgencias. (revisar con Ricardo V. lo que se ha avanzado)</t>
        </r>
      </text>
    </comment>
    <comment ref="KE28" authorId="2" shapeId="0" xr:uid="{00000000-0006-0000-0100-000041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ayer:EHCOSPROD-38585 desarrollo lista de urgencias
Por hacer:desarrollo evolutivo EHCOSPROD-38585</t>
        </r>
      </text>
    </comment>
    <comment ref="KF28" authorId="2" shapeId="0" xr:uid="{00000000-0006-0000-0100-000042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ayer:EHCOSPROD-38585 desarrollo lista de urgencias (lista de urgencias)
Por hacer:EHCOSPROD-38585 desarrollo lista de urgencias (confirmar solicitud)</t>
        </r>
      </text>
    </comment>
    <comment ref="KG28" authorId="2" shapeId="0" xr:uid="{00000000-0006-0000-0100-000043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evolutivo  EHCOSPROD-38585 (desarrollo)
Por hacer: evolutivo  EHCOSPROD-38585 (final desarrollo parte de Hernan y Sonar)</t>
        </r>
      </text>
    </comment>
    <comment ref="KH28" authorId="2" shapeId="0" xr:uid="{00000000-0006-0000-0100-000044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Evolutivo  EHCOSPROD-38585 (desarrollo), se actulizo branch y se comenzo a pasar el plan de pruebas.
Por hacer: Evolutivo  EHCOSPROD-38585 (desarrollo), terminar de pasar el plan de pruebas. Y aclarar dudas con Javier</t>
        </r>
      </text>
    </comment>
    <comment ref="KK28" authorId="0" shapeId="0" xr:uid="{00000000-0006-0000-0100-000045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EHCOSPROD-38585 - MULTICENTRO - Urgencias (desarrollo, pruebas. Realizar punto de control) inicio 21/12/2020, fin 13/01/2021
- EHCOSPROD-38589 - MULTICENTRO - Hospitalización (lectura documentación, desarrollo) inicio 14/01/2021, fin 18/01/2021
Ausencia por acudir al hospital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R28" authorId="0" shapeId="0" xr:uid="{00000000-0006-0000-0100-00004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preparar entornos desarrollo
- EHCOSPROD-38598 - MULTICENTRO - Bloque quirúrgico (lectura documentación, preparar entorno, desarrollo) fin 21/01
- correctivos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S28" authorId="0" shapeId="0" xr:uid="{00000000-0006-0000-0100-00004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EHCOSPROD-38598 - MULTICENTRO - Bloque quirúrgico (lectura documentación, preparar entorno, desarrollo) fin 21/01
- correctivos 5.15R
- daily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EHCOSPROD-38598 - MULTICENTRO - Bloque quirúrgico (desarrollo)
- daily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T28" authorId="0" shapeId="0" xr:uid="{00000000-0006-0000-0100-00004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EHCOSPROD-38598 - MULTICENTRO - Bloque quirúrgico (lectura documentación, preparar entorno, desarrollo) fin 21/01
- correctivos 5.15R
- daily</t>
        </r>
        <r>
          <rPr>
            <b/>
            <sz val="8"/>
            <color indexed="81"/>
            <rFont val="Tahoma"/>
            <family val="2"/>
          </rPr>
          <t xml:space="preserve">
Avance:
- EHCOSPROD-38598 - MULTICENTRO - Bloque quirúrgico (desarrollo)
- daily
Backlog:
</t>
        </r>
      </text>
    </comment>
    <comment ref="KU28" authorId="0" shapeId="0" xr:uid="{00000000-0006-0000-0100-00004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EHCOSPROD-38598 - MULTICENTRO - Bloque quirúrgico (actualizar rama con el trunk, desarrollo) fin 26/01
- daily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V28" authorId="0" shapeId="0" xr:uid="{00000000-0006-0000-0100-00004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daily
5.15R
- EHCOSPROD-38585 - MULTICENTRO - Bloque quirurgico (terminar desarrollo - pasar plan de pruebas y Sonar)
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 xml:space="preserve">Sale de vacaciones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M28" authorId="0" shapeId="0" xr:uid="{00000000-0006-0000-0100-00004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puesta al día
- Mantenimiento: correctivos 5.13.X - 5.14.X
- backlog proyectos o correctivos 5.15R
- Daily</t>
        </r>
        <r>
          <rPr>
            <b/>
            <sz val="8"/>
            <color indexed="81"/>
            <rFont val="Tahoma"/>
            <family val="2"/>
          </rPr>
          <t xml:space="preserve">
Avance:
- puesta al día
- backlog proyectos o correctivos 5.15R
- Daily
Backlog:
</t>
        </r>
      </text>
    </comment>
    <comment ref="LN28" authorId="0" shapeId="0" xr:uid="{00000000-0006-0000-0100-00004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correctivos 5.13.X - 5.14.X
- backlog proyectos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Mantenimiento: correctivos 5.13.X - 5.14.X
- backlog proyectos o correctivos 5.15R
- Daily
Backlog:
</t>
        </r>
      </text>
    </comment>
    <comment ref="LO28" authorId="0" shapeId="0" xr:uid="{00000000-0006-0000-0100-00004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correctivos 5.13.X - 5.14.X
- backlog proyectos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Mantenimiento: correctivos 5.13.X
- sesión popr producto
- Daily
Backlog:
</t>
        </r>
      </text>
    </comment>
    <comment ref="LP28" authorId="0" shapeId="0" xr:uid="{00000000-0006-0000-0100-00004E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correctivos 5.13.X - 5.14.X
- backlog proyectos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Mantenimiento: correctivos 5.13.X
- Daily
Backlog:
</t>
        </r>
      </text>
    </comment>
    <comment ref="LQ28" authorId="0" shapeId="0" xr:uid="{00000000-0006-0000-0100-00004F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correctivos 5.13.X - 5.14.X
- backlog proyectos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Mantenimiento: correctivos 5.13.X
- Daily
Backlog:
</t>
        </r>
      </text>
    </comment>
    <comment ref="LT28" authorId="0" shapeId="0" xr:uid="{00000000-0006-0000-0100-000050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correctivos 5.13.X - 5.14.X
- backlog proyectos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Mantenimiento: correctivos 5.13.X
- Daily
Backlog:
- Vacaciones 5 días Julio (semana 19, pdte confirmar)
</t>
        </r>
      </text>
    </comment>
    <comment ref="LU28" authorId="0" shapeId="0" xr:uid="{00000000-0006-0000-0100-000051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correctivos 5.13.5
- backlog correctivos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Mantenimiento: correctivos 5.13.5
- backlog correctivos o correctivos 5.15R
- Daily
Backlog:
- Vacaciones 5 días Julio (semana 19, pdte confirmar)
</t>
        </r>
      </text>
    </comment>
    <comment ref="LV28" authorId="0" shapeId="0" xr:uid="{00000000-0006-0000-0100-000052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correctivos 5.13.X, 5.14.X
- backlog correctivos o correctivos 5.15R
- Daily</t>
        </r>
        <r>
          <rPr>
            <b/>
            <sz val="8"/>
            <color indexed="81"/>
            <rFont val="Tahoma"/>
            <family val="2"/>
          </rPr>
          <t xml:space="preserve">
Avance:
- backlog correctivos o correctivos 5.15R
- Daily
Backlog:
- Vacaciones 5 días Julio (semana 19, pdte confirmar)
</t>
        </r>
      </text>
    </comment>
    <comment ref="LW28" authorId="0" shapeId="0" xr:uid="{00000000-0006-0000-0100-000053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correctivos 5.13.X, 5.14.X
- merges, backlog correctivos o correctivos 5.15R
- Daily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jiras de rendimiento 5.15
- jiras mantenimiento 5.13.x</t>
        </r>
        <r>
          <rPr>
            <b/>
            <sz val="8"/>
            <color indexed="81"/>
            <rFont val="Tahoma"/>
            <family val="2"/>
          </rPr>
          <t xml:space="preserve">
Backlog:
- Vacaciones 5 días Julio (semana 19, pdte confirmar)
</t>
        </r>
      </text>
    </comment>
    <comment ref="LX28" authorId="0" shapeId="0" xr:uid="{00000000-0006-0000-0100-000054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Sandra, correctivos 5.13.7: EHCOSPROD-44389
- merges, backlog correctivos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Mantenimiento: seguimiento con Sandra, correctivos 5.13.7: EHCOSPROD-44389
- Daily
Backlog:
- Vacaciones 5 días Julio (semana 19, pdte confirmar)
</t>
        </r>
      </text>
    </comment>
    <comment ref="MA28" authorId="0" shapeId="0" xr:uid="{00000000-0006-0000-0100-000055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Sandra, correctivos 5.13.7: EHCOSPROD-44489, EHCOSPROD-44127 (soporte)
- merges, backlog correctivos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Mantenimiento: seguimiento con Sandra, correctivos 5.13.7
- merges
- Daily
Backlog:
- Vacaciones 5 días Julio (semana 19, pdte confirmar)
</t>
        </r>
      </text>
    </comment>
    <comment ref="MB28" authorId="0" shapeId="0" xr:uid="{00000000-0006-0000-0100-00005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Sandra, correctivos 5.13.7
- soporte: EHCOSPROD-44127
- merges, backlog correctivos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Mantenimiento: seguimiento con Sandra, 
-j ira asignacion de cama 5.13.7
- merges 5.15R
- Daily
Backlog:
- Vacaciones 5 días Julio (semana 19, pdte confirmar)
</t>
        </r>
      </text>
    </comment>
    <comment ref="MC28" authorId="0" shapeId="0" xr:uid="{00000000-0006-0000-0100-00005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Sandra, correctivos 5.13.7
- merges, backlog correctivos o correctivos 5.15R
- Daily</t>
        </r>
        <r>
          <rPr>
            <b/>
            <sz val="8"/>
            <color indexed="81"/>
            <rFont val="Tahoma"/>
            <family val="2"/>
          </rPr>
          <t xml:space="preserve">
Avance:
- jira asignacion de cama 5.13.7
- merges 5.15R
- Daily
Backlog:
- Vacaciones 5 días Julio (semana 19, pdte confirmar)
</t>
        </r>
      </text>
    </comment>
    <comment ref="MD28" authorId="0" shapeId="0" xr:uid="{00000000-0006-0000-0100-00005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
- merges, backlog correctivos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merges 5.15R (con modificaciones)
- Daily
Backlog:
- Vacaciones 5 días Julio (semana 19, pdte confirmar)
</t>
        </r>
      </text>
    </comment>
    <comment ref="ME28" authorId="0" shapeId="0" xr:uid="{00000000-0006-0000-0100-00005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 
- merges, backlog correctivos o correctivos 5.15R
-EHCOSPROD-41177 - jira pentago
- Daily</t>
        </r>
        <r>
          <rPr>
            <b/>
            <sz val="8"/>
            <color indexed="81"/>
            <rFont val="Tahoma"/>
            <family val="2"/>
          </rPr>
          <t xml:space="preserve">
Avance:
Backlog:
- Vacaciones 5 días Julio (semana 19, pdte confirmar)
</t>
        </r>
      </text>
    </comment>
    <comment ref="MH28" authorId="0" shapeId="0" xr:uid="{00000000-0006-0000-0100-00005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 
- merges, backlog correctivos o correctivos 5.15R
-EHCOSPROD-41177 - jira pentaho
- Daily</t>
        </r>
        <r>
          <rPr>
            <b/>
            <sz val="8"/>
            <color indexed="81"/>
            <rFont val="Tahoma"/>
            <family val="2"/>
          </rPr>
          <t xml:space="preserve">
Avance:
- EHCOSPROD-41177 - jira pentaho
- correctivos 5.15R
- Daily
Backlog:
- Vacaciones 5 días Julio (semana 19, pdte confirmar)
</t>
        </r>
      </text>
    </comment>
    <comment ref="MI28" authorId="0" shapeId="0" xr:uid="{00000000-0006-0000-0100-00005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 
- merges, backlog correctivos o correctivos 5.15R
-EHCOSPROD-41177 - jira pentago
- Daily</t>
        </r>
        <r>
          <rPr>
            <b/>
            <sz val="8"/>
            <color indexed="81"/>
            <rFont val="Tahoma"/>
            <family val="2"/>
          </rPr>
          <t xml:space="preserve">
Avance:
- correctivos 5.15R
-revision jiras pausados
- Daily
Backlog:
- Vacaciones 5 días Julio (semana 19, pdte confirmar)
</t>
        </r>
      </text>
    </comment>
    <comment ref="MJ28" authorId="0" shapeId="0" xr:uid="{00000000-0006-0000-0100-00005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 
- backlog correctivos o correctivos 5.15R
-EHCOSPROD-41177 - jira pentago
- Daily</t>
        </r>
        <r>
          <rPr>
            <b/>
            <sz val="8"/>
            <color indexed="81"/>
            <rFont val="Tahoma"/>
            <family val="2"/>
          </rPr>
          <t xml:space="preserve">
Avance:
- correctivos 5.15R
- revision indicadores pentaho
- Daily
Backlog:
- Vacaciones 5 días Julio (semana 19, pdte confirmar)
- jueves reunion de centros con Ramon</t>
        </r>
      </text>
    </comment>
    <comment ref="MK28" authorId="0" shapeId="0" xr:uid="{00000000-0006-0000-0100-00005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  y correctivos 5.13.8
- backlog correctivos o correctivos 5.15R
- EHCOSPROD-41177 - jira pentaho
- reunion de centros con Ramon
- Daily</t>
        </r>
        <r>
          <rPr>
            <b/>
            <sz val="8"/>
            <color indexed="81"/>
            <rFont val="Tahoma"/>
            <family val="2"/>
          </rPr>
          <t xml:space="preserve">
Avance:
- jira para parche 5.13.x
- correctivos 5.15R
- Daily
-reunion con Ramon
Backlog:
- Vacaciones 5 días Julio (semana 19, pdte confirmar)</t>
        </r>
      </text>
    </comment>
    <comment ref="ML28" authorId="0" shapeId="0" xr:uid="{00000000-0006-0000-0100-00005E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  y correctivos 5.13.x
- backlog correctivos o correctivos 5.15R
- EHCOSPROD-41177 - jira pentaho
- Daily</t>
        </r>
        <r>
          <rPr>
            <b/>
            <sz val="8"/>
            <color indexed="81"/>
            <rFont val="Tahoma"/>
            <family val="2"/>
          </rPr>
          <t xml:space="preserve">
Avance:
-merge de 5.13 al trunk
-correctivos 5.15
Backlog:
- Vacaciones 5 días Julio (semana 19, pdte confirmar)</t>
        </r>
      </text>
    </comment>
    <comment ref="MO28" authorId="0" shapeId="0" xr:uid="{00000000-0006-0000-0100-00005F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
- correctivos 5.15R merge
- Daily</t>
        </r>
        <r>
          <rPr>
            <b/>
            <sz val="8"/>
            <color indexed="81"/>
            <rFont val="Tahoma"/>
            <family val="2"/>
          </rPr>
          <t xml:space="preserve">
Avance:
- Mantenimiento: seguimiento con Sandra
- correctivos 5.15R merge
- correctivos 5.13R
Backlog:
- Vacaciones 5 días Julio (semana 19, pdte confirmar)</t>
        </r>
      </text>
    </comment>
    <comment ref="MP28" authorId="0" shapeId="0" xr:uid="{00000000-0006-0000-0100-000060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
- correctivos 5.13R
- backlog correctivos o correctivos 5.15R
- Daily</t>
        </r>
        <r>
          <rPr>
            <b/>
            <sz val="8"/>
            <color indexed="81"/>
            <rFont val="Tahoma"/>
            <family val="2"/>
          </rPr>
          <t xml:space="preserve">
Avance:
- Daily
- Mantenimiento: seguimiento con Sandra
- correctivos 5.13R
- actualizar dump de PRO a 5.13
Backlog:
- Vacaciones 5 días Julio (semana 19, pdte confirmar)</t>
        </r>
      </text>
    </comment>
    <comment ref="MQ28" authorId="0" shapeId="0" xr:uid="{00000000-0006-0000-0100-000061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
- correctivos 5.13R
- backlog correctivos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Mantenimiento: seguimiento con Sandra
- correctivos 5.13R
- Daily
- Apoyo equipo
Backlog:
- Vacaciones 5 días Julio (semana 19, pdte confirmar)</t>
        </r>
      </text>
    </comment>
    <comment ref="MR28" authorId="0" shapeId="0" xr:uid="{00000000-0006-0000-0100-000062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
- correctivos 5.13R
- backlog correctivos o correctivos 5.15R
- Daily</t>
        </r>
        <r>
          <rPr>
            <b/>
            <sz val="8"/>
            <color indexed="81"/>
            <rFont val="Tahoma"/>
            <family val="2"/>
          </rPr>
          <t xml:space="preserve">
Avance:
- Mantenimiento: seguimiento con Sandra
- correctivos 5.13R
- backlog correctivos o correctivos 5.15R
- Daily
Backlog:
- Vacaciones 5 días Julio (semana 19, pdte confirmar)</t>
        </r>
      </text>
    </comment>
    <comment ref="MS28" authorId="0" shapeId="0" xr:uid="{00000000-0006-0000-0100-000063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Mantenimiento: seguimiento con Sandra
- correctivos 5.13R
- backlog correctivos o correctivos 5.15R
- Daily</t>
        </r>
        <r>
          <rPr>
            <b/>
            <sz val="8"/>
            <color indexed="81"/>
            <rFont val="Tahoma"/>
            <family val="2"/>
          </rPr>
          <t xml:space="preserve">
Avance:
Backlog:
- Vacaciones 5 días Julio (semana 19, pdte confirmar)</t>
        </r>
      </text>
    </comment>
    <comment ref="MV28" authorId="98" shapeId="0" xr:uid="{00000000-0006-0000-0100-000064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Jiras 5.13 merge al Trunk
Correctivos
Avance:
EHCOSPROD-40379: Indicadores, tardo un poco más
Revisión código con Mauricio
Planificación.
Backlog:</t>
      </text>
    </comment>
    <comment ref="MW28" authorId="99" shapeId="0" xr:uid="{00000000-0006-0000-0100-000065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Jiras 5.13 merge al Trunk
Correctivos
Avance:
EHCOSPROD-40379: Indicadores, tardo un poco más
Revisión código con Mauricio
Planificación.
Backlog:</t>
      </text>
    </comment>
    <comment ref="MX28" authorId="100" shapeId="0" xr:uid="{00000000-0006-0000-0100-000066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Jiras 5.13 merge al Trunk
Correctivos
Avance:
EHCOSPROD-40379: Indicadores, tardo un poco más
Revisión código con Mauricio
Planificación.
Backlog:</t>
      </text>
    </comment>
    <comment ref="MY28" authorId="0" shapeId="0" xr:uid="{00000000-0006-0000-0100-00006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Jiras 5.13 (si aplica)
Correctivos 5.15
</t>
        </r>
        <r>
          <rPr>
            <b/>
            <sz val="8"/>
            <color indexed="81"/>
            <rFont val="Tahoma"/>
            <family val="2"/>
          </rPr>
          <t xml:space="preserve">
Avance:
Jiras 5.13 (si aplica)
Correctivos 5.15:
-EHCOSPROD-45369
-EHCOSPROD-45454
-EHCOSPROD-45524
-EHCOSPROD-45438
Planificacion
Backlog:
</t>
        </r>
      </text>
    </comment>
    <comment ref="MZ28" authorId="0" shapeId="0" xr:uid="{00000000-0006-0000-0100-00006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Jiras 5.13 (si aplica)
Correctivos 5.15
Planificacion
</t>
        </r>
        <r>
          <rPr>
            <b/>
            <sz val="8"/>
            <color indexed="81"/>
            <rFont val="Tahoma"/>
            <family val="2"/>
          </rPr>
          <t xml:space="preserve">
Avance:
Correctivos 5.15: Agenda avanzada
Backlog:
</t>
        </r>
      </text>
    </comment>
    <comment ref="NC28" authorId="0" shapeId="0" xr:uid="{00000000-0006-0000-0100-00006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Jiras 5.13 (si aplica)
Correctivos 5.15
Planificacion
</t>
        </r>
        <r>
          <rPr>
            <b/>
            <sz val="8"/>
            <color indexed="81"/>
            <rFont val="Tahoma"/>
            <family val="2"/>
          </rPr>
          <t xml:space="preserve">
Avance:
reunion con Gerado por flujos de oncologia
Correctivos 5.15: Agenda avanzada
Backlog:
</t>
        </r>
      </text>
    </comment>
    <comment ref="ND28" authorId="0" shapeId="0" xr:uid="{00000000-0006-0000-0100-00006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Jiras 5.13 (si aplica)
Correctivos 5.15
Planificacion
</t>
        </r>
        <r>
          <rPr>
            <b/>
            <sz val="8"/>
            <color indexed="81"/>
            <rFont val="Tahoma"/>
            <family val="2"/>
          </rPr>
          <t xml:space="preserve">
Avance:
correctivos 5.15 agenda avanzada.
Daily
apoyo a Patricio
Backlog:
</t>
        </r>
      </text>
    </comment>
    <comment ref="NE28" authorId="0" shapeId="0" xr:uid="{00000000-0006-0000-0100-00006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Jiras 5.13 (si aplica)
Correctivos 5.15
Planificacion
daily
</t>
        </r>
        <r>
          <rPr>
            <b/>
            <sz val="8"/>
            <color indexed="81"/>
            <rFont val="Tahoma"/>
            <family val="2"/>
          </rPr>
          <t xml:space="preserve">
Avance:
correccion jiras facturación
problema caida steps
daily
Backlog:
</t>
        </r>
      </text>
    </comment>
    <comment ref="NF28" authorId="0" shapeId="0" xr:uid="{00000000-0006-0000-0100-00006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Jiras 5.13 (si aplica)
Correctivos 5.15
Planificacion
daily
seguimos con problema caida steps
</t>
        </r>
        <r>
          <rPr>
            <b/>
            <sz val="8"/>
            <color indexed="81"/>
            <rFont val="Tahoma"/>
            <family val="2"/>
          </rPr>
          <t xml:space="preserve">
Avance:
-corrección de errores excel 5.15
-daily
Backlog:
</t>
        </r>
      </text>
    </comment>
    <comment ref="NG28" authorId="0" shapeId="0" xr:uid="{00000000-0006-0000-0100-00006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Jiras 5.13 (si aplica)
Correctivos 5.15
Planificacion
daily
seguimos con problema caida steps
</t>
        </r>
        <r>
          <rPr>
            <b/>
            <sz val="8"/>
            <color indexed="81"/>
            <rFont val="Tahoma"/>
            <family val="2"/>
          </rPr>
          <t xml:space="preserve">
Avance:
correctivos 5.15 excel
daily
Backlog:
</t>
        </r>
      </text>
    </comment>
    <comment ref="NJ28" authorId="0" shapeId="0" xr:uid="{00000000-0006-0000-0100-00006E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Jiras 5.13 (si aplica)
Correctivos 5.15
Planificacion
daily
</t>
        </r>
        <r>
          <rPr>
            <b/>
            <sz val="8"/>
            <color indexed="81"/>
            <rFont val="Tahoma"/>
            <family val="2"/>
          </rPr>
          <t xml:space="preserve">
Avance:
correctivos 5.15
daily
Backlog:
</t>
        </r>
      </text>
    </comment>
    <comment ref="NK28" authorId="0" shapeId="0" xr:uid="{00000000-0006-0000-0100-00006F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Jiras 5.13 (si aplica)
Correctivos 5.15
Planificacion
daily
</t>
        </r>
        <r>
          <rPr>
            <b/>
            <sz val="8"/>
            <color indexed="81"/>
            <rFont val="Tahoma"/>
            <family val="2"/>
          </rPr>
          <t xml:space="preserve">
Avance:
correctivos 5.15
daily
Backlog:
</t>
        </r>
      </text>
    </comment>
    <comment ref="NL28" authorId="0" shapeId="0" xr:uid="{00000000-0006-0000-0100-000070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Jiras 5.13 (si aplica)
Correctivos 5.15
Planificacion
daily
</t>
        </r>
        <r>
          <rPr>
            <b/>
            <sz val="8"/>
            <color indexed="81"/>
            <rFont val="Tahoma"/>
            <family val="2"/>
          </rPr>
          <t xml:space="preserve">
Avance:
correctivos 5.15
planificacion fenix
daily
Backlog:
</t>
        </r>
      </text>
    </comment>
    <comment ref="KD29" authorId="2" shapeId="0" xr:uid="{00000000-0006-0000-0100-000071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
Correccion jiras de Sonar
Por hacer:
continuar Corrección jiras Sonar (validar que el trunk compile y realizar flujos basicos)
</t>
        </r>
      </text>
    </comment>
    <comment ref="KE29" authorId="2" shapeId="0" xr:uid="{00000000-0006-0000-0100-000072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correccion de incidencias Sonar.
Apoyo configuracion vpn alfonso y francisco.
Por hacer: Correccion de incidencias Sonar.</t>
        </r>
      </text>
    </comment>
    <comment ref="KF29" authorId="2" shapeId="0" xr:uid="{00000000-0006-0000-0100-000073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Correccion de incidencia Sonar.
Apoyo a francisco con jasper.
Por hacer: jiras filtro 5.15R</t>
        </r>
      </text>
    </comment>
    <comment ref="KG29" authorId="2" shapeId="0" xr:uid="{00000000-0006-0000-0100-000074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jiras filtro 5.15R
apoyo Francisco jasper.
Por hacer: jiras filtro 5.15R</t>
        </r>
      </text>
    </comment>
    <comment ref="KH29" authorId="2" shapeId="0" xr:uid="{00000000-0006-0000-0100-000075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jiras filtro 5.15R
apoyo a francisco.
Por hacer: jiras filtro 5.15R,</t>
        </r>
      </text>
    </comment>
    <comment ref="KK29" authorId="0" shapeId="0" xr:uid="{00000000-0006-0000-0100-00007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Daily
5.15R
- Correctivos: EHCOSPROD-28313, EHCOSPROD-37452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Correcciones SONAR: EHCOSPROD-43268 (pausada)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Daily
5.15R
- Correctivos: EHCOSPROD-28313, EHCOSPROD-37452 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L29" authorId="0" shapeId="0" xr:uid="{00000000-0006-0000-0100-00007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Daily
5.15R
- Correctivos: 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M29" authorId="0" shapeId="0" xr:uid="{00000000-0006-0000-0100-00007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EHCOSPROD-37586 - MULTICENTRO - CPOE (desarrollo) inicio 14/01/2021
- Correctivos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EHCOSPROD-37586 - MULTICENTRO - CPOE (lectura documentación, preparar entorno desarrollo)
- Correctivos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N29" authorId="0" shapeId="0" xr:uid="{00000000-0006-0000-0100-00007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EHCOSPROD-37586 - MULTICENTRO - CPOE (desarrollo) inicio 14/01/2021, fin 22/01/2021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EHCOSPROD-37586 - MULTICENTRO - CPOE (desarrollo)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O29" authorId="0" shapeId="0" xr:uid="{00000000-0006-0000-0100-00007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EHCOSPROD-37586 - MULTICENTRO - CPOE (desarrollo) inicio 14/01/2021, fin 22/01/2021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EHCOSPROD-37586 - MULTICENTRO - CPOE (desarrollo)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R29" authorId="0" shapeId="0" xr:uid="{00000000-0006-0000-0100-00007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EHCOSPROD-37586 - MULTICENTRO - CPOE (desarrollo) inicio 14/01/2021, fin 22/01/2021 -&gt; solo 3,5h de avance?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S29" authorId="0" shapeId="0" xr:uid="{00000000-0006-0000-0100-00007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EHCOSPROD-37586 - MULTICENTRO - CPOE (desarrollo) inicio 14/01/2021, fin 22/01/2021 
- Daily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EHCOSPROD-37586 - MULTICENTRO - CPOE (desarrollo)
- Daily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T29" authorId="0" shapeId="0" xr:uid="{00000000-0006-0000-0100-00007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EHCOSPROD-37586 - MULTICENTRO - CPOE (preparar entorno tras movimiento de ramas, desarrollo) inicio 14/01/2021, fin 22/01/2021 
- Daily</t>
        </r>
        <r>
          <rPr>
            <b/>
            <sz val="8"/>
            <color indexed="81"/>
            <rFont val="Tahoma"/>
            <family val="2"/>
          </rPr>
          <t xml:space="preserve">
Avance:
- EHCOSPROD-37586 - MULTICENTRO - CPOE (preparar entorno tras movimiento de ramas, desarrollo)
- Daily
Backlog:
</t>
        </r>
      </text>
    </comment>
    <comment ref="KU29" authorId="0" shapeId="0" xr:uid="{00000000-0006-0000-0100-00007E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EHCOSPROD-37586 - MULTICENTRO - CPOE (desarrollo) inicio 14/01/2021, fin 22/01/2021 
- Daily</t>
        </r>
        <r>
          <rPr>
            <b/>
            <sz val="8"/>
            <color indexed="81"/>
            <rFont val="Tahoma"/>
            <family val="2"/>
          </rPr>
          <t xml:space="preserve">
Avance:
- EHCOSPROD-37586 - MULTICENTRO - CPOE (desarrollo)
- Daily
Backlog:
</t>
        </r>
      </text>
    </comment>
    <comment ref="KV29" authorId="0" shapeId="0" xr:uid="{00000000-0006-0000-0100-00007F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Daily
5.15R
- EHCOSPROD-37586 - MULTICENTRO - CPOE (desarrollo) </t>
        </r>
        <r>
          <rPr>
            <b/>
            <sz val="8"/>
            <color indexed="81"/>
            <rFont val="Tahoma"/>
            <family val="2"/>
          </rPr>
          <t xml:space="preserve">
Avance:
- EHCOSPROD-37586 - MULTICENTRO - CPOE (desarrollo) 
Daily
Backlog:
</t>
        </r>
      </text>
    </comment>
    <comment ref="KY29" authorId="0" shapeId="0" xr:uid="{00000000-0006-0000-0100-000080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EHCOSPROD-37586 - MULTICENTRO - CPOE (desarrollo) 
Daily</t>
        </r>
        <r>
          <rPr>
            <b/>
            <sz val="8"/>
            <color indexed="81"/>
            <rFont val="Tahoma"/>
            <family val="2"/>
          </rPr>
          <t xml:space="preserve">
Avance:
- EHCOSPROD-37586 - MULTICENTRO - CPOE (desarrollo, punto de control, ajustes, sonar, documentación) 
- Daily
Backlog:
</t>
        </r>
      </text>
    </comment>
    <comment ref="KZ29" authorId="0" shapeId="0" xr:uid="{00000000-0006-0000-0100-000081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EHCOSPROD-37586 - MULTICENTRO - CPOE (desarrollo, pruebas, documentación, estabilización) 
- EHCOSPROD-41029 - CPOE- Nuevo layout (lectura DF)
- correctivos 5.15R
- Daily
</t>
        </r>
        <r>
          <rPr>
            <b/>
            <sz val="8"/>
            <color indexed="81"/>
            <rFont val="Tahoma"/>
            <family val="2"/>
          </rPr>
          <t xml:space="preserve">
Avance:
- EHCOSPROD-37586 - MULTICENTRO - CPOE (ajustes, estabilización) 
- EHCOSPROD-41029 - CPOE- Nuevo layout (lectura DF)
- Daily
Backlog:
</t>
        </r>
      </text>
    </comment>
    <comment ref="LA29" authorId="0" shapeId="0" xr:uid="{00000000-0006-0000-0100-000082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EHCOSPROD-37586 - MULTICENTRO - CPOE (estabilización) 
- EHCOSPROD-41029 - CPOE- Nuevo layout (lectura DF)
- correctivos 6.0R
- Daily
</t>
        </r>
        <r>
          <rPr>
            <b/>
            <sz val="8"/>
            <color indexed="81"/>
            <rFont val="Tahoma"/>
            <family val="2"/>
          </rPr>
          <t xml:space="preserve">
Avance:
- EHCOSPROD-37586 - MULTICENTRO - CPOE (estabilización) 
- EHCOSPROD-41029 - CPOE- Nuevo layout (lectura DF)
- correctivos 6.0R
- Daily
Backlog:
</t>
        </r>
      </text>
    </comment>
    <comment ref="LB29" authorId="0" shapeId="0" xr:uid="{00000000-0006-0000-0100-000083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EHCOSPROD-41029 - CPOE- Nuevo layout (lectura DF, preparar entorno, desarrollo)
- Daily
- EHCOSPROD-37586 - MULTICENTRO - CPOE (estabilización) 
</t>
        </r>
        <r>
          <rPr>
            <b/>
            <sz val="8"/>
            <color indexed="81"/>
            <rFont val="Tahoma"/>
            <family val="2"/>
          </rPr>
          <t xml:space="preserve">
Avance:
EHCOSPROD-41029 - CPOE- Nuevo layout (script, desarollo)
Backlog:
</t>
        </r>
      </text>
    </comment>
    <comment ref="LC29" authorId="0" shapeId="0" xr:uid="{00000000-0006-0000-0100-000084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EHCOSPROD-41029 - CPOE- Nuevo layout (desarrollo)
- Daily
- EHCOSPROD-37586 - MULTICENTRO - CPOE (estabilización) 
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(desarrollo)
- EHCOSPROD-37586 - MULTICENTRO - CPOE (estabilización) 
- Daily
Backlog:
</t>
        </r>
      </text>
    </comment>
    <comment ref="LF29" authorId="0" shapeId="0" xr:uid="{00000000-0006-0000-0100-000085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EHCOSPROD-41029 - CPOE- Nuevo layout (desarrollo)
- EHCOSPROD-37586 - MULTICENTRO - CPOE (estabilización, actualización rama con el trunk) 
- Daily
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(desarrollo)
- EHCOSPROD-37586 - MULTICENTRO - CPOE (estabilización, actualización rama con el trunk) 
- Daily
- formación iwok
Backlog:
</t>
        </r>
      </text>
    </comment>
    <comment ref="LG29" authorId="0" shapeId="0" xr:uid="{00000000-0006-0000-0100-00008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EHCOSPROD-37586 - MULTICENTRO - CPOE (estabilización, actualización rama con el trunk, subir desarrollos a la rama correcta)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EHCOSPROD-41029 - CPOE- Nuevo layout (desarrollo)
- Daily
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(desarrollo)
- EHCOSPROD-37586 - MULTICENTRO - CPOE (estabilización, actualización rama con el trunk, subir desarrollos a la rama correcta)
- Daily
Backlog:
</t>
        </r>
      </text>
    </comment>
    <comment ref="LH29" authorId="0" shapeId="0" xr:uid="{00000000-0006-0000-0100-00008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EHCOSPROD-37586 - MULTICENTRO - CPOE (estabilización, actualización rama con el trunk)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EHCOSPROD-41029 - CPOE- Nuevo layout (desarrollo)
- Daily 
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(desarrollo)
- Daily
Backlog:
</t>
        </r>
      </text>
    </comment>
    <comment ref="LI29" authorId="0" shapeId="0" xr:uid="{00000000-0006-0000-0100-00008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EHCOSPROD-41029 - CPOE- Nuevo layout (desarrollo)
- Daily
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(desarrollo, actualización de la rama)
- Daily
Backlog:
</t>
        </r>
      </text>
    </comment>
    <comment ref="LJ29" authorId="0" shapeId="0" xr:uid="{00000000-0006-0000-0100-00008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EHCOSPROD-41029 - CPOE- Nuevo layout (desarrollo, pruebas y ajustes, sonar, documentación)
- Daily
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(desarrollo, pruebas y ajustes, sonar, documentación)
- Daily
Backlog:
</t>
        </r>
      </text>
    </comment>
    <comment ref="LM29" authorId="0" shapeId="0" xr:uid="{00000000-0006-0000-0100-00008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EHCOSPROD-41029 - CPOE- Nuevo layout (desarrollo, pruebas y ajustes, sonar, documentación)
- correcticos 5.15R
- Daily
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(sonar, documentación)
- Daily
Backlog:
</t>
        </r>
      </text>
    </comment>
    <comment ref="LN29" authorId="0" shapeId="0" xr:uid="{00000000-0006-0000-0100-00008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EHCOSPROD-41029 - CPOE- Nuevo layout (sonar)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- EHCOSPROD-41029 - CPOE- Nuevo layout (sonar)
- correctivos 5.15R
- Daily
Backlog:
</t>
        </r>
        <r>
          <rPr>
            <sz val="8"/>
            <color indexed="81"/>
            <rFont val="Tahoma"/>
            <family val="2"/>
          </rPr>
          <t>- EHCOSPROD-41029 - CPOE- Nuevo layout (pausado desarrollo hasta decisión de proyecto)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O29" authorId="0" shapeId="0" xr:uid="{00000000-0006-0000-0100-00008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EHCOSPROD-41029 - CPOE- Nuevo layout (punto de control)
- Daily
</t>
        </r>
        <r>
          <rPr>
            <b/>
            <sz val="8"/>
            <color indexed="81"/>
            <rFont val="Tahoma"/>
            <family val="2"/>
          </rPr>
          <t xml:space="preserve">
Avance:
- correctivos 5.15R
- EHCOSPROD-41029 - CPOE- Nuevo layout (punto de control, ajustes)
- sesión por producto
- Daily
Backlog:
- EHCOSPROD-41029 - CPOE- Nuevo layout (pausado desarrollo hasta decisión de proyecto)
</t>
        </r>
      </text>
    </comment>
    <comment ref="LP29" authorId="0" shapeId="0" xr:uid="{00000000-0006-0000-0100-00008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- EHCOSPROD-41029 - CPOE- Nuevo layout (pausado desarrollo hasta decisión de proyecto)
</t>
        </r>
      </text>
    </comment>
    <comment ref="LQ29" authorId="0" shapeId="0" xr:uid="{00000000-0006-0000-0100-00008E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- EHCOSPROD-41029 - CPOE- Nuevo layout (pausado desarrollo hasta decisión de proyecto)
</t>
        </r>
      </text>
    </comment>
    <comment ref="LT29" authorId="0" shapeId="0" xr:uid="{00000000-0006-0000-0100-00008F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- EHCOSPROD-41029 - CPOE- Nuevo layout (pausado desarrollo hasta decisión de proyecto)
- Vacaciones 5 días Julio (pdte confirmar)</t>
        </r>
      </text>
    </comment>
    <comment ref="LU29" authorId="0" shapeId="0" xr:uid="{00000000-0006-0000-0100-000090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Backlog:
- EHCOSPROD-41029 - CPOE- Nuevo layout (pausado desarrollo hasta decisión de proyecto)
- Vacaciones 5 días Julio (pdte confirmar)</t>
        </r>
      </text>
    </comment>
    <comment ref="LV29" authorId="0" shapeId="0" xr:uid="{00000000-0006-0000-0100-000091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EHCOSPROD-38631. MC-Facturación y presupuesto (soporte desarrollo si no hay correctivos)
- Daily
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- EHCOSPROD-41029 - CPOE- Nuevo layout (pausado desarrollo hasta decisión de proyecto)
- Vacaciones 5 días Julio (pdte confirmar)</t>
        </r>
      </text>
    </comment>
    <comment ref="LW29" authorId="0" shapeId="0" xr:uid="{00000000-0006-0000-0100-000092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EHCOSPROD-38631. MC-Facturación y presupuesto (soporte desarrollo si no hay correctivos)
- Daily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-correctivos 5.15R (Error al intentar levantar smartICU)
-Daily</t>
        </r>
        <r>
          <rPr>
            <b/>
            <sz val="8"/>
            <color indexed="81"/>
            <rFont val="Tahoma"/>
            <family val="2"/>
          </rPr>
          <t xml:space="preserve">
Backlog:
- EHCOSPROD-41029 - CPOE- Nuevo layout (pausado desarrollo hasta decisión de proyecto)
- Vacaciones 5 días Julio (pdte confirmar)</t>
        </r>
      </text>
    </comment>
    <comment ref="LX29" authorId="0" shapeId="0" xr:uid="{00000000-0006-0000-0100-000093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- EHCOSPROD-38631. MC-Facturación y presupuesto (soporte desarrollo si no hay correctivos)
- Vacaciones 5 días Julio (pdte confirmar)</t>
        </r>
      </text>
    </comment>
    <comment ref="MA29" authorId="0" shapeId="0" xr:uid="{00000000-0006-0000-0100-000094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- EHCOSPROD-38631. MC-Facturación y presupuesto (soporte desarrollo si no hay correctivos)
- Vacaciones 5 días Julio (pdte confirmar)</t>
        </r>
      </text>
    </comment>
    <comment ref="MB29" authorId="0" shapeId="0" xr:uid="{00000000-0006-0000-0100-000095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- EHCOSPROD-38631. MC-Facturación y presupuesto (soporte desarrollo si no hay correctivos)
- Vacaciones 5 días Julio (pdte confirmar)</t>
        </r>
      </text>
    </comment>
    <comment ref="MC29" authorId="0" shapeId="0" xr:uid="{00000000-0006-0000-0100-00009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- EHCOSPROD-38631. MC-Facturación y presupuesto (soporte desarrollo si no hay correctivos)
- Vacaciones 5 días Julio (pdte confirmar)</t>
        </r>
      </text>
    </comment>
    <comment ref="MD29" authorId="0" shapeId="0" xr:uid="{00000000-0006-0000-0100-00009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- EHCOSPROD-38631. MC-Facturación y presupuesto (soporte desarrollo si no hay correctivos)
- Vacaciones 5 días Julio (pdte confirmar)</t>
        </r>
      </text>
    </comment>
    <comment ref="ME29" authorId="0" shapeId="0" xr:uid="{00000000-0006-0000-0100-00009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- EHCOSPROD-38631. MC-Facturación y presupuesto (soporte desarrollo si no hay correctivos)
- Vacaciones 5 días Julio (pdte confirmar)</t>
        </r>
      </text>
    </comment>
    <comment ref="MH29" authorId="0" shapeId="0" xr:uid="{00000000-0006-0000-0100-00009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- EHCOSPROD-38631. MC-Facturación y presupuesto (soporte desarrollo si no hay correctivos)
- Vacaciones 5 días Julio (pdte confirmar)</t>
        </r>
      </text>
    </comment>
    <comment ref="MI29" authorId="0" shapeId="0" xr:uid="{00000000-0006-0000-0100-00009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- EHCOSPROD-38631. MC-Facturación y presupuesto (soporte desarrollo si no hay correctivos)
- Vacaciones 5 días Julio (pdte confirmar)</t>
        </r>
      </text>
    </comment>
    <comment ref="MJ29" authorId="0" shapeId="0" xr:uid="{00000000-0006-0000-0100-00009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Daily
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
- EHCOSPROD-38631. MC-Facturación y presupuesto (soporte desarrollo si no hay correctivos)
- Vacaciones 5 días Julio (pdte confirmar)
-jueves reunion de centro con Ramon</t>
        </r>
      </text>
    </comment>
    <comment ref="MK29" authorId="0" shapeId="0" xr:uid="{00000000-0006-0000-0100-00009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5.15R
- EHCOSPROD-40354 / EHCOSPROD-44348 - Desarrollo: Agendas - Configurações e Parametrização (leer documentación, preparar rama, desarrollo con Gerardo)
- reunion de centro con Ramon
- Daily
</t>
        </r>
        <r>
          <rPr>
            <b/>
            <sz val="8"/>
            <color indexed="81"/>
            <rFont val="Tahoma"/>
            <family val="2"/>
          </rPr>
          <t xml:space="preserve">
Avance:
- correctivos 5.15R
- configuracion entorno lectura DF - EHCOSPROD-40354
- Daily
- Reunion con Ramon
Backlog:
- Vacaciones 5 días Julio (pdte confirmar)</t>
        </r>
      </text>
    </comment>
    <comment ref="ML29" authorId="0" shapeId="0" xr:uid="{00000000-0006-0000-0100-00009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(leer documentación, preparar rama, desarrollo con Gerardo)
- Daily
</t>
        </r>
        <r>
          <rPr>
            <b/>
            <sz val="8"/>
            <color indexed="81"/>
            <rFont val="Tahoma"/>
            <family val="2"/>
          </rPr>
          <t xml:space="preserve">
Avance:
-correctivo devuelto 5.15
-feedback intermedio
- evolutivo EHCOSPROD-40354
-Daily
Backlog:
- Vacaciones 5 días Julio (pdte confirmar)</t>
        </r>
      </text>
    </comment>
    <comment ref="MO29" authorId="0" shapeId="0" xr:uid="{00000000-0006-0000-0100-00009E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(leer documentación, preparar rama, desarrollo con Gerardo)
- Daily
</t>
        </r>
        <r>
          <rPr>
            <b/>
            <sz val="8"/>
            <color indexed="81"/>
            <rFont val="Tahoma"/>
            <family val="2"/>
          </rPr>
          <t xml:space="preserve">
Avance:
- Actualizacion ehcos-server
- EHCOSPROD-40354 / EHCOSPROD-44348 - Desarrollo: Agendas - Configurações e Parametrização (leer documentación, preparar rama, desarrollo con Gerardo)
- Daily
Backlog:
- Vacaciones 5 días Julio (pdte confirmar)</t>
        </r>
      </text>
    </comment>
    <comment ref="MP29" authorId="0" shapeId="0" xr:uid="{00000000-0006-0000-0100-00009F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(leer documentación, preparar rama, desarrollo con Gerardo)
- Daily
</t>
        </r>
        <r>
          <rPr>
            <b/>
            <sz val="8"/>
            <color indexed="81"/>
            <rFont val="Tahoma"/>
            <family val="2"/>
          </rPr>
          <t xml:space="preserve">
Avance:
- Daily
- EHCOSPROD-40354 / EHCOSPROD-44348 - Desarrollo: Agendas - Configurações e Parametrização (leer documentación, preparar rama, desarrollo con Gerardo)
Backlog:
- Vacaciones 5 días Julio (pdte confirmar)</t>
        </r>
      </text>
    </comment>
    <comment ref="MQ29" authorId="0" shapeId="0" xr:uid="{00000000-0006-0000-0100-0000A0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(leer documentación, preparar rama, desarrollo con Gerardo)
- Daily
</t>
        </r>
        <r>
          <rPr>
            <b/>
            <sz val="8"/>
            <color indexed="81"/>
            <rFont val="Tahoma"/>
            <family val="2"/>
          </rPr>
          <t xml:space="preserve">
Avance:
- EHCOSPROD-40354 / EHCOSPROD-44348 - Desarrollo: Agendas - Configurações e Parametrização (leer documentación, preparar rama, desarrollo con Gerardo)
- Daily
- apoyo equipo
Backlog:
- Vacaciones 5 días Julio (pdte confirmar)</t>
        </r>
      </text>
    </comment>
    <comment ref="MR29" authorId="0" shapeId="0" xr:uid="{00000000-0006-0000-0100-0000A1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(leer documentación, preparar rama, desarrollo con Gerardo)
- Daily
</t>
        </r>
        <r>
          <rPr>
            <b/>
            <sz val="8"/>
            <color indexed="81"/>
            <rFont val="Tahoma"/>
            <family val="2"/>
          </rPr>
          <t xml:space="preserve">
Avance:
- EHCOSPROD-40354 / EHCOSPROD-44348 - Desarrollo: Agendas - Configurações e Parametrização (leer documentación, preparar rama, desarrollo con Gerardo)
- Daily
Backlog:
- Vacaciones 5 días Julio (pdte confirmar)</t>
        </r>
      </text>
    </comment>
    <comment ref="MS29" authorId="0" shapeId="0" xr:uid="{00000000-0006-0000-0100-0000A2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EHCOSPROD-40354 / EHCOSPROD-44348 - Desarrollo: Agendas - Configurações e Parametrização (leer documentación, preparar rama, desarrollo con Gerardo)
- Daily
</t>
        </r>
        <r>
          <rPr>
            <b/>
            <sz val="8"/>
            <color indexed="81"/>
            <rFont val="Tahoma"/>
            <family val="2"/>
          </rPr>
          <t xml:space="preserve">
Avance:
Backlog:
- Vacaciones 5 días Julio (pdte confirmar)</t>
        </r>
      </text>
    </comment>
    <comment ref="MV29" authorId="101" shapeId="0" xr:uid="{00000000-0006-0000-0100-0000A3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EHCOSPROD-40354: Continuar con el evolutivo (Fin 03/05)
Avance:
EHCOSPROD-40354: Maquetación funcionalidad duplicar agendas, evol agendas
Backlog:</t>
      </text>
    </comment>
    <comment ref="MW29" authorId="102" shapeId="0" xr:uid="{00000000-0006-0000-0100-0000A4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EHCOSPROD-40354: Continuar con el evolutivo (Fin 03/05)
Avance:
EHCOSPROD-40354: Maquetación funcionalidad duplicar agendas, evol agendas
Backlog:</t>
      </text>
    </comment>
    <comment ref="MX29" authorId="103" shapeId="0" xr:uid="{00000000-0006-0000-0100-0000A5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EHCOSPROD-40354: Continuar con el evolutivo (Fin 03/05)
Avance:
EHCOSPROD-40354: Maquetación funcionalidad duplicar agendas, evol agendas
Backlog:</t>
      </text>
    </comment>
    <comment ref="MY29" authorId="0" shapeId="0" xr:uid="{00000000-0006-0000-0100-0000A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EHCOSPROD-40354: Continuar con el evolutivo (Fin 08/04)
Seguimiento con Gerardo</t>
        </r>
        <r>
          <rPr>
            <b/>
            <sz val="8"/>
            <color indexed="81"/>
            <rFont val="Tahoma"/>
            <family val="2"/>
          </rPr>
          <t xml:space="preserve">
Avance:
EHCOSPROD-40354: Continuar con el evolutivo (Fin 08/04) - popup periodicidad
Backlog:
</t>
        </r>
      </text>
    </comment>
    <comment ref="MZ29" authorId="0" shapeId="0" xr:uid="{00000000-0006-0000-0100-0000A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EHCOSPROD-40354: Continuar con el evolutivo (Fin 08/04) 
- popup periodicidad
-agendas
Seguimiento con Gerardo
</t>
        </r>
        <r>
          <rPr>
            <b/>
            <sz val="8"/>
            <color indexed="81"/>
            <rFont val="Tahoma"/>
            <family val="2"/>
          </rPr>
          <t xml:space="preserve">
Avance:
EHCOSPROD-40354: Continuar con el evolutivo (Fin 08/04) 
- popup periodicidad
- agendas
Seguimiento con Gerardo
Backlog:
</t>
        </r>
      </text>
    </comment>
    <comment ref="NC29" authorId="0" shapeId="0" xr:uid="{00000000-0006-0000-0100-0000A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EHCOSPROD-40354: Continuar con el evolutivo (Fin 08/04) 
- popup periodicidad
-agendas
Seguimiento con Gerardo
</t>
        </r>
        <r>
          <rPr>
            <b/>
            <sz val="8"/>
            <color indexed="81"/>
            <rFont val="Tahoma"/>
            <family val="2"/>
          </rPr>
          <t xml:space="preserve">
Avance:
EHCOSPROD-40354: Continuar con el evolutivo (Fin 08/04) 
- popup periodicidad
Seguimiento con Gerardo
problemas con el server
Backlog:
</t>
        </r>
      </text>
    </comment>
    <comment ref="ND29" authorId="0" shapeId="0" xr:uid="{00000000-0006-0000-0100-0000A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EHCOSPROD-40354: Continuar con el evolutivo (Fin 08/04) 
- popup periodicidad
-agendas
Seguimiento con Gerardo
</t>
        </r>
        <r>
          <rPr>
            <b/>
            <sz val="8"/>
            <color indexed="81"/>
            <rFont val="Tahoma"/>
            <family val="2"/>
          </rPr>
          <t xml:space="preserve">
Avance:
Revision entorno EHCOSPROD-40354 por error.
seguimiento con Gerardo
daily
Backlog:
</t>
        </r>
      </text>
    </comment>
    <comment ref="NE29" authorId="0" shapeId="0" xr:uid="{00000000-0006-0000-0100-0000A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EHCOSPROD-40354: Continuar con el evolutivo (Fin 08/04) 
- popup periodicidad
-agendas
Seguimiento con Gerardo
Daily
</t>
        </r>
        <r>
          <rPr>
            <b/>
            <sz val="8"/>
            <color indexed="81"/>
            <rFont val="Tahoma"/>
            <family val="2"/>
          </rPr>
          <t xml:space="preserve">
Avance:
EHCOSPROD-40354: desarrollo
seguimiento con Gerardo
se corrige problema de entorno
daily
Backlog:
</t>
        </r>
      </text>
    </comment>
    <comment ref="NF29" authorId="0" shapeId="0" xr:uid="{00000000-0006-0000-0100-0000A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EHCOSPROD-40354: Continuar con el evolutivo (Fin 08/04) 
- popup periodicidad
-agendas
Seguimiento con Gerardo
Daily
seguimos con problema caida steps
</t>
        </r>
        <r>
          <rPr>
            <b/>
            <sz val="8"/>
            <color indexed="81"/>
            <rFont val="Tahoma"/>
            <family val="2"/>
          </rPr>
          <t xml:space="preserve">
Avance:
EHCOSPROD-40354:(desarrollo pop periodicidad)
daily
Backlog:
</t>
        </r>
      </text>
    </comment>
    <comment ref="NG29" authorId="0" shapeId="0" xr:uid="{00000000-0006-0000-0100-0000A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EHCOSPROD-40354: Continuar con el evolutivo (Fin 08/04) 
- popup periodicidad
-agendas
Seguimiento con Gerardo
Daily
seguimos con problema caida steps</t>
        </r>
        <r>
          <rPr>
            <b/>
            <sz val="8"/>
            <color indexed="81"/>
            <rFont val="Tahoma"/>
            <family val="2"/>
          </rPr>
          <t xml:space="preserve">
Avance:
EHCOSPROD-40354 (desarrollo pantalla bloqueo de horarios)
daily
Backlog:
</t>
        </r>
      </text>
    </comment>
    <comment ref="NJ29" authorId="0" shapeId="0" xr:uid="{00000000-0006-0000-0100-0000A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EHCOSPROD-40354: Continuar con el evolutivo (Fin 08/04) 
- popup periodicidad
-agendas
Seguimiento con Gerardo
Daily
</t>
        </r>
        <r>
          <rPr>
            <b/>
            <sz val="8"/>
            <color indexed="81"/>
            <rFont val="Tahoma"/>
            <family val="2"/>
          </rPr>
          <t xml:space="preserve">
Avance:
EHCOSPROD-40354 (popUp de bloqueos)
daily
Backlog:
martes y miercoles se realizará despliegue</t>
        </r>
      </text>
    </comment>
    <comment ref="NK29" authorId="0" shapeId="0" xr:uid="{00000000-0006-0000-0100-0000AE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EHCOSPROD-40354: Continuar con el evolutivo (Fin 08/04) 
- popup periodicidad
-agendas
Seguimiento con Gerardo
Daily
</t>
        </r>
        <r>
          <rPr>
            <b/>
            <sz val="8"/>
            <color indexed="81"/>
            <rFont val="Tahoma"/>
            <family val="2"/>
          </rPr>
          <t xml:space="preserve">
Avance:
EHCOSPROD-40354 (popUp de bloqueos)
daily
Backlog:
martes y miercoles se realizará despliegue</t>
        </r>
      </text>
    </comment>
    <comment ref="NL29" authorId="0" shapeId="0" xr:uid="{00000000-0006-0000-0100-0000AF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EHCOSPROD-40354: Continuar con el evolutivo (Fin 08/04) 
- popup periodicidad
-agendas
Seguimiento con Gerardo
Daily
</t>
        </r>
        <r>
          <rPr>
            <b/>
            <sz val="8"/>
            <color indexed="81"/>
            <rFont val="Tahoma"/>
            <family val="2"/>
          </rPr>
          <t xml:space="preserve">
Avance:
EHCOSPROD-40354:(desarrollo)
daily
Backlog:
martes y miercoles se realizará despliegue</t>
        </r>
      </text>
    </comment>
    <comment ref="B30" authorId="0" shapeId="0" xr:uid="{00000000-0006-0000-0100-0000B0030000}">
      <text>
        <r>
          <rPr>
            <b/>
            <sz val="8"/>
            <color indexed="81"/>
            <rFont val="Tahoma"/>
            <family val="2"/>
          </rPr>
          <t>Salida de la compañía el 25/01/2020</t>
        </r>
        <r>
          <rPr>
            <sz val="8"/>
            <color indexed="81"/>
            <rFont val="Tahoma"/>
            <family val="2"/>
          </rPr>
          <t xml:space="preserve">
Presentó su renuncia el día 18/01/2021</t>
        </r>
      </text>
    </comment>
    <comment ref="KD30" authorId="2" shapeId="0" xr:uid="{00000000-0006-0000-0100-0000B1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
correccion jira EHCOSPROD-38436
Por hacer:
jiras version 5.15R
</t>
        </r>
      </text>
    </comment>
    <comment ref="KE30" authorId="2" shapeId="0" xr:uid="{00000000-0006-0000-0100-0000B2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incidencias 5.15R - jira EHCOSPROD-38436 modificar lista
Por hacer: incidencias filtro 5.15R (solicitar clave de administrador para intalar ireport)
</t>
        </r>
      </text>
    </comment>
    <comment ref="KF30" authorId="2" shapeId="0" xr:uid="{00000000-0006-0000-0100-0000B3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EHCOSPROD-38436 (modificacion de jasper con ayuda de Patricio)
Por hacer:jiras version 5.15R</t>
        </r>
      </text>
    </comment>
    <comment ref="KG30" authorId="2" shapeId="0" xr:uid="{00000000-0006-0000-0100-0000B4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finalizacion de incidencia  EHCOSPROD-38436 por problema jasper
Por hacer: jiras filtro 5.15R (EHCOSPROD-43069)</t>
        </r>
      </text>
    </comment>
    <comment ref="KH30" authorId="2" shapeId="0" xr:uid="{00000000-0006-0000-0100-0000B5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 jiras filtro 5.15R 
Por hacer:  jiras filtro 5.15R 
cita a doctor por la mañana</t>
        </r>
      </text>
    </comment>
    <comment ref="KK30" authorId="0" shapeId="0" xr:uid="{00000000-0006-0000-0100-0000B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Correctivos: EHCOSPROD-43069,  EHCOSPROD-40379 (pausada)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Correctivos. Problemas con el entorno, sin avance</t>
        </r>
        <r>
          <rPr>
            <b/>
            <sz val="8"/>
            <color indexed="81"/>
            <rFont val="Tahoma"/>
            <family val="2"/>
          </rPr>
          <t xml:space="preserve">
Backlog:
COMUNICA SALIDA DE LA COMPAÑÍA EL DÍA 22/01/2021
</t>
        </r>
      </text>
    </comment>
    <comment ref="KL30" authorId="0" shapeId="0" xr:uid="{00000000-0006-0000-0100-0000B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Correctivos: EHCOSPROD-43069,  EHCOSPROD-40379 (pausada)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montar entorno
5.15R
- Correctivos</t>
        </r>
        <r>
          <rPr>
            <b/>
            <sz val="8"/>
            <color indexed="81"/>
            <rFont val="Tahoma"/>
            <family val="2"/>
          </rPr>
          <t xml:space="preserve">
Backlog:
COMUNICA SALIDA DE LA COMPAÑÍA EL DÍA 22/01/2021
</t>
        </r>
      </text>
    </comment>
    <comment ref="KM30" authorId="0" shapeId="0" xr:uid="{00000000-0006-0000-0100-0000B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Correctivos: EHCOSPROD-43069,  EHCOSPROD-40379 (pausada)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Correctivos</t>
        </r>
        <r>
          <rPr>
            <b/>
            <sz val="8"/>
            <color indexed="81"/>
            <rFont val="Tahoma"/>
            <family val="2"/>
          </rPr>
          <t xml:space="preserve">
Backlog:
COMUNICA SALIDA DE LA COMPAÑÍA EL DÍA 22/01/2021
</t>
        </r>
      </text>
    </comment>
    <comment ref="KN30" authorId="0" shapeId="0" xr:uid="{00000000-0006-0000-0100-0000B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Daily
5.15R
- Correctivos: 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Correctivos:</t>
        </r>
        <r>
          <rPr>
            <b/>
            <sz val="8"/>
            <color indexed="81"/>
            <rFont val="Tahoma"/>
            <family val="2"/>
          </rPr>
          <t xml:space="preserve">
Backlog:
COMUNICA SALIDA DE LA COMPAÑÍA EL DÍA 22/01/2021
</t>
        </r>
      </text>
    </comment>
    <comment ref="KO30" authorId="0" shapeId="0" xr:uid="{00000000-0006-0000-0100-0000B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Daily
5.15R
- Correctivos: </t>
        </r>
        <r>
          <rPr>
            <b/>
            <sz val="8"/>
            <color indexed="81"/>
            <rFont val="Tahoma"/>
            <family val="2"/>
          </rPr>
          <t xml:space="preserve">
Avance:
Backlog:
COMUNICA SALIDA DE LA COMPAÑÍA EL DÍA 22/01/2021
</t>
        </r>
      </text>
    </comment>
    <comment ref="KR30" authorId="0" shapeId="0" xr:uid="{00000000-0006-0000-0100-0000B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Daily
5.15R
- Correctivos: </t>
        </r>
        <r>
          <rPr>
            <b/>
            <sz val="8"/>
            <color indexed="81"/>
            <rFont val="Tahoma"/>
            <family val="2"/>
          </rPr>
          <t xml:space="preserve">
Avance:
PRESENTA SU RENUNCIA
Backlog:
COMUNICA SALIDA DE LA COMPAÑÍA EL DÍA 22/01/2021
</t>
        </r>
      </text>
    </comment>
    <comment ref="KD31" authorId="2" shapeId="0" xr:uid="{00000000-0006-0000-0100-0000BC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
Correccion incidencias Sonar
Por hacer:
Correccion incidencias Sonar (validar que compile el trunk y 
realizar flujos basicos)
</t>
        </r>
      </text>
    </comment>
    <comment ref="KE31" authorId="2" shapeId="0" xr:uid="{00000000-0006-0000-0100-0000BD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Correcion incidencias Sonar.
Configuracion vpn para acceder a maquinas de valencia.
Por hacer: Correccion incidencias Sonar.</t>
        </r>
      </text>
    </comment>
    <comment ref="KF31" authorId="2" shapeId="0" xr:uid="{00000000-0006-0000-0100-0000BE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Correccion incidencias Sonar. (apoyo de Mauricio)
Por hacer:jiras filtro 5.15R</t>
        </r>
      </text>
    </comment>
    <comment ref="KG31" authorId="2" shapeId="0" xr:uid="{00000000-0006-0000-0100-0000BF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jiras filtro 5.15R
intalación de oracle
Por hacer: jiras filtro 5.15R 
EHCOSPROD-41231</t>
        </r>
      </text>
    </comment>
    <comment ref="KH31" authorId="2" shapeId="0" xr:uid="{00000000-0006-0000-0100-0000C003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 jiras filtro 5.15R
Por hacer:Jiras filtro 5.15R</t>
        </r>
      </text>
    </comment>
    <comment ref="KK31" authorId="0" shapeId="0" xr:uid="{00000000-0006-0000-0100-0000C1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Correctivos: EHCOSPROD-28489
- SONAR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Correctivos: EHCOSPROD-28489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L31" authorId="0" shapeId="0" xr:uid="{00000000-0006-0000-0100-0000C2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Correctivos: EHCOSPROD-28489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Correctivos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Correctivos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M31" authorId="0" shapeId="0" xr:uid="{00000000-0006-0000-0100-0000C3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EHCOSPROD-43041 - Programacion de citas: Modificar mensaje de aviso al no encontrar cupos (desarrollo)
- Correctivos: EHCOSPROD-28489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EHCOSPROD-43041 - Programacion de citas: Modificar mensaje de aviso al no encontrar cupos (desarrollo)
- Correctivos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Correctivos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N31" authorId="0" shapeId="0" xr:uid="{00000000-0006-0000-0100-0000C4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EHCOSPROD-43041 - Programacion de citas: Modificar mensaje de aviso al no encontrar cupos (desarrollo)
- Correctivos: EHCOSPROD-28489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EHCOSPROD-43041 - Programacion de citas: Modificar mensaje de aviso al no encontrar cupos (desarrollo)
- Correctivos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Correctivos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O31" authorId="0" shapeId="0" xr:uid="{00000000-0006-0000-0100-0000C5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EHCOSPROD-43041 - Programacion de citas: Modificar mensaje de aviso al no encontrar cupos (revisar con Victor, registrar horas)
- EHCOSPROD-43168 - GDPR. Ocultar campos administrativos en la ficha del paciente (desarrollo) fin 18/01
- Correctivos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5.15R
- EHCOSPROD-43041 - Programacion de citas: Modificar mensaje de aviso al no encontrar cupos (revisar con Victor, desarrollo)
- EHCOSPROD-43168 - GDPR. Ocultar campos administrativos en la ficha del paciente (desarrollo)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Correctivos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R31" authorId="0" shapeId="0" xr:uid="{00000000-0006-0000-0100-0000C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EHCOSPROD-43041 - Programacion de citas: Modificar mensaje de aviso al no encontrar cupos (registrar horas en el excel)
- EHCOSPROD-43168 - GDPR. Ocultar campos administrativos en la ficha del paciente (desarrollo, registrar horas) fin 18/01
- Correctivos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Correctivos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S31" authorId="0" shapeId="0" xr:uid="{00000000-0006-0000-0100-0000C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(desarrollo, registrar horas) fin 18/01
- EHCOSPROD-43041 - Programacion de citas: Modificar mensaje de aviso al no encontrar cupos (registrar horas en el excel)
- Correctivos 5.15R
- Daily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(desarrollo, registrar horas)
- EHCOSPROD-43041 - Programacion de citas: Modificar mensaje de aviso al no encontrar cupos (registrar horas en el excel)
- Correctivos 5.15R
- Daily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Correctivos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T31" authorId="0" shapeId="0" xr:uid="{00000000-0006-0000-0100-0000C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(desarrollo, registrar horas) fin 18/01
- EHCOSPROD-43041 - Programacion de citas: Modificar mensaje de aviso al no encontrar cupos (registrar horas en el excel)
- Correctivos 5.15R
- generar copia del repositorio local para enviarlo a CAST
- Daily</t>
        </r>
        <r>
          <rPr>
            <b/>
            <sz val="8"/>
            <color indexed="81"/>
            <rFont val="Tahoma"/>
            <family val="2"/>
          </rPr>
          <t xml:space="preserve">
Avance:
- EHCOSPROD-43168 - GDPR. Ocultar campos administrativos en la ficha del paciente (desarrollo, registrar horas) fin 18/01
- Correctivos 5.15R
- generar copia del repositorio local para enviarlo a CAST
- Daily
Backlog:
</t>
        </r>
        <r>
          <rPr>
            <sz val="8"/>
            <color indexed="81"/>
            <rFont val="Tahoma"/>
            <family val="2"/>
          </rPr>
          <t>- Correctivos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U31" authorId="0" shapeId="0" xr:uid="{00000000-0006-0000-0100-0000C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EHCOSPROD-43041 - Programacion de citas: Modificar mensaje de aviso al no encontrar cupos (registrar horas en el excel)
- Correctivos 5.15R
- Daily
- EHCOSPROD-43168 - GDPR. Ocultar campos administrativos en la ficha del paciente (actualizar rama con el trunk, pendiente de entorno para despliegue)</t>
        </r>
        <r>
          <rPr>
            <b/>
            <sz val="8"/>
            <color indexed="81"/>
            <rFont val="Tahoma"/>
            <family val="2"/>
          </rPr>
          <t xml:space="preserve">
Avance:
- EHCOSPROD-43041 - Programacion de citas: Modificar mensaje de aviso al no encontrar cupos (registrar horas en el excel)
- Correctivos 5.15R
- Daily
- EHCOSPROD-43168 - GDPR. Ocultar campos administrativos en la ficha del paciente (actualizar rama con el trunk, pendiente de entorno para despliegue)
Backlog:
</t>
        </r>
        <r>
          <rPr>
            <sz val="8"/>
            <color indexed="81"/>
            <rFont val="Tahoma"/>
            <family val="2"/>
          </rPr>
          <t>- Correctivos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V31" authorId="0" shapeId="0" xr:uid="{00000000-0006-0000-0100-0000C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5.15R
- EHCOSPROD-43168 - GDPR. Ocultar campos administrativos en la ficha del paciente (desarrollo, registrar horas) fin 18/01
- Correctivos</t>
        </r>
        <r>
          <rPr>
            <b/>
            <sz val="8"/>
            <color indexed="81"/>
            <rFont val="Tahoma"/>
            <family val="2"/>
          </rPr>
          <t xml:space="preserve">
Avance:
- Correctivos 5.15
- daily
Backlog:
</t>
        </r>
        <r>
          <rPr>
            <sz val="8"/>
            <color indexed="81"/>
            <rFont val="Tahoma"/>
            <family val="2"/>
          </rPr>
          <t>- Correctivos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Y31" authorId="0" shapeId="0" xr:uid="{00000000-0006-0000-0100-0000C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
- EHCOSPROD-38607 - MULTICENTRO - Visor de historia clínica y resumen (lectura documentación, preparación de entorno, desarrollo)
- EHCOSPROD-43168 - GDPR. Ocultar campos administrativos en la ficha del paciente (merge del trunk a la rama, estabilización pendiente de despliegue)
- Daily</t>
        </r>
        <r>
          <rPr>
            <b/>
            <sz val="8"/>
            <color indexed="81"/>
            <rFont val="Tahoma"/>
            <family val="2"/>
          </rPr>
          <t xml:space="preserve">
Avance:
- problemas steps (1h)
- Correctivos 5.15R
- EHCOSPROD-38607 - MULTICENTRO - Visor de historia clínica y resumen (lectura documentación)
- Daily
Backlog:
</t>
        </r>
        <r>
          <rPr>
            <sz val="8"/>
            <color indexed="81"/>
            <rFont val="Tahoma"/>
            <family val="2"/>
          </rPr>
          <t>- Correctivos SONAR
- EHCOSPROD-40564 - Búsqueda de huecos- Horarios y fecha
- EHCOSPROD-40542 - Privilegios para agendar y atender turnos</t>
        </r>
        <r>
          <rPr>
            <b/>
            <sz val="8"/>
            <color indexed="81"/>
            <rFont val="Tahoma"/>
            <family val="2"/>
          </rPr>
          <t xml:space="preserve">
- Curso 28 y 29</t>
        </r>
      </text>
    </comment>
    <comment ref="KZ31" authorId="0" shapeId="0" xr:uid="{00000000-0006-0000-0100-0000C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(lectura documentación, preparación de entorno, desarrollo)
- Correctivos 5.15R
- Daily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(lectura documentación, preparación de entorno, desarrollo)
- Correctivos 5.15R
- Daily
Backlog: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(merge del trunk a la rama, estabilización pendiente de despliegue)
- EHCOSPROD-40542 - Privilegios para agendar y atender turnos (desarrollo)
- Correctivos SONAR</t>
        </r>
        <r>
          <rPr>
            <b/>
            <sz val="8"/>
            <color indexed="81"/>
            <rFont val="Tahoma"/>
            <family val="2"/>
          </rPr>
          <t xml:space="preserve">
- Formación 28/01 y 29/01 (3h/dia)</t>
        </r>
      </text>
    </comment>
    <comment ref="LA31" authorId="0" shapeId="0" xr:uid="{00000000-0006-0000-0100-0000C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(lectura documentación, preparación de entorno, paralelizar desarrollo con Gino)
- Daily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(merge del trunk a la rama, estabilización pendiente de despliegue)
- EHCOSPROD-40542 - Privilegios para agendar y atender turnos (desarrollo)
- Correctivos SONAR</t>
        </r>
        <r>
          <rPr>
            <b/>
            <sz val="8"/>
            <color indexed="81"/>
            <rFont val="Tahoma"/>
            <family val="2"/>
          </rPr>
          <t xml:space="preserve">
- Formación 28/01 y 29/01 (3h/dia)</t>
        </r>
      </text>
    </comment>
    <comment ref="LB31" authorId="0" shapeId="0" xr:uid="{00000000-0006-0000-0100-0000CE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(lectura documentación, preparación de entorno, paralelizar desarrollo con Gino)
- Daily
- Formación 28/01 y 29/01 (3h/dia)</t>
        </r>
        <r>
          <rPr>
            <b/>
            <sz val="8"/>
            <color indexed="81"/>
            <rFont val="Tahoma"/>
            <family val="2"/>
          </rPr>
          <t xml:space="preserve">
Avance:
formacion centro
 EHCOSPROD-38607 - MULTICENTRO - Visor de historia clínica y resumen (desarrollo)
Backlog: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(merge del trunk a la rama, estabilización pendiente de despliegue)
- EHCOSPROD-40542 - Privilegios para agendar y atender turnos (desarrollo)
- Correctivos SONAR</t>
        </r>
      </text>
    </comment>
    <comment ref="LC31" authorId="0" shapeId="0" xr:uid="{00000000-0006-0000-0100-0000CF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(paralelizar desarrollo con Gino)
- Daily
- Formación 28/01 y 29/01 (3h/dia)</t>
        </r>
        <r>
          <rPr>
            <b/>
            <sz val="8"/>
            <color indexed="81"/>
            <rFont val="Tahoma"/>
            <family val="2"/>
          </rPr>
          <t xml:space="preserve">
Avance:
- durante la tarde tuvo un corte de energia en su casa,
- Formación 28/01 y 29/01 (3h/dia)
- EHCOSPROD-38607 - MULTICENTRO - Visor de historia clínica y resumen (desarrollo, traspaso conocimiento con Gino)
- Daily
Backlog: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(merge del trunk a la rama, estabilización pendiente de despliegue)
- EHCOSPROD-40542 - Privilegios para agendar y atender turnos (desarrollo)
- Correctivos SONAR</t>
        </r>
      </text>
    </comment>
    <comment ref="LF31" authorId="0" shapeId="0" xr:uid="{00000000-0006-0000-0100-0000D0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(desarrollo) fin 10/02
- Daily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(desarrollo)
- Daily
- formación iwok
Backlog: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(merge del trunk a la rama, estabilización pendiente de despliegue)
- EHCOSPROD-40542 - Privilegios para agendar y atender turnos (desarrollo)
- Correctivos SONAR</t>
        </r>
      </text>
    </comment>
    <comment ref="LG31" authorId="0" shapeId="0" xr:uid="{00000000-0006-0000-0100-0000D1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(desarrollo) fin 10/02
- Daily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(desarrollo)
- Daily
Backlog: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(merge del trunk a la rama, estabilización pendiente de despliegue)
- EHCOSPROD-40542 - Privilegios para agendar y atender turnos (desarrollo)
- Correctivos SONAR</t>
        </r>
      </text>
    </comment>
    <comment ref="LH31" authorId="0" shapeId="0" xr:uid="{00000000-0006-0000-0100-0000D2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(desarrollo, actualizar rama con el trunk) fin 10/02
- Daily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(desarrollo, actualizar rama con el trunk)
- Daily
Backlog: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(merge del trunk a la rama, estabilización pendiente de despliegue)
- EHCOSPROD-40542 - Privilegios para agendar y atender turnos (desarrollo)
- Correctivos SONAR</t>
        </r>
      </text>
    </comment>
    <comment ref="LI31" authorId="0" shapeId="0" xr:uid="{00000000-0006-0000-0100-0000D3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(merge del trunk a la rama, estabilización pendiente de despliegue)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(desarrollo, actualizar rama con el trunk) fin 10/02
- Daily</t>
        </r>
        <r>
          <rPr>
            <b/>
            <sz val="8"/>
            <color indexed="81"/>
            <rFont val="Tahoma"/>
            <family val="2"/>
          </rPr>
          <t xml:space="preserve">
Avance: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(desarrollo)
- Correctivos SONAR</t>
        </r>
      </text>
    </comment>
    <comment ref="LJ31" authorId="0" shapeId="0" xr:uid="{00000000-0006-0000-0100-0000D4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(actualizar la rama, estabilización 128)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(desarrollo, actualizar rama con el trunk) fin 10/02
- Daily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(desarrollo, actualizar rama con el trunk, punto de control)
- Daily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(desarrollo)
- Correctivos SONAR</t>
        </r>
      </text>
    </comment>
    <comment ref="LM31" authorId="0" shapeId="0" xr:uid="{00000000-0006-0000-0100-0000D5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(actualizar la rama, estabilización 128)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(desarrollo, actualizar rama con el trunk) fin 10/02
- Daily</t>
        </r>
        <r>
          <rPr>
            <b/>
            <sz val="8"/>
            <color indexed="81"/>
            <rFont val="Tahoma"/>
            <family val="2"/>
          </rPr>
          <t xml:space="preserve">
Avance:
- EHCOSPROD-43168 - GDPR. Ocultar campos administrativos en la ficha del paciente (actualizar la rama, estabilización 128)
- EHCOSPROD-38607 - MULTICENTRO - Visor de historia clínica y resumen (desarrollo, actualizar rama con el trunk)
- EHCOSPROD-43041 - Programacion de citas: Modificar mensaje de aviso al no encontrar cupos (estabilización)
- Daily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(desarrollo)
- Correctivos SONAR</t>
        </r>
      </text>
    </comment>
    <comment ref="LN31" authorId="0" shapeId="0" xr:uid="{00000000-0006-0000-0100-0000D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(actualizar la rama, estabilización 128)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(desarrollo, actualizar rama con el trunk) fin 10/02
- Daily</t>
        </r>
        <r>
          <rPr>
            <b/>
            <sz val="8"/>
            <color indexed="81"/>
            <rFont val="Tahoma"/>
            <family val="2"/>
          </rPr>
          <t xml:space="preserve">
Avance:
- EHCOSPROD-43168 - GDPR. Ocultar campos administrativos en la ficha del paciente (actualizar la rama, estabilización 128)
- EHCOSPROD-38607 - MULTICENTRO - Visor de historia clínica y resumen (desarrollo, actualizar rama con el trunk)
- Daily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(desarrollo)
- Correctivos SONAR</t>
        </r>
      </text>
    </comment>
    <comment ref="LO31" authorId="0" shapeId="0" xr:uid="{00000000-0006-0000-0100-0000D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(actualizar la rama, estabilización 128, merge al trunk)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(desarrollo una tarea al 80%, actualizar rama con el trunk) fin 10/02
- Daily, sesión por productos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(desarrollo, actualizar rama con el trunk)
- Daily, sesión por productos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(desarrollo)
- Correctivos SONAR</t>
        </r>
      </text>
    </comment>
    <comment ref="LP31" authorId="0" shapeId="0" xr:uid="{00000000-0006-0000-0100-0000D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(actualizar la rama, estabilización 128, merge al trunk)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(documentación, punto de control y ajustes, actualizar rama con el trunk) fin 10/02
- Daily,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(documentación, punto de control y ajustes, actualizar rama con el trunk)
- Daily,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(desarrollo)
- Correctivos SONAR
- EHCOSPROD-44241 - Facturación: cambio campo Motivo de eliminado de un producto de texto libre a catálogo (desarrollo)</t>
        </r>
      </text>
    </comment>
    <comment ref="LQ31" authorId="0" shapeId="0" xr:uid="{00000000-0006-0000-0100-0000D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(actualizar la rama, estabilización 128, merge al trunk)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(sincronizar rama con el trunk, documentación, ajustes)
- Daily,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(sincronizar rama con el trunk, documentación, ajustes, pruebas)
- Daily,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(desarrollo)
- Correctivos SONAR</t>
        </r>
      </text>
    </comment>
    <comment ref="LT31" authorId="0" shapeId="0" xr:uid="{00000000-0006-0000-0100-0000D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(merge al trunk, registro de horas de merge) fin 15/02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(sincronizar rama con el trunk, documentación, ajustes) fin 16/02
- EHCOSPROD-40542 - Privilegios para agendar y atender turnos (lectura documentación, preparar entorno, desarrollo) inicio 17/02, fin 04/03
- Daily,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(sincronizar rama con el trunk, documentación, ajustes)
- Daily,
Backlog:</t>
        </r>
        <r>
          <rPr>
            <sz val="8"/>
            <color indexed="81"/>
            <rFont val="Tahoma"/>
            <family val="2"/>
          </rPr>
          <t xml:space="preserve">
- Correctivos SONAR
- Vacaciones 3 días Abril (pdte confirmar)</t>
        </r>
      </text>
    </comment>
    <comment ref="LU31" authorId="0" shapeId="0" xr:uid="{00000000-0006-0000-0100-0000D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(merge al trunk, registro de horas de merge) fin 16/02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(sincronizar rama con el trunk, documentación, ajustes) fin 16/02
- correctivos 5.15R
- Daily,</t>
        </r>
        <r>
          <rPr>
            <b/>
            <sz val="8"/>
            <color indexed="81"/>
            <rFont val="Tahoma"/>
            <family val="2"/>
          </rPr>
          <t xml:space="preserve">
Avance:
- EHCOSPROD-43168 - GDPR. Ocultar campos administrativos en la ficha del paciente (merge al trunk, registro de horas de merge)
- EHCOSPROD-38607 - MULTICENTRO - Visor de historia clínica y resumen (sincronizar rama con el trunk, documentación)
- correctivos 5.15R
- Daily,
Backlog:</t>
        </r>
        <r>
          <rPr>
            <sz val="8"/>
            <color indexed="81"/>
            <rFont val="Tahoma"/>
            <family val="2"/>
          </rPr>
          <t xml:space="preserve">
- Correctivos SONAR
- EHCOSPROD-40542 - Privilegios para agendar y atender turnos (lectura documentación, preparar entorno, desarrollo) inicio 05/04, fin ¿?
- Vacaciones 3 días Abril (pdte confirmar)</t>
        </r>
      </text>
    </comment>
    <comment ref="LV31" authorId="0" shapeId="0" xr:uid="{00000000-0006-0000-0100-0000D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EHCOSPROD-43168 - GDPR. Ocultar campos administrativos en la ficha del paciente (merge al trunk, registro de horas de merge)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EHCOSPROD-38607 - MULTICENTRO - Visor de historia clínica y resumen (sincronizar rama con el trunk, documentación, estabilización pendiente de despliegue)
- correctivos 5.15R
- Daily,</t>
        </r>
        <r>
          <rPr>
            <b/>
            <sz val="8"/>
            <color indexed="81"/>
            <rFont val="Tahoma"/>
            <family val="2"/>
          </rPr>
          <t xml:space="preserve">
Avance:
- correctivos 5.15R
- Daily,
Backlog:</t>
        </r>
        <r>
          <rPr>
            <sz val="8"/>
            <color indexed="81"/>
            <rFont val="Tahoma"/>
            <family val="2"/>
          </rPr>
          <t xml:space="preserve">
- Correctivos SONAR
- EHCOSPROD-40542 - Privilegios para agendar y atender turnos (lectura documentación, preparar entorno, desarrollo) inicio 05/04, fin ¿?
- Vacaciones 3 días Abril (pdte confirmar)</t>
        </r>
      </text>
    </comment>
    <comment ref="LW31" authorId="0" shapeId="0" xr:uid="{00000000-0006-0000-0100-0000D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(sincronizar rama con el trunk, documentación, estabilización 70)
- correctivos 5.15R
- Daily,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EHCOSPROD-38607 - MULTICENTRO - Visor de historia clínica y resumen (merge del trunk a la rama, documentación)
-correctivo 5.15R
-Daily</t>
        </r>
        <r>
          <rPr>
            <b/>
            <sz val="8"/>
            <color indexed="81"/>
            <rFont val="Tahoma"/>
            <family val="2"/>
          </rPr>
          <t xml:space="preserve">
Backlog:</t>
        </r>
        <r>
          <rPr>
            <sz val="8"/>
            <color indexed="81"/>
            <rFont val="Tahoma"/>
            <family val="2"/>
          </rPr>
          <t xml:space="preserve">
- Correctivos SONAR
- EHCOSPROD-40542 - Privilegios para agendar y atender turnos (lectura documentación, preparar entorno, desarrollo) inicio 05/04, fin ¿?
- Vacaciones 3 días Abril (pdte confirmar)</t>
        </r>
      </text>
    </comment>
    <comment ref="LX31" authorId="0" shapeId="0" xr:uid="{00000000-0006-0000-0100-0000DE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(estabilización)
- correctivos 5.15R
- Daily,</t>
        </r>
        <r>
          <rPr>
            <b/>
            <sz val="8"/>
            <color indexed="81"/>
            <rFont val="Tahoma"/>
            <family val="2"/>
          </rPr>
          <t xml:space="preserve">
Avance: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¿?
- Vacaciones 3 días Abril (pdte confirmar)</t>
        </r>
      </text>
    </comment>
    <comment ref="MA31" authorId="0" shapeId="0" xr:uid="{00000000-0006-0000-0100-0000DF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(actualizar rama con el trunk, estabilización 70)
- correctivos 5.15R
- Daily,</t>
        </r>
        <r>
          <rPr>
            <b/>
            <sz val="8"/>
            <color indexed="81"/>
            <rFont val="Tahoma"/>
            <family val="2"/>
          </rPr>
          <t xml:space="preserve">
Avance:
- correctivos 5.15R
- Daily,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B31" authorId="0" shapeId="0" xr:uid="{00000000-0006-0000-0100-0000E0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(actualizar rama con el trunk, estabilización 70)
- correctivos 5.15R
- Daily,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C31" authorId="0" shapeId="0" xr:uid="{00000000-0006-0000-0100-0000E1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(actualizar rama con el trunk, estabilización 70)
- correctivos 5.15R
- Daily,</t>
        </r>
        <r>
          <rPr>
            <b/>
            <sz val="8"/>
            <color indexed="81"/>
            <rFont val="Tahoma"/>
            <family val="2"/>
          </rPr>
          <t xml:space="preserve">
Avance:
- EHCOSPROD-38607 - MULTICENTRO - Visor de historia clínica y resumen (actualizacion de rama con ultimos cambios del trunk)
- correctivos 5.15R
- Daily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D31" authorId="0" shapeId="0" xr:uid="{00000000-0006-0000-0100-0000E2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(estabilización 70)
- correctivos 5.15R
- Daily,</t>
        </r>
        <r>
          <rPr>
            <b/>
            <sz val="8"/>
            <color indexed="81"/>
            <rFont val="Tahoma"/>
            <family val="2"/>
          </rPr>
          <t xml:space="preserve">
Avance:
- correctivos 5.15R (EHCOSPROD-44519)
- Daily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E31" authorId="0" shapeId="0" xr:uid="{00000000-0006-0000-0100-0000E3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(estabilización 70)
- correctivos 5.15R
- Daily,</t>
        </r>
        <r>
          <rPr>
            <b/>
            <sz val="8"/>
            <color indexed="81"/>
            <rFont val="Tahoma"/>
            <family val="2"/>
          </rPr>
          <t xml:space="preserve">
Avance:
.estabilizacion EHCOSPROD-38607 - MULTICENTRO - Visor de historia clínica y resumen
- actualizacion rama EHCOSPROD-38607
- correctivos 5.15R
- Daily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H31" authorId="0" shapeId="0" xr:uid="{00000000-0006-0000-0100-0000E4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(estabilización 70)
- correctivos 5.15R
- Daily,</t>
        </r>
        <r>
          <rPr>
            <b/>
            <sz val="8"/>
            <color indexed="81"/>
            <rFont val="Tahoma"/>
            <family val="2"/>
          </rPr>
          <t xml:space="preserve">
Avance:
- correctivos 5.15R
- Daily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I31" authorId="0" shapeId="0" xr:uid="{00000000-0006-0000-0100-0000E5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(estabilización 70)
- correctivos 5.15R
- Daily,</t>
        </r>
        <r>
          <rPr>
            <b/>
            <sz val="8"/>
            <color indexed="81"/>
            <rFont val="Tahoma"/>
            <family val="2"/>
          </rPr>
          <t xml:space="preserve">
Avance:
- revision de calendario vacunal con Sandra
- correctivos 5.15R
- Daily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J31" authorId="0" shapeId="0" xr:uid="{00000000-0006-0000-0100-0000E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(estabilización 70)
- correctivos 5.15R
- Daily,</t>
        </r>
        <r>
          <rPr>
            <b/>
            <sz val="8"/>
            <color indexed="81"/>
            <rFont val="Tahoma"/>
            <family val="2"/>
          </rPr>
          <t xml:space="preserve">
Avance:
-merge de evolutivo EHCOSPROD-38607 al trunk
- correctivos 5.15R
- Daily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
-jueves reunion de centro con Ramon</t>
        </r>
      </text>
    </comment>
    <comment ref="MK31" authorId="0" shapeId="0" xr:uid="{00000000-0006-0000-0100-0000E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EHCOSPROD-38607 - MULTICENTRO - Visor de historia clínica y resumen (anotar horas de merge)
- correctivos 5.15R
- reunion de centro con Ramon
- Daily,</t>
        </r>
        <r>
          <rPr>
            <b/>
            <sz val="8"/>
            <color indexed="81"/>
            <rFont val="Tahoma"/>
            <family val="2"/>
          </rPr>
          <t xml:space="preserve">
Avance:
- correctivos 5.15R
- Daily
-Reunion con Ramon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L31" authorId="0" shapeId="0" xr:uid="{00000000-0006-0000-0100-0000E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
- Daily,</t>
        </r>
        <r>
          <rPr>
            <b/>
            <sz val="8"/>
            <color indexed="81"/>
            <rFont val="Tahoma"/>
            <family val="2"/>
          </rPr>
          <t xml:space="preserve">
Avance:
Correctivos 5.15R
Daily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O31" authorId="0" shapeId="0" xr:uid="{00000000-0006-0000-0100-0000E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
- Daily,</t>
        </r>
        <r>
          <rPr>
            <b/>
            <sz val="8"/>
            <color indexed="81"/>
            <rFont val="Tahoma"/>
            <family val="2"/>
          </rPr>
          <t xml:space="preserve">
Avance:
- correctivos devueltos 5.15R
- correctivos 5.15R
- Daily,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P31" authorId="0" shapeId="0" xr:uid="{00000000-0006-0000-0100-0000E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
- Daily,</t>
        </r>
        <r>
          <rPr>
            <b/>
            <sz val="8"/>
            <color indexed="81"/>
            <rFont val="Tahoma"/>
            <family val="2"/>
          </rPr>
          <t xml:space="preserve">
Avance:
- Daily
- correccion devueltos 5.15
- correctivos 5.15R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Q31" authorId="0" shapeId="0" xr:uid="{00000000-0006-0000-0100-0000E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
- Daily,</t>
        </r>
        <r>
          <rPr>
            <b/>
            <sz val="8"/>
            <color indexed="81"/>
            <rFont val="Tahoma"/>
            <family val="2"/>
          </rPr>
          <t xml:space="preserve">
Avance:
- correctivos 5.15R
- Daily,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R31" authorId="0" shapeId="0" xr:uid="{00000000-0006-0000-0100-0000E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
- Daily,</t>
        </r>
        <r>
          <rPr>
            <b/>
            <sz val="8"/>
            <color indexed="81"/>
            <rFont val="Tahoma"/>
            <family val="2"/>
          </rPr>
          <t xml:space="preserve">
Avance:
- correccion devueltos 5.15
- correctivos 5.15R
- Daily,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S31" authorId="0" shapeId="0" xr:uid="{00000000-0006-0000-0100-0000E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5.15R
- Daily,</t>
        </r>
        <r>
          <rPr>
            <b/>
            <sz val="8"/>
            <color indexed="81"/>
            <rFont val="Tahoma"/>
            <family val="2"/>
          </rPr>
          <t xml:space="preserve">
Avance:
Backlog:</t>
        </r>
        <r>
          <rPr>
            <sz val="8"/>
            <color indexed="81"/>
            <rFont val="Tahoma"/>
            <family val="2"/>
          </rPr>
          <t xml:space="preserve">
- EHCOSPROD-40542 - Privilegios para agendar y atender turnos (lectura documentación, preparar entorno, desarrollo) inicio 05/04, fin 20/04
- Vacaciones 3 días Abril (pdte confirmar)</t>
        </r>
      </text>
    </comment>
    <comment ref="MV31" authorId="104" shapeId="0" xr:uid="{00000000-0006-0000-0100-0000EE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EHCOSPROD-45192: Filtrado de centros
Correctivos 5.15.
Avance:
EHCOSPROD-41352 : Correctivos devoluciones, complicación apartado catálogos.
Backlog:</t>
      </text>
    </comment>
    <comment ref="MW31" authorId="105" shapeId="0" xr:uid="{00000000-0006-0000-0100-0000EF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EHCOSPROD-45192: Filtrado de centros
Correctivos 5.15.
Avance:
EHCOSPROD-41352 : Correctivos devoluciones, complicación apartado catálogos.
Backlog:</t>
      </text>
    </comment>
    <comment ref="MX31" authorId="106" shapeId="0" xr:uid="{00000000-0006-0000-0100-0000F003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EHCOSPROD-45192: Filtrado de centros
Correctivos 5.15.
Avance:
EHCOSPROD-41352 : Correctivos devoluciones, complicación apartado catálogos.
Backlog:</t>
      </text>
    </comment>
    <comment ref="MY31" authorId="0" shapeId="0" xr:uid="{00000000-0006-0000-0100-0000F1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</t>
        </r>
        <r>
          <rPr>
            <b/>
            <sz val="8"/>
            <color indexed="81"/>
            <rFont val="Tahoma"/>
            <family val="2"/>
          </rPr>
          <t xml:space="preserve">
Avance:
Correctivos 5.15:
-EHCOSPROD-45455
-EHCOSPROD-45341
-EHCOSPROD-45116: pendiente
Backlog:
</t>
        </r>
      </text>
    </comment>
    <comment ref="MZ31" authorId="0" shapeId="0" xr:uid="{00000000-0006-0000-0100-0000F2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continuar correctivo EHCOSPROD-45116
Correctivos 5.15.
</t>
        </r>
        <r>
          <rPr>
            <b/>
            <sz val="8"/>
            <color indexed="81"/>
            <rFont val="Tahoma"/>
            <family val="2"/>
          </rPr>
          <t xml:space="preserve">
Avance:
continuar correctivo EHCOSPROD-45116
Correctivos 5.15.
Backlog:
</t>
        </r>
      </text>
    </comment>
    <comment ref="NC31" authorId="0" shapeId="0" xr:uid="{00000000-0006-0000-0100-0000F3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</t>
        </r>
        <r>
          <rPr>
            <b/>
            <sz val="8"/>
            <color indexed="81"/>
            <rFont val="Tahoma"/>
            <family val="2"/>
          </rPr>
          <t xml:space="preserve">
Avance:
Correctivos 5.15
daily
Backlog:
</t>
        </r>
      </text>
    </comment>
    <comment ref="ND31" authorId="0" shapeId="0" xr:uid="{00000000-0006-0000-0100-0000F4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</t>
        </r>
        <r>
          <rPr>
            <b/>
            <sz val="8"/>
            <color indexed="81"/>
            <rFont val="Tahoma"/>
            <family val="2"/>
          </rPr>
          <t xml:space="preserve">
Avance:
correctivos 5.15
daily
Backlog:
</t>
        </r>
      </text>
    </comment>
    <comment ref="NE31" authorId="0" shapeId="0" xr:uid="{00000000-0006-0000-0100-0000F5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</t>
        </r>
        <r>
          <rPr>
            <b/>
            <sz val="8"/>
            <color indexed="81"/>
            <rFont val="Tahoma"/>
            <family val="2"/>
          </rPr>
          <t xml:space="preserve">
Avance:
revision flujo programar cita urgente
correccion 5.15
daily
problema caida steps
revision entorno 117
Backlog:
</t>
        </r>
      </text>
    </comment>
    <comment ref="NF31" authorId="0" shapeId="0" xr:uid="{00000000-0006-0000-0100-0000F6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Correctivos 5.15.
seguimos con problemas de steps
</t>
        </r>
        <r>
          <rPr>
            <b/>
            <sz val="8"/>
            <color indexed="81"/>
            <rFont val="Tahoma"/>
            <family val="2"/>
          </rPr>
          <t xml:space="preserve">
Avance:
correccion errores excel 5.15
daily
Backlog:
</t>
        </r>
      </text>
    </comment>
    <comment ref="NG31" authorId="0" shapeId="0" xr:uid="{00000000-0006-0000-0100-0000F7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Correctivos 5.15.
seguimos con problemas de steps</t>
        </r>
        <r>
          <rPr>
            <b/>
            <sz val="8"/>
            <color indexed="81"/>
            <rFont val="Tahoma"/>
            <family val="2"/>
          </rPr>
          <t xml:space="preserve">
Avance:
correctivos 5.15 excel
daily
Backlog:
</t>
        </r>
      </text>
    </comment>
    <comment ref="NJ31" authorId="0" shapeId="0" xr:uid="{00000000-0006-0000-0100-0000F8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Correctivos 5.15.
daily</t>
        </r>
        <r>
          <rPr>
            <b/>
            <sz val="8"/>
            <color indexed="81"/>
            <rFont val="Tahoma"/>
            <family val="2"/>
          </rPr>
          <t xml:space="preserve">
Avance:
correctivos 5.15
daily
Backlog:
</t>
        </r>
      </text>
    </comment>
    <comment ref="NK31" authorId="0" shapeId="0" xr:uid="{00000000-0006-0000-0100-0000F9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Correctivos 5.15.
daily</t>
        </r>
        <r>
          <rPr>
            <b/>
            <sz val="8"/>
            <color indexed="81"/>
            <rFont val="Tahoma"/>
            <family val="2"/>
          </rPr>
          <t xml:space="preserve">
Avance:
correctivos 5.15
daily
Backlog:
</t>
        </r>
      </text>
    </comment>
    <comment ref="NL31" authorId="0" shapeId="0" xr:uid="{00000000-0006-0000-0100-0000FA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Correctivos 5.15.
daily</t>
        </r>
        <r>
          <rPr>
            <b/>
            <sz val="8"/>
            <color indexed="81"/>
            <rFont val="Tahoma"/>
            <family val="2"/>
          </rPr>
          <t xml:space="preserve">
Avance:
correctivos 5.15
daily
Backlog:
</t>
        </r>
      </text>
    </comment>
    <comment ref="KK32" authorId="0" shapeId="0" xr:uid="{00000000-0006-0000-0100-0000FB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- soporte proyectos: Córdoba (2) y Melo (1). 
- PL administración tratamientos (revisión)
CMK 5.14
- EHCOSPROD-42018: ehCOS CMK - Desarrollar plan de pruebas CMK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Daily
- soporte proyectos: Melo (soporte creación usuarios), Marañón (soporte indicadores), Córdoba (2) 
CMK 5.14
- EHCOSPROD-42018: ehCOS CMK - Desarrollar plan de pruebas CMK
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L32" authorId="0" shapeId="0" xr:uid="{00000000-0006-0000-0100-0000FC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- soporte proyectos: Marañón (soporte indicadores, instalación datawarehouse), Córdoba (2) 
CMK 5.14
- EHCOSPROD-42018: ehCOS CMK - Desarrollar plan de pruebas CMK
- revisión PL administraciones para entorno demo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- soporte proyectos: Marañón (soporte indicadores, Planificación instalación datawarehouse), Melo (soporte catálogo de sexos). 
CMK 5.14
- EHCOSPROD-42018: ehCOS CMK - Desarrollar plan de pruebas CMK
- revisión PL administraciones para entorno demo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M32" authorId="0" shapeId="0" xr:uid="{00000000-0006-0000-0100-0000FD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- soporte proyectos: Marañón (soporte indicadores, planificación instalación datawarehouse), Córdoba (2) 
- revisión PL administraciones para entorno demo
CMK 5.14
- EHCOSPROD-42018: ehCOS CMK - Desarrollar plan de pruebas CMK</t>
        </r>
        <r>
          <rPr>
            <b/>
            <sz val="8"/>
            <color indexed="81"/>
            <rFont val="Tahoma"/>
            <family val="2"/>
          </rPr>
          <t xml:space="preserve">
Avance:</t>
        </r>
        <r>
          <rPr>
            <sz val="8"/>
            <color indexed="81"/>
            <rFont val="Tahoma"/>
            <family val="2"/>
          </rPr>
          <t xml:space="preserve">
Daily
- soporte proyectos: Marañón (soporte indicadores, planificación instalación datawarehouse), Córdoba (2) 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N32" authorId="0" shapeId="0" xr:uid="{00000000-0006-0000-0100-0000FE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- reunión ehCOS
- formateo ordenador
- soporte proyectos: Marañón (soporte indicadores, planificación instalación datawarehouse), Córdoba (2) 
- revisión PL administraciones para entorno demo
CMK 5.14
- EHCOSPROD-42018: ehCOS CMK - Desarrollar plan de pruebas CMK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- reunión ehCOS
- formateo ordenador
- soporte proyectos: Marañón (error al abrir planes de cuidado, frecuencias duplicdas), Melo 
CMK 5.14
- EHCOSPROD-42018: ehCOS CMK - Desarrollar plan de pruebas CMK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O32" authorId="0" shapeId="0" xr:uid="{00000000-0006-0000-0100-0000FF03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- soporte proyectos: Melo, Marañón (instalación datawarehouse)
CMK 5.14
- EHCOSPROD-42018: ehCOS CMK - Desarrollar plan de pruebas CMK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instalación software tras formateo
- soporte proyectos: Melo, Marañón (instalación datawarehouse)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R32" authorId="0" shapeId="0" xr:uid="{00000000-0006-0000-0100-000000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
- soporte proyectos: Marañón (instalación datawarehouse)
CMK 5.14
- EHCOSPROD-42018: ehCOS CMK - Desarrollar plan de pruebas CMK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
- soporte proyectos: Marañón (instalación datawarehouse)
- soporte Adrián generando licencias
CMK 5.14
- EHCOSPROD-42018: ehCOS CMK - Desarrollar plan de pruebas CMK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S32" authorId="0" shapeId="0" xr:uid="{00000000-0006-0000-0100-000001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 (instalación datawarehouse implantación CMK)
- EHCOSPROD-42018: ehCOS CMK - Desarrollar plan de pruebas CMK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- EHCOSPROD-42018: ehCOS CMK - Desarrollar plan de pruebas CMK
- soporte Marta pliego
- soporte proyectos: Marañón (instalación datawarehouse implantación CMK)</t>
        </r>
        <r>
          <rPr>
            <b/>
            <sz val="8"/>
            <color indexed="81"/>
            <rFont val="Tahoma"/>
            <family val="2"/>
          </rPr>
          <t xml:space="preserve">
Daily
Backlog:
</t>
        </r>
      </text>
    </comment>
    <comment ref="KT32" authorId="0" shapeId="0" xr:uid="{00000000-0006-0000-0100-000002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 (instalación datawarehouse implantación CMK), Córdoba (soporte reabierto configuración constantes)
- instalación entorno 75 UCI (restaurar base de datos)
- EHCOSPROD-42018: ehCOS CMK - Desarrollar plan de pruebas CMK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GC restaurar base de datos 75
- soporte proyectos: Marañón (instalación datawarehouse implantación CMK), Córdoba (soporte configuración constantes, zul con problemas). JMS (modelo base datos CEX)
- entorno demo configuración PL administraciones
- Daily
Backlog:
</t>
        </r>
      </text>
    </comment>
    <comment ref="KU32" authorId="0" shapeId="0" xr:uid="{00000000-0006-0000-0100-000003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 (instalación datawarehouse implantación CMK), Córdoba (soporte firma informes, transferencia entre servicios), JMS (Usuarios ClinicalShare)
- soporte GC
- EHCOSPROD-42018: ehCOS CMK - Desarrollar plan de pruebas CMK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JMS (Usuarios y menus ClinicalShare), Córdoba (soporte firma informes, transferencia entre servicios), Marañón (instalación datawarehouse implantación CMK), 
- soporte GC
- EHCOSPROD-42018: ehCOS CMK - Desarrollar plan de pruebas CMK
- Daily
Backlog:
</t>
        </r>
      </text>
    </comment>
    <comment ref="KY32" authorId="0" shapeId="0" xr:uid="{00000000-0006-0000-0100-000004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 (instalación datawarehouse implantación CMK), JMS (configuración ClinicalShare)
- soporte GC
- EHCOSPROD-42018: ehCOS CMK - Desarrollar plan de pruebas CMK</t>
        </r>
        <r>
          <rPr>
            <b/>
            <sz val="8"/>
            <color indexed="81"/>
            <rFont val="Tahoma"/>
            <family val="2"/>
          </rPr>
          <t xml:space="preserve">
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(instalación datawarehouse implantación CMK), JMS (configuración ClinicalShare, error hoja quirúrgica), Córdoba
- Daily
Backlog:
</t>
        </r>
      </text>
    </comment>
    <comment ref="KZ32" authorId="0" shapeId="0" xr:uid="{00000000-0006-0000-0100-000005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(instalación datawarehouse implantación CMK), Córdoba, JMS
- soporte GC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(instalación datawarehouse implantación CMK), Córdoba, JMS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A32" authorId="0" shapeId="0" xr:uid="{00000000-0006-0000-0100-000006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(instalación datawarehouse implantación CMK), JMS
- soporte GC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(instalación datawarehouse implantación CMK, reporting tareas), JMS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B32" authorId="0" shapeId="0" xr:uid="{00000000-0006-0000-0100-000007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(instalación datawarehouse implantación CMK), JMS
- soporte GC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CMK), JMS (dudas bd)
- preparar formación JMS UCI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C32" authorId="0" shapeId="0" xr:uid="{00000000-0006-0000-0100-000008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CMK), JMS
- soporte GC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CMK), JMS (soporte CSH), Córdoba (icono portada, firma informes)
- soporte GC (entorno 75 y demo)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F32" authorId="0" shapeId="0" xr:uid="{00000000-0006-0000-0100-000009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CMK, ejecución deltas), JMS, Córdoba
- soporte GC
- preparación formaciones UCI JMS (miercoles y jueves)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CMK, ejecución deltas), JMS, Córdoba
- preparación formaciones UCI JMS (miercoles y jueves) con Adrian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G32" authorId="0" shapeId="0" xr:uid="{00000000-0006-0000-0100-00000A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CMK, validación deltas), JMS, Córdoba
- soporte GC
- preparación formaciones UCI JMS con Adrian (miercoles y jueves)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CMK, validación deltas), JMS, Córdoba
- preparación formaciones UCI JMS con Adrian (miercoles y jueves)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H32" authorId="0" shapeId="0" xr:uid="{00000000-0006-0000-0100-00000B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CMK, validación deltas), JMS, Córdoba
- soporte GC
- sesión formación UCI JMS (miercoles y jueves)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sesión formación UCI JMS. Preparación sesión jueves
- soporte proyectos: Marañón (implantación CMK), JMS, Córdoba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I32" authorId="0" shapeId="0" xr:uid="{00000000-0006-0000-0100-00000C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CMK), JMS, Córdoba
- soporte GC
- sesión formación UCI JMS (jueves)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CMK, ejecución ETLs), JMS, Córdoba
- sesión formación UCI JMS (jueves)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J32" authorId="0" shapeId="0" xr:uid="{00000000-0006-0000-0100-00000D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CMK), JMS, Córdoba
- soporte GC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 PRO), JMS, Córdoba
- tareas backlog
- soporte GC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M32" authorId="0" shapeId="0" xr:uid="{00000000-0006-0000-0100-00000E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 PRO), JMS, Córdoba
- soporte GC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 PRO, propuesta purgado base de datos), JMS, Córdoba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N32" authorId="0" shapeId="0" xr:uid="{00000000-0006-0000-0100-00000F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 PRO, propuesta purgado base de datos), JMS, Córdoba
- soporte GC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 PRO), JMS, Córdoba
- soporte GC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O32" authorId="0" shapeId="0" xr:uid="{00000000-0006-0000-0100-000010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 PRO, propuesta purgado base de datos), JMS, Córdoba
- soporte GC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Daily, sesiones por producto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 PRO, problemas espacio tablespace), JMS, Córdoba
- documentación DWH
- metodlogía creación tablas proyecto
- Daily, sesiones por producto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P32" authorId="0" shapeId="0" xr:uid="{00000000-0006-0000-0100-000011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 PRO), JMS, Córdoba
- soporte GC
- reunión metodología tablas de proyecto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 PRO), JMS (dudas de BD, módulo pentaho), Córdoba (reunión scripts de test)
- reunión metodología tablas de proyecto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Q32" authorId="0" shapeId="0" xr:uid="{00000000-0006-0000-0100-000012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 PRO), JMS, Córdoba
- soporte GC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 PRO)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
- revisión pentaho con Javier Hope</t>
        </r>
      </text>
    </comment>
    <comment ref="LT32" authorId="0" shapeId="0" xr:uid="{00000000-0006-0000-0100-000013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 PRO), JMS, Córdoba
- soporte GC
- revisión pentaho con Javier Hope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 PRO), JMS
- revisión pentaho con Javier Hope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U32" authorId="0" shapeId="0" xr:uid="{00000000-0006-0000-0100-000014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 PRO), JMS, Córdoba
- soporte GC: maqueta de UCI standalone 5.5, generar scripts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 PRO), JMS (soporte dudas base de datos)
- soporte GC: maqueta de UCI standalone 5.5, generar scripts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V32" authorId="0" shapeId="0" xr:uid="{00000000-0006-0000-0100-000015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 PRO), JMS, Córdoba
- soporte GC: maqueta de UCI standalone 5.5, generar scripts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 PRO), JMS (Callejero)
- soporte GC: maqueta de UCI standalone 5.5, generar scripts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W32" authorId="0" shapeId="0" xr:uid="{00000000-0006-0000-0100-000016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 PRO), JMS, Córdoba
- soporte GC: maqueta de UCI standalone 5.5, generar scripts
- indicadores Pentaho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 PRO, errores PL historificación constantes), JMS, Córdoba
- soporte cargas masivas facturacion
- recopilación documentación
- soporte GC: maqueta de UCI standalone 5.5, generar scripts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LX32" authorId="0" shapeId="0" xr:uid="{00000000-0006-0000-0100-000017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soporte proyectos: Marañón (implantación CMK PRO y pruebas para las cargas), JMS, Córdoba
- soporte GC: maqueta de UCI standalone 5.5, generar scripts
- indicadores Pentaho
</t>
        </r>
        <r>
          <rPr>
            <b/>
            <sz val="8"/>
            <color indexed="81"/>
            <rFont val="Tahoma"/>
            <family val="2"/>
          </rPr>
          <t xml:space="preserve">-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JMS, Córdoba, Marañón (implantación CMK PRO y plan de pruebas para proyecto)
- soporte GC: maqueta de UCI standalone 5.5, generar scripts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</t>
        </r>
      </text>
    </comment>
    <comment ref="MA32" authorId="0" shapeId="0" xr:uid="{00000000-0006-0000-0100-000018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 (implantación CMK PRO y plan de pruebas para proyecto), JMS, Córdoba
- EHCOSPROD-36977 - Obtención scripts para maqueta de UCI modo Standalone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(implantación CMK PRO y plan de pruebas para proyecto), JMS
- EHCOSPROD-36977 - Obtención scripts para maqueta de UCI modo Standalone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B32" authorId="0" shapeId="0" xr:uid="{00000000-0006-0000-0100-000019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 (EHCOSPROD-44237 - Implantación CMK PRO y plan de pruebas para proyecto), JMS, Córdoba
- EHCOSPROD-36977 - Obtención scripts para maqueta de UCI modo Standalone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Marañón, JMS, Córdoba
- EHCOSPROD-36977 - Obtención scripts para maqueta de UCI modo Standalone
- documento extensión base de datos para proyecto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C32" authorId="0" shapeId="0" xr:uid="{00000000-0006-0000-0100-00001A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 (EHCOSPROD-44237 - Implantación CMK PRO y plan de pruebas para proyecto), JMS, Córdoba
- EHCOSPROD-36977 - Obtención scripts para maqueta de UCI modo Standalone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JMS, Marañon
- EHCOSPROD-36977 - Obtención scripts para maqueta de UCI modo Standalone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D32" authorId="0" shapeId="0" xr:uid="{00000000-0006-0000-0100-00001B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 (EHCOSPROD-44237 - Implantación CMK PRO y plan de pruebas para proyecto), JMS, Córdoba
- EHCOSPROD-36977 - Obtención scripts para maqueta de UCI modo Standalone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Maqueta uci standlone (cerrar hoy oracle)
Soporte melo.
Revision soportes Melo.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E32" authorId="0" shapeId="0" xr:uid="{00000000-0006-0000-0100-00001C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 (EHCOSPROD-44237 - Implantación CMK PRO y plan de pruebas para proyecto), JMS, Córdoba
- EHCOSPROD-36977 - Obtención scripts para maqueta de UCI modo Standalone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Maqueta cmk uci para oracle
Reu aida vero pentajo
reu javi secuencias
Soporte dudas melo 
Dudas uci
Revisar error tablespace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H32" authorId="0" shapeId="0" xr:uid="{00000000-0006-0000-0100-00001D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 (EHCOSPROD-44237 - Implantación CMK PRO y plan de pruebas para proyecto), JMS, Córdoba
- EHCOSPROD-36977 - Obtención scripts para maqueta de UCI modo Standalone
- Maqueta uci BBDD standalone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-&gt; Despliegue 5.5 y validar que funcional
-&gt; Implementacion cmk validación de datos
-&gt; Carga de datos 2021.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I32" authorId="0" shapeId="0" xr:uid="{00000000-0006-0000-0100-00001E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 (EHCOSPROD-44237 - Implantación CMK PRO y plan de pruebas para proyecto), JMS, Córdoba
- EHCOSPROD-36977 - Obtención scripts para maqueta de UCI modo Standalone
- Maqueta uci BBDD standalone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Despliegue 75 uci con bbdd maqueta de uci (versión1)
Reunión melo UCI
Implatación cmk Marañón (finalizado)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J32" authorId="0" shapeId="0" xr:uid="{00000000-0006-0000-0100-00001F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 (EHCOSPROD-44237 - Implantación CMK PRO y plan de pruebas para proyecto), JMS, Córdoba
- EHCOSPROD-36977 - Obtención scripts para maqueta de UCI modo Standalone
- Maqueta uci BBDD standalone POSGRES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Marañón (EHCOSPROD-44237 - Implantación CMK PRO y plan de pruebas para proyecto), JMS, Córdoba
- EHCOSPROD-36977 - Obtención scripts para maqueta de UCI modo Standalone
- Reunión sobre BD Oracle 131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K32" authorId="0" shapeId="0" xr:uid="{00000000-0006-0000-0100-000020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proyectos: JMS
- EHCOSPROD-36977 - Obtención scripts para maqueta de UCI modo Standalone Maqueta de postgres. Finalización y pruebas configuración
- revisión problema update
- Soporte y soporte melo uci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L32" authorId="0" shapeId="0" xr:uid="{00000000-0006-0000-0100-000021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 - Documentacion maqueta UCI standalone bbdd
- Soportes  MELO MARAÑON ARGENTINA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O32" authorId="0" shapeId="0" xr:uid="{00000000-0006-0000-0100-000022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 HOY CMK POSTGRES Y SOPORTES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dudas Melo. Inventario Analitycs. Soporte Cordoba intervenciones .
- HOY CMK POSTGRES Y SOPORTES
- Daily
Backlog:
</t>
        </r>
        <r>
          <rPr>
            <sz val="8"/>
            <color indexed="81"/>
            <rFont val="Tahoma"/>
            <family val="2"/>
          </rPr>
          <t xml:space="preserve">- EHCOSPROD-42018: ehCOS CMK - Desarrollar plan de pruebas CMK
- indicadores Pentaho
</t>
        </r>
      </text>
    </comment>
    <comment ref="MP32" authorId="0" shapeId="0" xr:uid="{00000000-0006-0000-0100-000023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 HOY CMK POSTGRES Y SOPORTES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Q32" authorId="0" shapeId="0" xr:uid="{00000000-0006-0000-0100-000024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 HOY CMK POSTGRES Y SOPORTES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 - Soporte dudas Melo Codigo postal
- Soporte de UCI
- Reunion melo confi UCI
- Informacion alertas con MELO
- Scripts alertas UCI
- CMK Postgres
- Daily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R32" authorId="0" shapeId="0" xr:uid="{00000000-0006-0000-0100-000025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 HOY CMK POSTGRES Y SOPORTES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melo auditoria y configuración UCI
- Revisión entorno UCI standlone (Hoy también)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S32" authorId="0" shapeId="0" xr:uid="{00000000-0006-0000-0100-000026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 HOY CMK POSTGRES Y SOPORTES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upgrade melo
- Soporte balance hidríco
- Soporte clave duplicada
- Despligue 75
- Rehacer postrges UCI standalone
- Soporte dudas bbdd melo.
***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V32" authorId="0" shapeId="0" xr:uid="{00000000-0006-0000-0100-000027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 HOY CMK POSTGRES Y SOPORTES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Soportes Alertas (con victor y luego proyecto)
- Modificaciones UCI Standalone
- Soporte scripts constantes  y graficas (no finalizado)
- Cmk maqueta postgres ok.
Hoy: Reunion melo confi Uci, reu Cordoba error.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W32" authorId="0" shapeId="0" xr:uid="{00000000-0006-0000-0100-000028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 HOY CMK POSTGRES Y SOPORTES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Melo script vital constants
- Reunion melo UCI
- Reunion Javi, Carretero configuracion de uci
- Script validar upgrade de melo
- Reunión Cordoba pantalla configuración menu (Problema con un perfil)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X32" authorId="0" shapeId="0" xr:uid="{00000000-0006-0000-0100-000029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  Hoy reu Hernan incidencia menus
- Finalizar script UCI
- CMK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creacíon scripts Marañon
- Futuro implantación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MY32" authorId="0" shapeId="0" xr:uid="{00000000-0006-0000-0100-00002A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 Soporte de UCI
- Soporte BBDD con melo
- Implimentacion CMK y analitycs
- CMK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-Soporte melo, uci 
- Implantacion cmk fase2
-------------------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NC32" authorId="0" shapeId="0" xr:uid="{00000000-0006-0000-0100-00002B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 Soporte de UCI
- Soporte BBDD con melo
- Implimentacion CMK y analitycs
- CMK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-Soporte melo, uci  (Problema mapa de camas)
-Dudas de bbdd
-Reunión con melo
- Implantacion cmk fase2
-------------------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ND32" authorId="0" shapeId="0" xr:uid="{00000000-0006-0000-0100-00002C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 Soporte de codigo postal
- Soporte de UCI
- Soporte BBDD con melo
- Implimentacion CMK y analitycs validación de datos
- CMK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Implantación fase 2 CMK analitys
- Soporte UCI Melo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NE32" authorId="0" shapeId="0" xr:uid="{00000000-0006-0000-0100-00002D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 Soporte de codigo postal
- Soporte de UCI
- Soporte BBDD con melo
- Implimentacion CMK y analitycs validación de datos
- CMK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CMK Analitycs validacion de datos
- Agregar bbdd producción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NF32" authorId="0" shapeId="0" xr:uid="{00000000-0006-0000-0100-00002E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EHCOSPROD-36977 - Obtención scripts para maqueta de UCI modo Standalone
- Soporte de codigo postal
- Soporte de UCI
- Soporte BBDD con melo
- Implimentacion CMK y analitycs validación de datos
- CMK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 -Documenación y tareas cmk instalacion
- Melo configuración de uci
- Revisión ricardo scripts
Hoy:
- Review
- Reunión melo config UCI
- Finalizar indexación solr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NG32" authorId="0" shapeId="0" xr:uid="{00000000-0006-0000-0100-00002F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Implimentacion CMK y analitycs validación de datos
- Review
- Reunión melo config UCI
- CMK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Revisión DLs scripts 
- Implementación de cmk
- Review a mitad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NJ32" authorId="0" shapeId="0" xr:uid="{00000000-0006-0000-0100-000030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Implimentacion CMK y analitycs validación de datos
- Review
- Soportes
- CMK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Implantacion cmk (validación de datos).
- Soporte Melo
- Review finalizado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NK32" authorId="0" shapeId="0" xr:uid="{00000000-0006-0000-0100-000031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Implimentacion CMK y analitycs validación de datos
- Review
- Reunión melo config UCI
- CMK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Melo y Cordoba
- REvision analytics, demo cmk, revision dudas arbol
- Reu config UCI.
Hoy: 2 soportes UCI MELO, reunion mejoras solr, 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NL32" authorId="0" shapeId="0" xr:uid="{00000000-0006-0000-0100-000032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soporte proyectos: Marañón, JMS, Córdoba
- Implimentacion CMK y analitycs validación de datos
- Review
- Reunión melo config UCI
- CMK
-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Avance:
- Soporte Melo y Cordoba
- Revisión   solr
- Problemas   demo
Hoy desarrollo evolutivos analitys
Hoy: 2 soportes UCI MELO, reunion mejoras solr, 
Backlog:
</t>
        </r>
        <r>
          <rPr>
            <sz val="8"/>
            <color indexed="81"/>
            <rFont val="Tahoma"/>
            <family val="2"/>
          </rPr>
          <t>- EHCOSPROD-42018: ehCOS CMK - Desarrollar plan de pruebas CMK
- indicadores Pentaho</t>
        </r>
      </text>
    </comment>
    <comment ref="KD33" authorId="2" shapeId="0" xr:uid="{00000000-0006-0000-0100-000033040000}">
      <text>
        <r>
          <rPr>
            <b/>
            <sz val="9"/>
            <color indexed="81"/>
            <rFont val="Tahoma"/>
            <family val="2"/>
          </rPr>
          <t xml:space="preserve">Marcela Alejandra Alvarado Jara
</t>
        </r>
        <r>
          <rPr>
            <sz val="9"/>
            <color indexed="81"/>
            <rFont val="Tahoma"/>
            <family val="2"/>
          </rPr>
          <t xml:space="preserve">Avance ayer: implementacion y pruebas de integracion con hesian
tareas con remote
por hacer: 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KE33" authorId="107" shapeId="0" xr:uid="{00000000-0006-0000-0100-000034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Revision estado ramas uci
Revisión jiras remote
Analisis integración mirth</t>
      </text>
    </comment>
    <comment ref="KF33" authorId="108" shapeId="0" xr:uid="{00000000-0006-0000-0100-000035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Planteamiento esquema de integracion mirth
Planificación
Revision de tareas remote
Apoyo equipo desarrollo</t>
      </text>
    </comment>
    <comment ref="KK33" authorId="0" shapeId="0" xr:uid="{00000000-0006-0000-0100-000036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soporte. Actualizar planificación
- EHCOSPROD-41714 - Análisis del nuevo modelo de integración con Mirth (revisión con Javi y pruebas de concepto)
5.6R-UCI
- análisis, correctivos, merges
- EHCOSPROD-39164 - Unificación de catálogo de tratamientos (pausado)
- correcciones SONAR (soporte)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soporte. Revisión de gestión
- EHCOSPROD-41714 - Análisis del nuevo modelo de integración con Mirth (pruebas de concepto,  restructuración)
- correcciones SONAR (revisión incidencias abiertas)
5.6R-UCI
- EHCOSPROD-39164 - Unificación de catálogo de tratamientos (reunión)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L33" authorId="0" shapeId="0" xr:uid="{00000000-0006-0000-0100-000037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soporte. Actualizar planificación
- EHCOSPROD-41714 - Análisis del nuevo modelo de integración con Mirth (revisión con Javi y pruebas de concepto)
5.6R-UCI
- análisis, correctivos, merges
- EHCOSPROD-39164 - Unificación de catálogo de tratamientos (pausado)
- correcciones SONAR (soporte)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M33" authorId="0" shapeId="0" xr:uid="{00000000-0006-0000-0100-000038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soporte. Actualizar planificación
- EHCOSPROD-41714 - Análisis del nuevo modelo de integración con Mirth (revisión con Javi y pruebas de concepto)
5.6R-UCI
- análisis, correctivos, merges
- EHCOSPROD-39164 - Unificación de catálogo de tratamientos (pausado)
- correcciones SONAR (soporte)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soporte. Actualizar planificación
- EHCOSPROD-41714 - Análisis del nuevo modelo de integración con Mirth (revisión con Javi y pruebas de concepto)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N33" authorId="0" shapeId="0" xr:uid="{00000000-0006-0000-0100-000039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soporte. Actualizar planificación
- EHCOSPROD-41714 - Análisis del nuevo modelo de integración con Mirth (revisión con Javi y pruebas de concepto)
5.6R-UCI
- análisis, correctivos, merges
- EHCOSPROD-39164 - Unificación de catálogo de tratamientos (pausado)
- correcciones SONAR (soporte)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Daily, soporte.
- EHCOSPROD-41714 - Análisis del nuevo modelo de integración con Mirth (modelo de capas abstractas)
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O33" authorId="0" shapeId="0" xr:uid="{00000000-0006-0000-0100-00003A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soporte. Actualizar planificación
reunion Health
- EHCOSPROD-41714 - Análisis del nuevo modelo de integración con Mirth (modelo de capas abstractas, envio de mensajes, mensajes de pruebas)
5.6R-UCI
- análisis, correctivos, merges
- EHCOSPROD-39164 - Unificación de catálogo de tratamientos (pausado)
- correcciones SONAR (soporte)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Daily, soporte. Actualizar planificación
reunion Health
- EHCOSPROD-41714 - Análisis del nuevo modelo de integración con Mirth (modelo de capas abstractas, envio de mensajes, mensajes de pruebas)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R33" authorId="0" shapeId="0" xr:uid="{00000000-0006-0000-0100-00003B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Daily, soporte. Actualizar planificación
- EHCOSPROD-41714 - Análisis del nuevo modelo de integración con Mirth (modelo de capas abstractas, envio de mensajes, mensajes de pruebas)
5.6R-UCI
- análisis, correctivos, merges
- EHCOSPROD-39164 - Unificación de catálogo de tratamientos (pausado)
- correcciones SONAR (soporte)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S33" authorId="0" shapeId="0" xr:uid="{00000000-0006-0000-0100-00003C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EHCOSPROD-43699 - Análisis técnico - EHCOSPROD-43559 Acceso directo a la escala desde el icono del mapa de camas (análisis técnico) 
- EHCOSPROD-43698 - Análisis técnico - EHCOSPROD-43560- Ajuste del batch de regularización de pacientes (análisis técnico)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EHCOSPROD-41714 - Análisis del nuevo modelo de integración con Mirth (modelo de capas abstractas, envio de mensajes, mensajes de pruebas)
Daily, soporte. Actualizar planificación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- EHCOSPROD-43699 - Análisis técnico - EHCOSPROD-43559 Acceso directo a la escala desde el icono del mapa de camas (análisis técnico)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Daily, soporte. Actualizar planificación. Facturación del equipo. Reuniones con Ramon</t>
        </r>
        <r>
          <rPr>
            <b/>
            <sz val="8"/>
            <color indexed="81"/>
            <rFont val="Tahoma"/>
            <family val="2"/>
          </rPr>
          <t xml:space="preserve">
Backlog:
</t>
        </r>
        <r>
          <rPr>
            <sz val="8"/>
            <color indexed="81"/>
            <rFont val="Tahoma"/>
            <family val="2"/>
          </rPr>
          <t>- EHCOSPROD-39164 - Unificación de catálogo de tratamientos (pausado)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T33" authorId="0" shapeId="0" xr:uid="{00000000-0006-0000-0100-00003D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EHCOSPROD-43699 - Análisis técnico - EHCOSPROD-43559 Acceso directo a la escala desde el icono del mapa de camas (análisis técnico) 
- EHCOSPROD-43698 - Análisis técnico - EHCOSPROD-43560- Ajuste del batch de regularización de pacientes (análisis técnico)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EHCOSPROD-41714 - Análisis del nuevo modelo de integración con Mirth (modelo de capas abstractas, envio de mensajes, mensajes de pruebas)
Daily, soporte. Actualizar planificación. Reuniones Health
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EHCOSPROD-39164 - Unificación de catálogo de tratamientos (pausado)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U33" authorId="0" shapeId="0" xr:uid="{00000000-0006-0000-0100-00003E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EHCOSPROD-43699 - Análisis técnico - EHCOSPROD-43559 Acceso directo a la escala desde el icono del mapa de camas (análisis técnico) 
- EHCOSPROD-43698 - Análisis técnico - EHCOSPROD-43560- Ajuste del batch de regularización de pacientes (análisis técnico)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EHCOSPROD-41714 - Análisis del nuevo modelo de integración con Mirth (modelo de capas abstractas, envio de mensajes, mensajes de pruebas)
Daily, soporte. Actualizar planificación. Reuniones Health
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EHCOSPROD-39164 - Unificación de catálogo de tratamientos (pausado)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Y33" authorId="0" shapeId="0" xr:uid="{00000000-0006-0000-0100-00003F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EHCOSPROD-35902 - Hoja de evolución - Salto de página incorrecto (desarrollo)
- correctivos 5.4: EHCOSPROD-43871 - Error al acceder a Información de enfermería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Daily
- soporte
</t>
        </r>
        <r>
          <rPr>
            <b/>
            <sz val="8"/>
            <color indexed="81"/>
            <rFont val="Tahoma"/>
            <family val="2"/>
          </rPr>
          <t xml:space="preserve">
Avance:
Soporte
Daily
- EHCOSPROD-35902 - Hoja de evolución - Salto de página incorrecto (desarrollo)
- revisión análisis teleuci
Backlog:
</t>
        </r>
        <r>
          <rPr>
            <sz val="8"/>
            <color indexed="81"/>
            <rFont val="Tahoma"/>
            <family val="2"/>
          </rPr>
          <t>- EHCOSPROD-39164 - Unificación de catálogo de tratamientos (pausado)
- EHCOSPROD-41714 - Análisis del nuevo modelo de integración con Mirth (modelo de capas abstractas, envio de mensajes, mensajes de pruebas)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Z33" authorId="0" shapeId="0" xr:uid="{00000000-0006-0000-0100-000040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EHCOSPROD-35902 - Hoja de evolución - Salto de página incorrecto (desarrollo)
- correctivos 5.4: EHCOSPROD-43871 - Error al acceder a Información de enfermería
- Daily
- soporte
</t>
        </r>
        <r>
          <rPr>
            <b/>
            <sz val="8"/>
            <color indexed="81"/>
            <rFont val="Tahoma"/>
            <family val="2"/>
          </rPr>
          <t xml:space="preserve">
Avance:
- modificaciones DT TeleUCI
- EHCOSPROD-35902 - Hoja de evolución - Salto de página incorrecto (desarrollo)
- Daily
- soporte
Backlog:
</t>
        </r>
        <r>
          <rPr>
            <sz val="8"/>
            <color indexed="81"/>
            <rFont val="Tahoma"/>
            <family val="2"/>
          </rPr>
          <t>- EHCOSPROD-39164 - Unificación de catálogo de tratamientos (pausado)
- EHCOSPROD-41714 - Análisis del nuevo modelo de integración con Mirth (modelo de capas abstractas, envio de mensajes, mensajes de pruebas)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A33" authorId="0" shapeId="0" xr:uid="{00000000-0006-0000-0100-000041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EHCOSPROD-35902 - Hoja de evolución - Salto de página incorrecto (desarrollo)
- correctivos 5.4: EHCOSPROD-43871 - Error al acceder a Información de enfermería
- Daily
- soporte
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EHCOSPROD-39164 - Unificación de catálogo de tratamientos (pausado)
- EHCOSPROD-41714 - Análisis del nuevo modelo de integración con Mirth (modelo de capas abstractas, envio de mensajes, mensajes de pruebas)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B33" authorId="0" shapeId="0" xr:uid="{00000000-0006-0000-0100-000042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EHCOSPROD-35902 - Hoja de evolución - Salto de página incorrecto (desarrollo)
- correctivos 5.4: EHCOSPROD-43871 - Error al acceder a Información de enfermería
- Daily
- soporte
</t>
        </r>
        <r>
          <rPr>
            <b/>
            <sz val="8"/>
            <color indexed="81"/>
            <rFont val="Tahoma"/>
            <family val="2"/>
          </rPr>
          <t xml:space="preserve">
Avance:
- EHCOSPROD-35902 - Hoja de evolución - Salto de página incorrecto (desarrollo)
- Daily
- soporte
Backlog:
</t>
        </r>
        <r>
          <rPr>
            <sz val="8"/>
            <color indexed="81"/>
            <rFont val="Tahoma"/>
            <family val="2"/>
          </rPr>
          <t>- EHCOSPROD-39164 - Unificación de catálogo de tratamientos (pausado)
- EHCOSPROD-41714 - Análisis del nuevo modelo de integración con Mirth (modelo de capas abstractas, envio de mensajes, mensajes de pruebas)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C33" authorId="0" shapeId="0" xr:uid="{00000000-0006-0000-0100-000043040000}">
      <text>
        <r>
          <rPr>
            <b/>
            <sz val="8"/>
            <color indexed="81"/>
            <rFont val="Tahoma"/>
            <family val="2"/>
          </rPr>
          <t xml:space="preserve">Tareas planificadas:
- Ausencia por mudanza
</t>
        </r>
        <r>
          <rPr>
            <sz val="8"/>
            <color indexed="81"/>
            <rFont val="Tahoma"/>
            <family val="2"/>
          </rPr>
          <t xml:space="preserve">- EHCOSPROD-35902 - Hoja de evolución - Salto de página incorrecto (desarrollo)
- correctivos 5.4: EHCOSPROD-43871 - Error al acceder a Información de enfermería
- Daily
- soporte
</t>
        </r>
        <r>
          <rPr>
            <b/>
            <sz val="8"/>
            <color indexed="81"/>
            <rFont val="Tahoma"/>
            <family val="2"/>
          </rPr>
          <t xml:space="preserve">
Avance:
- Ausencia por mudanza
Backlog:
</t>
        </r>
        <r>
          <rPr>
            <sz val="8"/>
            <color indexed="81"/>
            <rFont val="Tahoma"/>
            <family val="2"/>
          </rPr>
          <t>- EHCOSPROD-39164 - Unificación de catálogo de tratamientos (pausado)
- EHCOSPROD-41714 - Análisis del nuevo modelo de integración con Mirth (modelo de capas abstractas, envio de mensajes, mensajes de pruebas)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F33" authorId="0" shapeId="0" xr:uid="{00000000-0006-0000-0100-000044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EHCOSPROD-44037 - DT EHCOSPROD-43240 Pantalla de configuración de alertas en el mapa de camas (análisis técnico)
- EHCOSPROD-44064 - Análisis técnico EHCOSPROD-44061 Mostrar cantidad de unidades en el tooltip de prescripción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EHCOSPROD-35902 - Hoja de evolución - Salto de página incorrecto (desarrollo)
- correctivos 5.4: EHCOSPROD-43871 - Error al acceder a Información de enfermería
- Daily
- soporte
</t>
        </r>
        <r>
          <rPr>
            <b/>
            <sz val="8"/>
            <color indexed="81"/>
            <rFont val="Tahoma"/>
            <family val="2"/>
          </rPr>
          <t xml:space="preserve">
Avance:
- problemas conectividad
- EHCOSPROD-44037 - DT EHCOSPROD-43240 Pantalla de configuración de alertas en el mapa de camas (análisis técnico)
- Daily
- soporte
Backlog:
</t>
        </r>
        <r>
          <rPr>
            <sz val="8"/>
            <color indexed="81"/>
            <rFont val="Tahoma"/>
            <family val="2"/>
          </rPr>
          <t>- EHCOSPROD-39164 - Unificación de catálogo de tratamientos (pausado)
- EHCOSPROD-41714 - Análisis del nuevo modelo de integración con Mirth (modelo de capas abstractas, envio de mensajes, mensajes de pruebas)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G33" authorId="0" shapeId="0" xr:uid="{00000000-0006-0000-0100-000045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EHCOSPROD-44037 - DT EHCOSPROD-43240 Pantalla de configuración de alertas en el mapa de camas (análisis técnico) fin 02/02
- EHCOSPROD-35902 - Hoja de evolución - Salto de página incorrecto (desarrollo)
- correctivos 5.4
- Daily
- soporte
</t>
        </r>
        <r>
          <rPr>
            <b/>
            <sz val="8"/>
            <color indexed="81"/>
            <rFont val="Tahoma"/>
            <family val="2"/>
          </rPr>
          <t xml:space="preserve">
Avance:
- EHCOSPROD-44037 - DT EHCOSPROD-43240 Pantalla de configuración de alertas en el mapa de camas (análisis técnico) 
- Daily
- soporte, reuniones
Backlog:
</t>
        </r>
        <r>
          <rPr>
            <sz val="8"/>
            <color indexed="81"/>
            <rFont val="Tahoma"/>
            <family val="2"/>
          </rPr>
          <t>- EHCOSPROD-39164 - Unificación de catálogo de tratamientos (pausado)
- EHCOSPROD-41714 - Análisis del nuevo modelo de integración con Mirth (modelo de capas abstractas, envio de mensajes, mensajes de pruebas)
- EHCOSPROD-44064 - Análisis técnico EHCOSPROD-44061 Mostrar cantidad de unidades en el tooltip de prescripción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H33" authorId="0" shapeId="0" xr:uid="{00000000-0006-0000-0100-000046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EHCOSPROD-35902 - Hoja de evolución - Salto de página incorrecto (desarrollo)
- EHCOSPROD-44064 - Análisis técnico EHCOSPROD-44061 Mostrar cantidad de unidades en el tooltip de prescripción (análisis técnico)
- correctivos 5.4
- Daily
- soporte, planificación
</t>
        </r>
        <r>
          <rPr>
            <b/>
            <sz val="8"/>
            <color indexed="81"/>
            <rFont val="Tahoma"/>
            <family val="2"/>
          </rPr>
          <t xml:space="preserve">
Avance:
- EHCOSPROD-44064 - Análisis técnico EHCOSPROD-44061 Mostrar cantidad de unidades en el tooltip de prescripción (análisis técnico)
- Ajuste análisis teleuci
- Daily
- soporte, planificación
Backlog:
</t>
        </r>
        <r>
          <rPr>
            <sz val="8"/>
            <color indexed="81"/>
            <rFont val="Tahoma"/>
            <family val="2"/>
          </rPr>
          <t xml:space="preserve">- EHCOSPROD-39164 - Unificación de catálogo de tratamientos (pausado)
- EHCOSPROD-41714 - Análisis del nuevo modelo de integración con Mirth (modelo de capas abstractas, envio de mensajes, mensajes de pruebas)
</t>
        </r>
      </text>
    </comment>
    <comment ref="LI33" authorId="0" shapeId="0" xr:uid="{00000000-0006-0000-0100-000047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preparación sesiones formación (lunes y martes, device-reader y plataforma)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EHCOSPROD-44064 - Análisis técnico EHCOSPROD-44061 Mostrar cantidad de unidades en el tooltip de prescripción (análisis técnico)
- correctivos 5.4
- Daily
- soporte, planificación
</t>
        </r>
        <r>
          <rPr>
            <b/>
            <sz val="8"/>
            <color indexed="81"/>
            <rFont val="Tahoma"/>
            <family val="2"/>
          </rPr>
          <t xml:space="preserve">
Avance:
- preparación sesiones formación (lunes y martes, device-reader y plataforma)
- ajustes análisis técnico
- Daily
- soporte, planificación
Backlog:
</t>
        </r>
        <r>
          <rPr>
            <sz val="8"/>
            <color indexed="81"/>
            <rFont val="Tahoma"/>
            <family val="2"/>
          </rPr>
          <t xml:space="preserve">- EHCOSPROD-39164 - Unificación de catálogo de tratamientos (pausado)
- EHCOSPROD-41714 - Análisis del nuevo modelo de integración con Mirth (modelo de capas abstractas, envio de mensajes, mensajes de pruebas)
- EHCOSPROD-35902 - Hoja de evolución - Salto de página incorrecto (desarrollo)
</t>
        </r>
      </text>
    </comment>
    <comment ref="LJ33" authorId="0" shapeId="0" xr:uid="{00000000-0006-0000-0100-000048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preparación sesiones formación (lunes y martes, device-reader y plataforma)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EHCOSPROD-44064 - Análisis técnico EHCOSPROD-44061 Mostrar cantidad de unidades en el tooltip de prescripción (análisis técnico)
- Daily
- soporte, planificación
</t>
        </r>
        <r>
          <rPr>
            <b/>
            <sz val="8"/>
            <color indexed="81"/>
            <rFont val="Tahoma"/>
            <family val="2"/>
          </rPr>
          <t xml:space="preserve">
Avance:
- preparación sesiones formación (lunes y martes, device-reader y plataforma)
- Daily
- soporte, planificación
Backlog:
</t>
        </r>
        <r>
          <rPr>
            <sz val="8"/>
            <color indexed="81"/>
            <rFont val="Tahoma"/>
            <family val="2"/>
          </rPr>
          <t xml:space="preserve">- EHCOSPROD-39164 - Unificación de catálogo de tratamientos (pausado)
- EHCOSPROD-41714 - Análisis del nuevo modelo de integración con Mirth (modelo de capas abstractas, envio de mensajes, mensajes de pruebas)
- EHCOSPROD-35902 - Hoja de evolución - Salto de página incorrecto (desarrollo)
</t>
        </r>
      </text>
    </comment>
    <comment ref="LM33" authorId="0" shapeId="0" xr:uid="{00000000-0006-0000-0100-000049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sesiones formación (lunes y martes, device-reader y plataforma)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EHCOSPROD-44064 - Análisis técnico EHCOSPROD-44061 Mostrar cantidad de unidades en el tooltip de prescripción (análisis técnico)
- Daily
- soporte, planificación
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 xml:space="preserve">- EHCOSPROD-39164 - Unificación de catálogo de tratamientos (pausado)
- EHCOSPROD-41714 - Análisis del nuevo modelo de integración con Mirth (modelo de capas abstractas, envio de mensajes, mensajes de pruebas)
- EHCOSPROD-35902 - Hoja de evolución - Salto de página incorrecto (desarrollo)
</t>
        </r>
      </text>
    </comment>
    <comment ref="LN33" authorId="0" shapeId="0" xr:uid="{00000000-0006-0000-0100-00004A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EHCOSPROD-44275 - Formación a Melo- Desarrollo (martes, plataforma)
- EHCOSPROD-44244 - Definición técnica - TeleUCI Interconsultas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Daily
- soporte, planificación
</t>
        </r>
        <r>
          <rPr>
            <b/>
            <sz val="8"/>
            <color indexed="81"/>
            <rFont val="Tahoma"/>
            <family val="2"/>
          </rPr>
          <t xml:space="preserve">
Avance:
- EHCOSPROD-44275 - Formación a Melo- Desarrollo (martes, plataforma)
- Daily
- soporte, planificación
Backlog:
</t>
        </r>
        <r>
          <rPr>
            <sz val="8"/>
            <color indexed="81"/>
            <rFont val="Tahoma"/>
            <family val="2"/>
          </rPr>
          <t xml:space="preserve">- EHCOSPROD-39164 - Unificación de catálogo de tratamientos (pausado)
- EHCOSPROD-41714 - Análisis del nuevo modelo de integración con Mirth (modelo de capas abstractas, envio de mensajes, mensajes de pruebas)
- EHCOSPROD-35902 - Hoja de evolución - Salto de página incorrecto (desarrollo)
- EHCOSPROD-44064 - Análisis técnico EHCOSPROD-44061 Mostrar cantidad de unidades en el tooltip de prescripción (análisis técnico)
</t>
        </r>
      </text>
    </comment>
    <comment ref="LO33" authorId="0" shapeId="0" xr:uid="{00000000-0006-0000-0100-00004B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EHCOSPROD-44244 - Definición técnica - TeleUCI Interconsultas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Daily
- soporte, planificación
</t>
        </r>
        <r>
          <rPr>
            <b/>
            <sz val="8"/>
            <color indexed="81"/>
            <rFont val="Tahoma"/>
            <family val="2"/>
          </rPr>
          <t xml:space="preserve">
Avance:
- EHCOSPROD-44244 - Definición técnica - TeleUCI Interconsultas (revisión DF)
- correctivos 5.4.X: EHCOSPROD-43767 - Desajuste Grid Panel Cuidados de Enfermería
- Daily
- sesión por producto
- soporte, planificación
Backlog:
</t>
        </r>
        <r>
          <rPr>
            <sz val="8"/>
            <color indexed="81"/>
            <rFont val="Tahoma"/>
            <family val="2"/>
          </rPr>
          <t xml:space="preserve">- EHCOSPROD-39164 - Unificación de catálogo de tratamientos (pausado)
- EHCOSPROD-41714 - Análisis del nuevo modelo de integración con Mirth (modelo de capas abstractas, envio de mensajes, mensajes de pruebas)
- EHCOSPROD-35902 - Hoja de evolución - Salto de página incorrecto (desarrollo)
- EHCOSPROD-44064 - Análisis técnico EHCOSPROD-44061 Mostrar cantidad de unidades en el tooltip de prescripción (análisis técnico)
</t>
        </r>
      </text>
    </comment>
    <comment ref="LP33" authorId="0" shapeId="0" xr:uid="{00000000-0006-0000-0100-00004C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EHCOSPROD-44244 - Definición técnica - TeleUCI Interconsultas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Daily
- soporte, planificación
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 xml:space="preserve">- EHCOSPROD-39164 - Unificación de catálogo de tratamientos (pausado)
- EHCOSPROD-41714 - Análisis del nuevo modelo de integración con Mirth (modelo de capas abstractas, envio de mensajes, mensajes de pruebas)
- EHCOSPROD-35902 - Hoja de evolución - Salto de página incorrecto (desarrollo)
- EHCOSPROD-44064 - Análisis técnico EHCOSPROD-44061 Mostrar cantidad de unidades en el tooltip de prescripción (análisis técnico)
</t>
        </r>
      </text>
    </comment>
    <comment ref="MJ33" authorId="0" shapeId="0" xr:uid="{00000000-0006-0000-0100-00004D040000}">
      <text>
        <r>
          <rPr>
            <b/>
            <sz val="11"/>
            <color rgb="FF000000"/>
            <rFont val="Calibri"/>
            <family val="2"/>
          </rPr>
          <t>Tareas planificadas:</t>
        </r>
        <r>
          <rPr>
            <sz val="11"/>
            <color rgb="FF000000"/>
            <rFont val="Calibri"/>
            <family val="2"/>
          </rPr>
          <t xml:space="preserve">
- Daily, soporte, planificación
</t>
        </r>
        <r>
          <rPr>
            <b/>
            <sz val="11"/>
            <color rgb="FF000000"/>
            <rFont val="Calibri"/>
            <family val="2"/>
          </rPr>
          <t>Avance:</t>
        </r>
        <r>
          <rPr>
            <sz val="11"/>
            <color rgb="FF000000"/>
            <rFont val="Calibri"/>
            <family val="2"/>
          </rPr>
          <t xml:space="preserve">
- Daily, soporte, planificación
- soporte remote. Traspaso con Javier Hope
</t>
        </r>
        <r>
          <rPr>
            <b/>
            <sz val="11"/>
            <color rgb="FF000000"/>
            <rFont val="Calibri"/>
            <family val="2"/>
          </rPr>
          <t>Backlog:</t>
        </r>
      </text>
    </comment>
    <comment ref="MK33" authorId="0" shapeId="0" xr:uid="{00000000-0006-0000-0100-00004E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video llamada para teleuci (análisis técnico)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Daily, puesta al día, actualización entornos locales. Salida Christian
- soporte, planificación
- acudir a la oficina a por material
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 xml:space="preserve">- EHCOSPROD-41714 - Análisis del nuevo modelo de integración con Mirth (modelo de capas abstractas, envio de mensajes, mensajes de pruebas)
- EHCOSPROD-35902 - Hoja de evolución - Salto de página incorrecto (desarrollo)
- EHCOSPROD-44064 - Análisis técnico EHCOSPROD-44061 Mostrar cantidad de unidades en el tooltip de prescripción (análisis técnico)
</t>
        </r>
      </text>
    </comment>
    <comment ref="ML33" authorId="109" shapeId="0" xr:uid="{00000000-0006-0000-0100-00004F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- Planificacion
- Formaciones 
- Reuniones 
- Definición evolutivo video llamada</t>
      </text>
    </comment>
    <comment ref="MO33" authorId="110" shapeId="0" xr:uid="{00000000-0006-0000-0100-000050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Evaluaciones
Rev. Metodologia y planificación remotehs
Revision y analisis PPB
Feedback Osbaldo
Feedback uci + remotehs (con Luis)
Conf. entorno remotehs</t>
      </text>
    </comment>
    <comment ref="MP33" authorId="111" shapeId="0" xr:uid="{00000000-0006-0000-0100-000051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Análisis técnico video
Evaluación
Conf. entorno
Avance:
Feedback
Revisión indicadores
Reuniones
Formación metodología
Planificación
Backlog:
</t>
      </text>
    </comment>
    <comment ref="MQ33" authorId="112" shapeId="0" xr:uid="{00000000-0006-0000-0100-000052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Reuniones generales con Ramón
Evaluaciones de desempeño
Resolución de dudas videollamadas
Avance:
Extracción de datos rendimiento para evaluaciones.
Revisiones de metodología con remotehs en conjunto con Ramon F.
Backlog:</t>
      </text>
    </comment>
    <comment ref="MR33" authorId="113" shapeId="0" xr:uid="{00000000-0006-0000-0100-000053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Revisión implementación desde cero con OpenVidu
Evaluaciones
Avance:
Revision de indicadores ehCOS
Resolución dudas VideoLlamadas
Conf. Remotehs
Backlog:</t>
      </text>
    </comment>
    <comment ref="MS33" authorId="114" shapeId="0" xr:uid="{00000000-0006-0000-0100-000054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Acabar desarrollo de drenajes
Avance:
Sesiones por producto
Desarrollo drenajes
Backlog:
</t>
      </text>
    </comment>
    <comment ref="MV33" authorId="115" shapeId="0" xr:uid="{00000000-0006-0000-0100-000055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POC OpenVidu
Reuniones
Inducción CJ
Avance:
Evaluación performance (mapa)
Revisión OpenVidu
POC OpenVidu y Docker</t>
      </text>
    </comment>
    <comment ref="MW33" authorId="116" shapeId="0" xr:uid="{00000000-0006-0000-0100-000056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POC OpenVidu
Reuniones
Inducción CJ
Avance:
Evaluación performance (mapa)
Revisión OpenVidu
POC OpenVidu y Docker</t>
      </text>
    </comment>
    <comment ref="MX33" authorId="117" shapeId="0" xr:uid="{00000000-0006-0000-0100-000057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Planificación
POC openVidu
Avance:
POC openVidu
Backlog:</t>
      </text>
    </comment>
    <comment ref="MY33" authorId="118" shapeId="0" xr:uid="{00000000-0006-0000-0100-000058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POC openVidu
Formaciones técnicas
Avance:
Reunion indicadores
Auto-evaluación
POC openVidu
Backlog:</t>
      </text>
    </comment>
    <comment ref="MZ33" authorId="119" shapeId="0" xr:uid="{00000000-0006-0000-0100-000059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POC openVidu
Formaciones técnicas
Reunión health
Avance:
POC openVidu
Formación técnica
Backlog:
</t>
      </text>
    </comment>
    <comment ref="NC33" authorId="120" shapeId="0" xr:uid="{00000000-0006-0000-0100-00005A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POC openVidu
Gestión Fenix
Apoyo versión 2.4 RHs
Revisiones con Ramón
Avance:
POC openVidu
Formaciones técnicas
Reunión health
Apoyo versión 2.4 remotehs
Backlog:</t>
      </text>
    </comment>
    <comment ref="ND33" authorId="121" shapeId="0" xr:uid="{00000000-0006-0000-0100-00005B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Checkpoint openVidu
Ingreso de ajustes facturación
Revisión plan de formación Pablo
Revisión plan de formación Javier
POC openVidu
Revisión funcionamiento JIRA
Avance:
POC openVidu
Revision estádo de proyectos MyR
Reunión health
Apoyo versión 2.4 remotehs
Backlog:
</t>
      </text>
    </comment>
    <comment ref="NE33" authorId="122" shapeId="0" xr:uid="{00000000-0006-0000-0100-00005C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Continuar con la POC
Soporte configuración de entorno marañón
Petición de remotehs
Avance:
Apoyo remotehs 2.4
Planes de formación
Formación JIRA
Ajustes Facturación
Cierre evaluación performance
Backlog:
</t>
      </text>
    </comment>
    <comment ref="NF33" authorId="123" shapeId="0" xr:uid="{00000000-0006-0000-0100-00005D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Apoyo remotehs 2.4
Continuar con la POC
Avance:
Continuar con la POC
Soporte configuración de entorno marañón
Backlog:</t>
      </text>
    </comment>
    <comment ref="NG33" authorId="124" shapeId="0" xr:uid="{00000000-0006-0000-0100-00005E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Continuar con la POC
Planes de mejora
Avance:
Continuar con la POC
Revisión falp
Apoyo remotehs 2.4
Backlog:
</t>
      </text>
    </comment>
    <comment ref="NJ33" authorId="125" shapeId="0" xr:uid="{00000000-0006-0000-0100-00005F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Form. A pro
Continuar con la POC
Planes de mejora
Seguimiento
Cerrar petición fenix
Avance:
Continuar con la POC
Backlog:</t>
      </text>
    </comment>
    <comment ref="NK33" authorId="126" shapeId="0" xr:uid="{00000000-0006-0000-0100-000060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Form. A pro
Continuar con la POC
Planes de mejora
Seguimiento
Cerrar petición fenix
Avance:
Continuar con la POC
Backlog:</t>
      </text>
    </comment>
    <comment ref="NL33" authorId="127" shapeId="0" xr:uid="{00000000-0006-0000-0100-000061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Poc OpenVidu
Revisión indicadores
Formación metodología
Formación hgugm
Avance:
Planificación remotehs
Formación hgugm
Continuar con la POC
Formación fenix
Backlog:</t>
      </text>
    </comment>
    <comment ref="KD34" authorId="2" shapeId="0" xr:uid="{00000000-0006-0000-0100-00006204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
Estimacion de evolutivos y resolucion de incidencias
Por hacer: revisar con Sara dudas de jiras</t>
        </r>
      </text>
    </comment>
    <comment ref="KE34" authorId="128" shapeId="0" xr:uid="{00000000-0006-0000-0100-000063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Revision con sara de integraciones con clinic
Se derivan tareas a clinic y uci
Limpieza esquema ehcs</t>
      </text>
    </comment>
    <comment ref="KF34" authorId="129" shapeId="0" xr:uid="{00000000-0006-0000-0100-000064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Limpieza esquema ehcs y pruebas
Revision hilos device
Pausado error en document editor</t>
      </text>
    </comment>
    <comment ref="KK34" authorId="0" shapeId="0" xr:uid="{00000000-0006-0000-0100-000065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Soporte
5.6R-UCI (febrero)
- EHCOSPROD-39875 - Pantalla de configuración de Anotaciones del paciente (seguimiento)
- correctivos: EHCOSPROD-42880 - Error Pérdidas insensibles, EHCOSPROD-38374
[device-reader] Modificar la creación de hilos del offline para usar un solo hilo
- EHCOSPROD-43197 - Incoherencia entre available units de la pantalla de configuración y del device reader
- Correcciones SONAR
- EHCOSPROD-43462: Análisis técnico - EHCOSPROD-43411 - SmartICU - Permitir valores decimales en smarticu.icu_axis.tick_interval
- EHCOSPROD-43461: Análisis técnico EHCOSPROD-43247 Añadir funcionalidad al icono Información del mapa de camas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Daily. Soporte
5.6R-UCI (febrero)
- EHCOSPROD-39875 - Pantalla de configuración de Anotaciones del paciente (seguimiento)
- correctivos: EHCOSPROD-38374 [device-reader] Modificar la creación de hilos del offline para usar un solo hilo
- EHCOSPROD-43461: Análisis técnico EHCOSPROD-43247 Añadir funcionalidad al icono Información del mapa de camas
</t>
        </r>
        <r>
          <rPr>
            <b/>
            <sz val="8"/>
            <color indexed="81"/>
            <rFont val="Tahoma"/>
            <family val="2"/>
          </rPr>
          <t xml:space="preserve">Backlog:
- </t>
        </r>
        <r>
          <rPr>
            <sz val="8"/>
            <color indexed="81"/>
            <rFont val="Tahoma"/>
            <family val="2"/>
          </rPr>
          <t>EHCOSPROD-43083 - Integración clinic + uci - Al marcar como no administrado no muestran comentarios en Clinic ; EHCOSPROD-43087 - Panel entradas - Preview administración - Al administrar fluidos, la dosis que se muestra debe ser la prescrita (</t>
        </r>
        <r>
          <rPr>
            <b/>
            <sz val="8"/>
            <color indexed="81"/>
            <rFont val="Tahoma"/>
            <family val="2"/>
          </rPr>
          <t>asignado a Luis?</t>
        </r>
        <r>
          <rPr>
            <sz val="8"/>
            <color indexed="81"/>
            <rFont val="Tahoma"/>
            <family val="2"/>
          </rPr>
          <t>)</t>
        </r>
      </text>
    </comment>
    <comment ref="KL34" authorId="0" shapeId="0" xr:uid="{00000000-0006-0000-0100-000066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Soporte
5.6R-UCI (febrero)
- correctivos: EHCOSPROD-42880 - Error Pérdidas insensibles,
- EHCOSPROD-43197 - Incoherencia entre available units de la pantalla de configuración y del device reader
- Correcciones SONAR
- EHCOSPROD-43462: Análisis técnico - EHCOSPROD-43411 - SmartICU - Permitir valores decimales en smarticu.icu_axis.tick_interval
- EHCOSPROD-43461: Análisis técnico EHCOSPROD-43247 Añadir funcionalidad al icono Información del mapa de camas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Daily. Soporte
5.6R-UCI (febrero)
- EHCOSPROD-43461: Análisis técnico EHCOSPROD-43247 Añadir funcionalidad al icono Información del mapa de camas
- EHCOSPROD-43462: Análisis técnico - EHCOSPROD-43411 - SmartICU - Permitir valores decimales en smarticu.icu_axis.tick_interval
</t>
        </r>
        <r>
          <rPr>
            <b/>
            <sz val="8"/>
            <color indexed="81"/>
            <rFont val="Tahoma"/>
            <family val="2"/>
          </rPr>
          <t xml:space="preserve">
Backlog:
- </t>
        </r>
        <r>
          <rPr>
            <sz val="8"/>
            <color indexed="81"/>
            <rFont val="Tahoma"/>
            <family val="2"/>
          </rPr>
          <t>EHCOSPROD-43083 - Integración clinic + uci - Al marcar como no administrado no muestran comentarios en Clinic ; EHCOSPROD-43087 - Panel entradas - Preview administración - Al administrar fluidos, la dosis que se muestra debe ser la prescrita (</t>
        </r>
        <r>
          <rPr>
            <b/>
            <sz val="8"/>
            <color indexed="81"/>
            <rFont val="Tahoma"/>
            <family val="2"/>
          </rPr>
          <t>asignado a Luis?</t>
        </r>
        <r>
          <rPr>
            <sz val="8"/>
            <color indexed="81"/>
            <rFont val="Tahoma"/>
            <family val="2"/>
          </rPr>
          <t>)</t>
        </r>
      </text>
    </comment>
    <comment ref="KM34" authorId="0" shapeId="0" xr:uid="{00000000-0006-0000-0100-000067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Daily. Soporte
5.6R-UCI (febrero)
- EHCOSPROD-43197 - Incoherencia entre available units de la pantalla de configuración y del device reader
- correctivos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Daily. Soporte
5.6R-UCI (febrero)
- correcciones
- correcciones Sonar
- EHCOSPROD-43197 - Incoherencia entre available units de la pantalla de configuración y del device reader</t>
        </r>
        <r>
          <rPr>
            <b/>
            <sz val="8"/>
            <color indexed="81"/>
            <rFont val="Tahoma"/>
            <family val="2"/>
          </rPr>
          <t xml:space="preserve">
Backlog:
- </t>
        </r>
        <r>
          <rPr>
            <sz val="8"/>
            <color indexed="81"/>
            <rFont val="Tahoma"/>
            <family val="2"/>
          </rPr>
          <t>EHCOSPROD-43087 - Panel entradas - Preview administración - Al administrar fluidos, la dosis que se muestra debe ser la prescrita</t>
        </r>
      </text>
    </comment>
    <comment ref="KN34" authorId="0" shapeId="0" xr:uid="{00000000-0006-0000-0100-000068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Daily. Soporte
5.6R-UCI (febrero)
- EHCOSPROD-43197 - Incoherencia entre available units de la pantalla de configuración y del device reader
- correctivos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Daily. Soporte
5.6R-UCI (febrero)
- EHCOSPROD-43197 - Incoherencia entre available units de la pantalla de configuración y del device reader (finalizar pruebas)
- correctivos</t>
        </r>
        <r>
          <rPr>
            <b/>
            <sz val="8"/>
            <color indexed="81"/>
            <rFont val="Tahoma"/>
            <family val="2"/>
          </rPr>
          <t xml:space="preserve">
Backlog:
- </t>
        </r>
        <r>
          <rPr>
            <sz val="8"/>
            <color indexed="81"/>
            <rFont val="Tahoma"/>
            <family val="2"/>
          </rPr>
          <t>EHCOSPROD-43083 - Integración clinic + uci - Al marcar como no administrado no muestran comentarios en Clinic</t>
        </r>
      </text>
    </comment>
    <comment ref="KO34" authorId="0" shapeId="0" xr:uid="{00000000-0006-0000-0100-000069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Daily. Soporte
5.6R-UCI (febrero)
- EHCOSPROD-43385 - Error de log en el entorno 119
- EHCOSPROD-43386 - Pérdidas insensibles no se calculan en el paciente 1310
- EHCOSPROD-43087 - Panel entradas - Preview administración - Al administrar fluidos, la dosis que se muestra debe ser la prescrita (parte de UCI)
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Daily. Soporte
5.6R-UCI (febrero)
- EHCOSPROD-43385 - Error de log en el entorno 119
- EHCOSPROD-43386 - Pérdidas insensibles no se calculan en el paciente 1310
- EHCOSPROD-43087 - Panel entradas - Preview administración - Al administrar fluidos, la dosis que se muestra debe ser la prescrita (parte de UCI)</t>
        </r>
        <r>
          <rPr>
            <b/>
            <sz val="8"/>
            <color indexed="81"/>
            <rFont val="Tahoma"/>
            <family val="2"/>
          </rPr>
          <t xml:space="preserve">
Backlog:
- </t>
        </r>
        <r>
          <rPr>
            <sz val="8"/>
            <color indexed="81"/>
            <rFont val="Tahoma"/>
            <family val="2"/>
          </rPr>
          <t>EHCOSPROD-43083 - Integración clinic + uci - Al marcar como no administrado no muestran comentarios en Clinic</t>
        </r>
      </text>
    </comment>
    <comment ref="KR34" authorId="0" shapeId="0" xr:uid="{00000000-0006-0000-0100-00006A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Daily. Soporte
5.6R-UCI (febrero)
- EHCOSPROD-42210 - Análisis técnico - Tele UCI - Mapa de camas (análisis técnico)
- EHCOSPROD-43537 - Problema de rendimiento al acceder al arbol de historia clínica
- EHCOSPROD-43087 - Panel entradas - Preview administración - Al administrar fluidos, la dosis que se muestra debe ser la prescrita (parte de UCI)
</t>
        </r>
        <r>
          <rPr>
            <b/>
            <sz val="8"/>
            <color indexed="81"/>
            <rFont val="Tahoma"/>
            <family val="2"/>
          </rPr>
          <t xml:space="preserve">
Avance:
Backlog:
- </t>
        </r>
        <r>
          <rPr>
            <sz val="8"/>
            <color indexed="81"/>
            <rFont val="Tahoma"/>
            <family val="2"/>
          </rPr>
          <t>EHCOSPROD-43083 - Integración clinic + uci - Al marcar como no administrado no muestran comentarios en Clinic</t>
        </r>
      </text>
    </comment>
    <comment ref="KS34" authorId="0" shapeId="0" xr:uid="{00000000-0006-0000-0100-00006B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EHCOSPROD-42210 - Análisis técnico - Tele UCI - Mapa de camas (análisis técnico)
- EHCOSPROD-43537 - Problema de rendimiento al acceder al arbol de historia clínica
- EHCOSPROD-43087 - Panel entradas - Preview administración - Al administrar fluidos, la dosis que se muestra debe ser la prescrita (parte de UCI)
Daily. Soporte
</t>
        </r>
        <r>
          <rPr>
            <b/>
            <sz val="8"/>
            <color indexed="81"/>
            <rFont val="Tahoma"/>
            <family val="2"/>
          </rPr>
          <t xml:space="preserve">
Avance:
Backlog:
- </t>
        </r>
        <r>
          <rPr>
            <sz val="8"/>
            <color indexed="81"/>
            <rFont val="Tahoma"/>
            <family val="2"/>
          </rPr>
          <t>EHCOSPROD-43083 - Integración clinic + uci - Al marcar como no administrado no muestran comentarios en Clinic</t>
        </r>
      </text>
    </comment>
    <comment ref="KT34" authorId="0" shapeId="0" xr:uid="{00000000-0006-0000-0100-00006C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EHCOSPROD-42210 - Análisis técnico - Tele UCI - Mapa de camas (análisis técnico)
- EHCOSPROD-43537 - Problema de rendimiento al acceder al arbol de historia clínica
- EHCOSPROD-43087 - Panel entradas - Preview administración - Al administrar fluidos, la dosis que se muestra debe ser la prescrita (parte de UCI)
Daily. Soporte
</t>
        </r>
        <r>
          <rPr>
            <b/>
            <sz val="8"/>
            <color indexed="81"/>
            <rFont val="Tahoma"/>
            <family val="2"/>
          </rPr>
          <t xml:space="preserve">
Avance:
Backlog:
- </t>
        </r>
        <r>
          <rPr>
            <sz val="8"/>
            <color indexed="81"/>
            <rFont val="Tahoma"/>
            <family val="2"/>
          </rPr>
          <t>EHCOSPROD-43083 - Integración clinic + uci - Al marcar como no administrado no muestran comentarios en Clinic</t>
        </r>
      </text>
    </comment>
    <comment ref="KU34" authorId="0" shapeId="0" xr:uid="{00000000-0006-0000-0100-00006D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EHCOSPROD-42210 - Análisis técnico - Tele UCI - Mapa de camas (análisis técnico)
- EHCOSPROD-43537 - Problema de rendimiento al acceder al arbol de historia clínica
- EHCOSPROD-43087 - Panel entradas - Preview administración - Al administrar fluidos, la dosis que se muestra debe ser la prescrita (parte de UCI)
Daily. Soporte
</t>
        </r>
        <r>
          <rPr>
            <b/>
            <sz val="8"/>
            <color indexed="81"/>
            <rFont val="Tahoma"/>
            <family val="2"/>
          </rPr>
          <t xml:space="preserve">
Avance:
Backlog:
- </t>
        </r>
        <r>
          <rPr>
            <sz val="8"/>
            <color indexed="81"/>
            <rFont val="Tahoma"/>
            <family val="2"/>
          </rPr>
          <t>EHCOSPROD-43083 - Integración clinic + uci - Al marcar como no administrado no muestran comentarios en Clinic</t>
        </r>
      </text>
    </comment>
    <comment ref="LT34" authorId="0" shapeId="0" xr:uid="{00000000-0006-0000-0100-00006E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puesta al dia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EHCOSPROD-43918 / EHCOSPROD-44244 - Definición técnica - TeleUCI Interconsultas
- EHCOSPROD-43918 / EHCOSPROD-44274 - Desarrollo Tele UCI - Interconsultas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Daily, soporte, planificación
</t>
        </r>
        <r>
          <rPr>
            <b/>
            <sz val="8"/>
            <color indexed="81"/>
            <rFont val="Tahoma"/>
            <family val="2"/>
          </rPr>
          <t xml:space="preserve">
Avance:
- puesta al dia
- EHCOSPROD-43918 / EHCOSPROD-44244 - Definición técnica - TeleUCI Interconsultas
- Daily, soporte, planificación
- Ausencia asistencia dentista
Backlog: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U34" authorId="0" shapeId="0" xr:uid="{00000000-0006-0000-0100-00006F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EHCOSPROD-43918 / EHCOSPROD-44244 - Definición técnica - TeleUCI Interconsultas. Fin 18/02
- EHCOSPROD-43918 / EHCOSPROD-44274 - Desarrollo Tele UCI - Interconsultas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Daily, soporte, planificación
</t>
        </r>
        <r>
          <rPr>
            <b/>
            <sz val="8"/>
            <color indexed="81"/>
            <rFont val="Tahoma"/>
            <family val="2"/>
          </rPr>
          <t xml:space="preserve">
Avance:
- actualización base de datos
- EHCOSPROD-43918 / EHCOSPROD-44244 - Definición técnica - TeleUCI Interconsultas
- Daily, soporte, planificación
Backlog: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V34" authorId="0" shapeId="0" xr:uid="{00000000-0006-0000-0100-000070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EHCOSPROD-43918 / EHCOSPROD-44244 - Definición técnica - TeleUCI Interconsultas. Fin 18/02
- EHCOSPROD-43918 / EHCOSPROD-44274 - Desarrollo Tele UCI - Interconsultas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Daily, soporte, planificación
</t>
        </r>
        <r>
          <rPr>
            <b/>
            <sz val="8"/>
            <color indexed="81"/>
            <rFont val="Tahoma"/>
            <family val="2"/>
          </rPr>
          <t xml:space="preserve">
Avance:
- EHCOSPROD-43918 / EHCOSPROD-44244 - Definición técnica - TeleUCI Interconsultas.
- Daily, soporte, planificación
Backlog: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W34" authorId="0" shapeId="0" xr:uid="{00000000-0006-0000-0100-000071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EHCOSPROD-43918 / EHCOSPROD-44244 - Definición técnica - TeleUCI Interconsultas. Fin 18/02
- EHCOSPROD-43918 / EHCOSPROD-44274 - Desarrollo Tele UCI - Interconsultas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Daily, soporte, planificación
</t>
        </r>
        <r>
          <rPr>
            <b/>
            <sz val="8"/>
            <color indexed="81"/>
            <rFont val="Tahoma"/>
            <family val="2"/>
          </rPr>
          <t xml:space="preserve">
Avance:
- EHCOSPROD-43918 / EHCOSPROD-44244 - Definición técnica - TeleUCI Interconsultas.
- EHCOSPROD-43918 / EHCOSPROD-44274 - Desarrollo Tele UCI - Interconsultas
- Daily, soporte, planificación
Backlog: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X34" authorId="0" shapeId="0" xr:uid="{00000000-0006-0000-0100-000072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EHCOSPROD-43918 / EHCOSPROD-44244 - Definición técnica - TeleUCI Interconsultas. (actualizar plantilla lista de tareas) Fin 18/02
- EHCOSPROD-43918 / EHCOSPROD-44274 - Desarrollo Tele UCI - Interconsultas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Daily, soporte, planificación
</t>
        </r>
        <r>
          <rPr>
            <b/>
            <sz val="8"/>
            <color indexed="81"/>
            <rFont val="Tahoma"/>
            <family val="2"/>
          </rPr>
          <t xml:space="preserve">
Avance:
- EHCOSPROD-43918 / EHCOSPROD-44244 - Definición técnica - TeleUCI Interconsultas. (actualizar plantilla lista de tareas)
- EHCOSPROD-43918 / EHCOSPROD-44274 - Desarrollo Tele UCI - Interconsultas
- Daily, soporte, planificación
Backlog: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A34" authorId="0" shapeId="0" xr:uid="{00000000-0006-0000-0100-000073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EHCOSPROD-43918 / EHCOSPROD-44274 - Desarrollo Tele UCI - Interconsultas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Daily, soporte, planificación
</t>
        </r>
        <r>
          <rPr>
            <b/>
            <sz val="8"/>
            <color indexed="81"/>
            <rFont val="Tahoma"/>
            <family val="2"/>
          </rPr>
          <t xml:space="preserve">
Avance:
- EHCOSPROD-43918 / EHCOSPROD-44274 - Desarrollo Tele UCI - Interconsultas
- Daily, soporte, planificación
Backlog: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B34" authorId="0" shapeId="0" xr:uid="{00000000-0006-0000-0100-000074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EHCOSPROD-43918 / EHCOSPROD-44274 - Desarrollo Tele UCI - Interconsultas inicio 19/02, fin 26/02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Daily, soporte, planificación
</t>
        </r>
        <r>
          <rPr>
            <b/>
            <sz val="8"/>
            <color indexed="81"/>
            <rFont val="Tahoma"/>
            <family val="2"/>
          </rPr>
          <t xml:space="preserve">
Avance:
- EHCOSPROD-43918 / EHCOSPROD-44274 - Desarrollo Tele UCI - Interconsultas inicio 19/02, fin 26/02
- Daily, soporte, planificación
Backlog: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C34" authorId="0" shapeId="0" xr:uid="{00000000-0006-0000-0100-000075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EHCOSPROD-43918 / EHCOSPROD-44274 - Desarrollo Tele UCI - Interconsultas inicio 19/02, fin 26/02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Daily, soporte, planificación
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D34" authorId="0" shapeId="0" xr:uid="{00000000-0006-0000-0100-000076040000}">
      <text>
        <r>
          <rPr>
            <sz val="11"/>
            <color rgb="FF000000"/>
            <rFont val="Calibri"/>
            <family val="2"/>
          </rPr>
          <t xml:space="preserve">Tareas planificadas:
- EHCOSPROD-43918 / EHCOSPROD-44274 - Desarrollo Tele UCI - Interconsultas inicio 19/02, fin 26/02
- Daily, soporte, planificación
Avance:
- EHCOSPROD-43918 / EHCOSPROD-44274 - Desarrollo Tele UCI - Interconsultas inicio 19/02, fin 26/02
- EHCOSPROD-44788 comportamiento incorrecto componente de escalas
- Daily, soporte, planificación, reuniones
Backlog:
</t>
        </r>
      </text>
    </comment>
    <comment ref="ME34" authorId="0" shapeId="0" xr:uid="{00000000-0006-0000-0100-000077040000}">
      <text>
        <r>
          <rPr>
            <sz val="11"/>
            <color rgb="FF000000"/>
            <rFont val="Calibri"/>
            <family val="2"/>
          </rPr>
          <t>Tareas planificadas:
- EHCOSPROD-43918 / EHCOSPROD-44274 - Desarrollo Tele UCI - Interconsultas inicio 19/02, fin 26/02
- Daily, soporte, planificación
Avance:
- EHCOSPROD-43918 / EHCOSPROD-44274 - Desarrollo Tele UCI - Interconsultas inicio 19/02, fin 26/02
- Daily, soporte, planificación, reuniones
Backlog:</t>
        </r>
      </text>
    </comment>
    <comment ref="MH34" authorId="0" shapeId="0" xr:uid="{00000000-0006-0000-0100-000078040000}">
      <text>
        <r>
          <rPr>
            <sz val="11"/>
            <color rgb="FF000000"/>
            <rFont val="Calibri"/>
            <family val="2"/>
          </rPr>
          <t>Tareas planificadas:
- EHCOSPROD-43918 / EHCOSPROD-44274 - Desarrollo Tele UCI - Interconsultas inicio 19/02, fin 26/02
- Daily, soporte, planificación
- Entrevistas
Avance:
Backlog:</t>
        </r>
      </text>
    </comment>
    <comment ref="MI34" authorId="0" shapeId="0" xr:uid="{00000000-0006-0000-0100-000079040000}">
      <text>
        <r>
          <rPr>
            <sz val="11"/>
            <color rgb="FF000000"/>
            <rFont val="Calibri"/>
            <family val="2"/>
          </rPr>
          <t>Tareas planificadas:
- EHCOSPROD-43918 / EHCOSPROD-44274 - Desarrollo Tele UCI - Interconsultas inicio 19/02, fin 26/02
- Daily, soporte, planificación
Avance:
Inicio plan de pruebas interconsulta
Backlog:</t>
        </r>
      </text>
    </comment>
    <comment ref="MJ34" authorId="0" shapeId="0" xr:uid="{00000000-0006-0000-0100-00007A040000}">
      <text>
        <r>
          <rPr>
            <b/>
            <sz val="11"/>
            <color rgb="FF000000"/>
            <rFont val="Calibri"/>
            <family val="2"/>
          </rPr>
          <t>Tareas planificadas:</t>
        </r>
        <r>
          <rPr>
            <sz val="11"/>
            <color rgb="FF000000"/>
            <rFont val="Calibri"/>
            <family val="2"/>
          </rPr>
          <t xml:space="preserve">
- EHCOSPROD-44819 - analisis tecnico ritmo de infusion
- Daily, soporte, planificación
</t>
        </r>
        <r>
          <rPr>
            <b/>
            <sz val="11"/>
            <color rgb="FF000000"/>
            <rFont val="Calibri"/>
            <family val="2"/>
          </rPr>
          <t>Avance:</t>
        </r>
        <r>
          <rPr>
            <sz val="11"/>
            <color rgb="FF000000"/>
            <rFont val="Calibri"/>
            <family val="2"/>
          </rPr>
          <t xml:space="preserve">
- EHCOSPROD-44819 - analisis tecnico ritmo de infusion
- Daily, soporte, planificación
</t>
        </r>
        <r>
          <rPr>
            <b/>
            <sz val="11"/>
            <color rgb="FF000000"/>
            <rFont val="Calibri"/>
            <family val="2"/>
          </rPr>
          <t>Backlog:</t>
        </r>
      </text>
    </comment>
    <comment ref="MK34" authorId="0" shapeId="0" xr:uid="{00000000-0006-0000-0100-00007B040000}">
      <text>
        <r>
          <rPr>
            <b/>
            <sz val="11"/>
            <color rgb="FF000000"/>
            <rFont val="Calibri"/>
            <family val="2"/>
          </rPr>
          <t>Tareas planificadas:</t>
        </r>
        <r>
          <rPr>
            <sz val="11"/>
            <color rgb="FF000000"/>
            <rFont val="Calibri"/>
            <family val="2"/>
          </rPr>
          <t xml:space="preserve">
- EHCOSPROD-34647 / EHCOSPROD-44819
Análisis técnico.- Permitir introducir y mostrar un ritmo de infusión para los fluidos/dietas insertados manualmente fin 05/03
- EHCOSPROD-39078 Nuevos campos en DrenajesEHCOSPROD-44825
Def Técnica - Nuevos campos en Drenajes
- Daily, soporte, planificación
</t>
        </r>
        <r>
          <rPr>
            <b/>
            <sz val="11"/>
            <color rgb="FF000000"/>
            <rFont val="Calibri"/>
            <family val="2"/>
          </rPr>
          <t>Avance: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b/>
            <sz val="11"/>
            <color rgb="FF000000"/>
            <rFont val="Calibri"/>
            <family val="2"/>
          </rPr>
          <t>Backlog:</t>
        </r>
      </text>
    </comment>
    <comment ref="ML34" authorId="130" shapeId="0" xr:uid="{00000000-0006-0000-0100-00007C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- Soporte equipo
- Acabar análisis evolutivo "introducir ritmo infusión"
</t>
      </text>
    </comment>
    <comment ref="MO34" authorId="131" shapeId="0" xr:uid="{00000000-0006-0000-0100-00007D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Análisis ritmos de infusión (por finalizar)
Análisis nuevos campos en drenajes</t>
      </text>
    </comment>
    <comment ref="MP34" authorId="132" shapeId="0" xr:uid="{00000000-0006-0000-0100-00007E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Análisis campos nuevos en drenajes
Avance:
Reuniones análisis indicadores
Finalizado DT de ritmos de infusión
Reunión con Pablo E.
Backlog:
Desarrollo evolutivo drenajes
</t>
      </text>
    </comment>
    <comment ref="MQ34" authorId="133" shapeId="0" xr:uid="{00000000-0006-0000-0100-00007F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Incidencias en inter-consultas
Desarrollo evolutivo campos en drenajes.
Avance:
Análisis campos drenajes finalizado, no se ha podido subir por problemas con oneDrive
Revisión JPA proyecciones.
Backlog:</t>
      </text>
    </comment>
    <comment ref="MR34" authorId="134" shapeId="0" xr:uid="{00000000-0006-0000-0100-000080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Evolutivo drenajes (fin 12/03)
Avance:
Se finalizó DT de nuevos campos en drenajes
Incidencias en backlog sobre tele-uci
Se solicitó rama desarrollo drenajes
Conf. Entorno drenajes
Backlog:</t>
      </text>
    </comment>
    <comment ref="MS34" authorId="135" shapeId="0" xr:uid="{00000000-0006-0000-0100-000081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Acabar desarrollo de drenajes EHCOSPROD-44827
Avance:
Sesiones por producto
Desarrollo drenajes
Backlog:
Correcciones 5.4.7
Estabilización EHCOSPROD-44827
Inicio evolutivo EHCOSPROD-44820
Estabilización vers. 5.6</t>
      </text>
    </comment>
    <comment ref="MV34" authorId="136" shapeId="0" xr:uid="{00000000-0006-0000-0100-000082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Finalización evolutivo campos en drenajes.
Correcciones 5.4.7
Estabilización EHCOSPROD-44827
Avance:
Apoyo equipo en general.
Finalización evolutivo campos en drenajes, no fue posible concluir por problemas de entorno.
Backlog:</t>
      </text>
    </comment>
    <comment ref="MW34" authorId="137" shapeId="0" xr:uid="{00000000-0006-0000-0100-000083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Finalización evolutivo campos en drenajes.
Correcciones 5.4.7
Estabilización EHCOSPROD-44827
Avance:
Apoyo equipo en general.
Finalización evolutivo campos en drenajes, no fue posible concluir por problemas de entorno.
Backlog:</t>
      </text>
    </comment>
    <comment ref="MX34" authorId="138" shapeId="0" xr:uid="{00000000-0006-0000-0100-000084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EHCOSPROD-999999: Resolución error en estilos
Merges a la rama de la 5.4
Correcciones 5.4.7
Avance:
Merges a la rama de la 5.4
EHCOSPROD-999999: Resolución error en estilos
Backlog:</t>
      </text>
    </comment>
    <comment ref="MY34" authorId="139" shapeId="0" xr:uid="{00000000-0006-0000-0100-000085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Merges a la rama de la 5.4
Correcciones 5.4.7
Soporte a equipo
Avance:
Ajustes de estilos
Backlog:</t>
      </text>
    </comment>
    <comment ref="MZ34" authorId="140" shapeId="0" xr:uid="{00000000-0006-0000-0100-000086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Correcciones 5.4.7
Soporte a equipo
Avance:
Merges a la rama de la 5.14RC3
Correcciones 5.4.7
Cambio librerías de la rama de la 5.4 para apuntar a la 5.14RC3
Soporte conf. Entorno a Pablo
Backlog:
</t>
      </text>
    </comment>
    <comment ref="NC34" authorId="141" shapeId="0" xr:uid="{00000000-0006-0000-0100-000087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EHCOSPROD-44761 - Hora fin desasignación de pacientes
EHCOSPROD-45355 - No se muestra primera constante de grupo de parámetros vitales
EHCOSPROD-44469 - No se visualiza botonera al acceder desde valoración de enfermería
Avance:
Configuracion entorno Pablo, postgres y oracle
Apoyo equipo
Estabilizacion entorno local version 5.14RC3-SNAPSHOT 5.4UCI-SNAPSHOT 
Backlog:
EHCOSPROD-44472 - Al generar acciones sobre el panel se desajusta el grid
EHCOSPROD-45320 - Error al configurar el tipo de campo "Campos Componentes ICU" en un informe
EHCOSPROD-45352 - Caída de Aplicación</t>
      </text>
    </comment>
    <comment ref="ND34" authorId="142" shapeId="0" xr:uid="{00000000-0006-0000-0100-000088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Soporte Equipo
Jiras versión 5.4.7
Avance:
Graficas de la homepage
Escalas -&gt; traslado de tabla de perfiles
Import dump de la 75
Soporte equipo</t>
      </text>
    </comment>
    <comment ref="NE34" authorId="143" shapeId="0" xr:uid="{00000000-0006-0000-0100-000089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Soporte Equipo
Jiras versión 5.4.7
Avance:
Graficas de la homepage -&gt; finalizado
Escalas -&gt; finalizado
Backlog:</t>
      </text>
    </comment>
    <comment ref="NF34" authorId="144" shapeId="0" xr:uid="{00000000-0006-0000-0100-00008A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Jiras versión 5.4.7
Merge al trunk
Soporte
Avance:
Jiras versión 5.4.7
Backlog:</t>
      </text>
    </comment>
    <comment ref="NG34" authorId="145" shapeId="0" xr:uid="{00000000-0006-0000-0100-00008B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Jiras versión 5.4.7
Merge al trunk -&gt; lo ya subido se pasará al trunk
5.14-RC3
Soporte
Avance:
Merge al trunk -&gt; lo ya subido se pasará al trunk
5.14-RC3
Jiras versión 5.4.7
soporte
Backlog:</t>
      </text>
    </comment>
    <comment ref="NJ34" authorId="146" shapeId="0" xr:uid="{00000000-0006-0000-0100-00008C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Jiras versión 5.4.7
Soporte
Avance:
Merge al trunk -&gt; lo ya subido se pasará al trunk
5.14-RC3
Actualización jira
soporte</t>
      </text>
    </comment>
    <comment ref="NK34" authorId="147" shapeId="0" xr:uid="{00000000-0006-0000-0100-00008D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Merges
Soporte
Avance:
Permisos en firma y en backups
Selección de turnos
Corrección header report
Soporte
Backlog:</t>
      </text>
    </comment>
    <comment ref="NL34" authorId="148" shapeId="0" xr:uid="{00000000-0006-0000-0100-00008E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Avance:
Ordenando tareas gestión
Tareas backlog -&gt; merge 5.4 to trunk
Planificación 
Soporte equipo
Backlog:</t>
      </text>
    </comment>
    <comment ref="MV35" authorId="149" shapeId="0" xr:uid="{00000000-0006-0000-0100-00008F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Pablo Escobar:
Tareas planificadas:
Revisión píldoras formativas.
Inducción
Avance:
Backlog
</t>
      </text>
    </comment>
    <comment ref="MW35" authorId="150" shapeId="0" xr:uid="{00000000-0006-0000-0100-000090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Pablo Escobar:
Tareas planificadas:
Revisión píldoras formativas.
Inducción
Avance:
Backlog
</t>
      </text>
    </comment>
    <comment ref="MX35" authorId="151" shapeId="0" xr:uid="{00000000-0006-0000-0100-000091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Acabar la configuración de entorno
Configurar BDD
Avance:
Pildoras
Configuración de entorno 
Backlog:</t>
      </text>
    </comment>
    <comment ref="MY35" authorId="152" shapeId="0" xr:uid="{00000000-0006-0000-0100-000092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Acabar la configuración de entorno
Configurar BDD Oracle
Avance:
Pildoras
Configuración BBDD Postgres
Backlog:</t>
      </text>
    </comment>
    <comment ref="MZ35" authorId="153" shapeId="0" xr:uid="{00000000-0006-0000-0100-000093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Acabar la configuración de entorno
Crear segunda instancia de ORACLE
Importar dump ORACLE
Avance:
Pildora JIRA
Formación técnica dom y server
Configurar BDD Oracle
Importación dump Postgres
Backlog:</t>
      </text>
    </comment>
    <comment ref="NC35" authorId="154" shapeId="0" xr:uid="{00000000-0006-0000-0100-000094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Acabar de solventar error de configuración de entorno
Importar dump, ver que pasa con el entorno
Avance:
Acabar la configuración de entorno
Crear segunda instancia de ORACLE
Importar dump ORACLE
Backlog:</t>
      </text>
    </comment>
    <comment ref="ND35" authorId="155" shapeId="0" xr:uid="{00000000-0006-0000-0100-000095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Revisión código
Jira de controles en HK
Avance:
Revisión de código
Jira de controles en HK
Backlog:
 </t>
      </text>
    </comment>
    <comment ref="NE35" authorId="156" shapeId="0" xr:uid="{00000000-0006-0000-0100-000096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Resolver conflicto ficheros css
Jiras 5.6
Avance:
Resolución error en estilos
Backlog:</t>
      </text>
    </comment>
    <comment ref="NF35" authorId="157" shapeId="0" xr:uid="{00000000-0006-0000-0100-000097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Jiras 5.6
Correctivos
Avance:
Jiras 5.6
Textbox que se desplaza
Error en pérdidas.
Backlog:</t>
      </text>
    </comment>
    <comment ref="NG35" authorId="158" shapeId="0" xr:uid="{00000000-0006-0000-0100-000098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Jiras 5.6
Correctivos
Avance:
Jiras 5.6
Finalizó correctivo de recambios (pendiente de subida)
Backlog:</t>
      </text>
    </comment>
    <comment ref="NJ35" authorId="159" shapeId="0" xr:uid="{00000000-0006-0000-0100-000099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Generación de script para insertar en base de datos las constantes vitales
Actualizar tareas en jira
Avance:
Finalizado jora - Componente de escalas (subido al tronco)
Backlog:
</t>
      </text>
    </comment>
    <comment ref="NK35" authorId="160" shapeId="0" xr:uid="{00000000-0006-0000-0100-00009A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Resolver dudas con german
Correctivos 5.6
Avance:
Correctivos 5.6
Backlog:</t>
      </text>
    </comment>
    <comment ref="NL35" authorId="161" shapeId="0" xr:uid="{00000000-0006-0000-0100-00009B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Scripts -&gt; cambios pendientes
Conf. Entorno uci-clinic
Resolver dudas con german
Avance:
Correctivos 5.6
Backlog:</t>
      </text>
    </comment>
    <comment ref="ML36" authorId="162" shapeId="0" xr:uid="{00000000-0006-0000-0100-00009C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Realización de pruebas manuales sobre evolutivo tele-uci
</t>
      </text>
    </comment>
    <comment ref="MO36" authorId="163" shapeId="0" xr:uid="{00000000-0006-0000-0100-00009D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Pruebas sobre modulo inter-consultas
Ajustes pruebas mapa de camas
</t>
      </text>
    </comment>
    <comment ref="MP36" authorId="164" shapeId="0" xr:uid="{00000000-0006-0000-0100-00009E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PP ritmo de infusión (retomar)
PP nuevos campos drenajes
PP Tooltip mapa de camas
PP Interconsultas 
Avance:
PP Revisión con sara lista tele-uci
PP ritmo de infusión
Backlog:
</t>
      </text>
    </comment>
    <comment ref="MQ36" authorId="165" shapeId="0" xr:uid="{00000000-0006-0000-0100-00009F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PP Diagnósticos e información clínica.
PP Interconsultas 
Avance:
PPFinalizado PP Tooltip mapa de camas.
PPDrenajes
PP Ritmo infusión
Backlog:</t>
      </text>
    </comment>
    <comment ref="MR36" authorId="166" shapeId="0" xr:uid="{00000000-0006-0000-0100-0000A0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Ajustes PP versión 5.6 (revisar definiciones)
Iteración 2 v5.6 en entorno UCI - CLINIC
Avance:
Problemas con despliegue en QA.
Pruebas sobre mapa de camas UCI.
Backlog:
Iteración 1 v5.6 en UCI stand-alone en entorno 119 (pendiente a que esté disponible servidor)</t>
      </text>
    </comment>
    <comment ref="MS36" authorId="167" shapeId="0" xr:uid="{00000000-0006-0000-0100-0000A1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Retomar Acabar Pruebas WL teleUCI
Pruebas evolutivo EHCOSPROD-44827 
Ejecución PP 5.4.7
Ejecución PP Iteración 2 v5.6 en entorno UCI - CLINIC
Avance:
Acabar Pruebas WL teleUCI
PP iteración 2 v5.6
Backlog:</t>
      </text>
    </comment>
    <comment ref="MV36" authorId="168" shapeId="0" xr:uid="{00000000-0006-0000-0100-0000A2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Retomar Acabar Pruebas WL teleUCI
Pruebas evolutivo EHCOSPROD-44827 
Ejecución PP 5.4.7
Ejecución PP Iteración 2 v5.6 en entorno UCI - CLINIC
Avance:
Ejecución PP WL TeleUCI
Ajustes PP
Backlog:</t>
      </text>
    </comment>
    <comment ref="MW36" authorId="169" shapeId="0" xr:uid="{00000000-0006-0000-0100-0000A3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PP Diagnósticos e información clínica.
PP Interconsultas 
Avance:
PPFinalizado PP Tooltip mapa de camas.
PPDrenajes
PP Ritmo infusión
Backlog:</t>
      </text>
    </comment>
    <comment ref="MX36" authorId="170" shapeId="0" xr:uid="{00000000-0006-0000-0100-0000A4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Ejecución PP versión 5.4.6
Ejecución PP nuevos campos drenajes
Avance:
Ejecución PP versión 5.4.6 -&gt; se levantaron JIRAS
Backlog:</t>
      </text>
    </comment>
    <comment ref="MY36" authorId="171" shapeId="0" xr:uid="{00000000-0006-0000-0100-0000A5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Ejecución PP versión 5.4.6
Ejecución PP nuevos campos drenajes
Avance:
Ejecución PP versión 5.4.6 -&gt; se levantaron JIRAS
Backlog:</t>
      </text>
    </comment>
    <comment ref="MZ36" authorId="172" shapeId="0" xr:uid="{00000000-0006-0000-0100-0000A6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Ejecución PP versión 5.4.6
Documento actualización de pruebas
Avance:
Ejecución PP configuración 5.4.6
Cursos obligatorios de bienvenida
Backlog:
</t>
      </text>
    </comment>
    <comment ref="NC36" authorId="173" shapeId="0" xr:uid="{00000000-0006-0000-0100-0000A7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Ejecución PP 5.6R
Ejecución PP versión 5.4.6
Documento actualización de pruebas
Avance:
Finalizó PP y levantó jiras
Ejecución PP configuración 5.4.6
Backlog:</t>
      </text>
    </comment>
    <comment ref="ND36" authorId="174" shapeId="0" xr:uid="{00000000-0006-0000-0100-0000A8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Ejecución PP 5.6R -&gt; información de enfermaría
Avance:
Ejecución PP 5.6R
Backlog:</t>
      </text>
    </comment>
    <comment ref="NE36" authorId="175" shapeId="0" xr:uid="{00000000-0006-0000-0100-0000A9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Ejecución PP 5.6R
Avance:
Ejecución PP 5.6R - Se levantaron incidencias.
Backlog:</t>
      </text>
    </comment>
    <comment ref="NF36" authorId="176" shapeId="0" xr:uid="{00000000-0006-0000-0100-0000AA04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Ejecución PP 5.6R - Información de enfermería
Avance:
Pruebas al azar en aplicación
Ejecución PP 5.6R
Backlog:
</t>
      </text>
    </comment>
    <comment ref="NG36" authorId="177" shapeId="0" xr:uid="{00000000-0006-0000-0100-0000AB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Ejecución PP 5.6R
Avance:
Ejecución PP 5.6R - perfil médico
Backlog:</t>
      </text>
    </comment>
    <comment ref="NJ36" authorId="178" shapeId="0" xr:uid="{00000000-0006-0000-0100-0000AC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Continuar con la ejecución PP 5.4.6R 
Avance:
Incidencias 5.4.6 -&gt; se levantaron Jiras
Backlog:</t>
      </text>
    </comment>
    <comment ref="NK36" authorId="179" shapeId="0" xr:uid="{00000000-0006-0000-0100-0000AD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Revisión de jiras pendientes de testing
Continuar ejecución plan de pruebas 5.6
Avance:
Revisión de jiras pendientes de testing
Continuar ejecución plan de pruebas 5.6
Backlog:</t>
      </text>
    </comment>
    <comment ref="NL36" authorId="180" shapeId="0" xr:uid="{00000000-0006-0000-0100-0000AE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Prueba jiras resueltos
Continuar ejecución plan de pruebas 5.6 -&gt; flujos más largos
Avance:
Incidencias versión 5.6 
Backlog:</t>
      </text>
    </comment>
    <comment ref="B37" authorId="0" shapeId="0" xr:uid="{00000000-0006-0000-0100-0000AF040000}">
      <text>
        <r>
          <rPr>
            <b/>
            <sz val="8"/>
            <color indexed="81"/>
            <rFont val="Tahoma"/>
            <family val="2"/>
          </rPr>
          <t>Salida de la compañía el 05/03</t>
        </r>
      </text>
    </comment>
    <comment ref="KD37" authorId="2" shapeId="0" xr:uid="{00000000-0006-0000-0100-0000B0040000}">
      <text>
        <r>
          <rPr>
            <b/>
            <sz val="9"/>
            <color indexed="81"/>
            <rFont val="Tahoma"/>
            <family val="2"/>
          </rPr>
          <t>Marcela Alejandra Alvarado Jara:</t>
        </r>
        <r>
          <rPr>
            <sz val="9"/>
            <color indexed="81"/>
            <rFont val="Tahoma"/>
            <family val="2"/>
          </rPr>
          <t xml:space="preserve">
Avance ayer:
generacion de modelo de datos version 5.5
Por hacer: EHCOSPROD-39875 
</t>
        </r>
      </text>
    </comment>
    <comment ref="KE37" authorId="181" shapeId="0" xr:uid="{00000000-0006-0000-0100-0000B1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- EHCOSPROD-39875: Evolutivo anotaciones del paciente, tomo más tiempo el layout.</t>
      </text>
    </comment>
    <comment ref="KF37" authorId="182" shapeId="0" xr:uid="{00000000-0006-0000-0100-0000B2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EHCOSPROD-39875: Evolutivo anotaciones del paciente, falta panel y con eso acabaría hoy la codificación.</t>
      </text>
    </comment>
    <comment ref="KK37" authorId="0" shapeId="0" xr:uid="{00000000-0006-0000-0100-0000B3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
- EHCOSPROD-43260: modelo de datos (revisar documentación, pruebas, actualizar último modelo de datos existente)
- Correcciones SONAR
5.6R-UCI (febrero)
- EHCOSPROD-43445 - Configuración de anotaciones - Revisión de estilos
- EHCOSPROD-42970 - Aparece scroll en el mapa de camas
- EHCOSPROD-43444 - Configuración de anotaciones - Privilegios no encontrados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Daily. 
5.6R-UCI (febrero)
- EHCOSPROD-43444 - Configuración de anotaciones - Privilegios no encontrados
- EHCOSPROD-43445 - Configuración de anotaciones - Revisión de estilos
- EHCOSPROD-42970 - Aparece scroll en el mapa de camas
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L37" authorId="0" shapeId="0" xr:uid="{00000000-0006-0000-0100-0000B4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
- EHCOSPROD-43260: modelo de datos (revisar documentación, pruebas, actualizar último modelo de datos existente)
- Correcciones SONAR
5.6R-UCI (febrero)
- correctivos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Daily. 
5.6R-UCI (febrero)
- correctivos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M37" authorId="0" shapeId="0" xr:uid="{00000000-0006-0000-0100-0000B5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
- EHCOSPROD-43260: modelo de datos (revisar documentación, pruebas, actualizar último modelo de datos existente)
- Correcciones SONAR
5.6R-UCI (febrero)
- correctivos anotaciones paciente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5.6R-UCI (febrero)
- correctivos anotaciones paciente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N37" authorId="0" shapeId="0" xr:uid="{00000000-0006-0000-0100-0000B6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
- EHCOSPROD-43260: modelo de datos (revisar documentación, pruebas, actualizar último modelo de datos existente)
- Correcciones SONAR
5.6R-UCI (febrero)
- correctivos anotaciones paciente
- EHCOSPROD-43247 - Añadir funcionalidad al icono Información del mapa de camas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Daily. 
5.6R-UCI (febrero)
- correctivos anotaciones paciente
- modificaciones detalle de alertas, cambio locator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O37" authorId="0" shapeId="0" xr:uid="{00000000-0006-0000-0100-0000B7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
- EHCOSPROD-43260: modelo de datos 5.5 (revisar documentación, pruebas, actualizar último modelo de datos existente)
5.6R-UCI (febrero)
- correctivos anotaciones paciente
- Correcciones SONAR
- EHCOSPROD-43247 - Añadir funcionalidad al icono Información del mapa de camas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>Daily. 
- EHCOSPROD-43260: modelo de datos 5.5 (actualizar último modelo de datos existente)
5.6R-UCI (febrero)
- correctivos anotaciones paciente
- EHCOSPROD-43247 - Añadir funcionalidad al icono Información del mapa de camas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R37" authorId="0" shapeId="0" xr:uid="{00000000-0006-0000-0100-0000B8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Daily. 
- EHCOSPROD-43260: modelo de datos 5.5 (revisar documentación, pruebas, actualizar último modelo de datos existente)
5.6R-UCI (febrero)
- Correcciones SONAR
- EHCOSPROD-43247 - Añadir funcionalidad al icono Información del mapa de camas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S37" authorId="0" shapeId="0" xr:uid="{00000000-0006-0000-0100-0000B9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EHCOSPROD-43247 - Añadir funcionalidad al icono Información del mapa de camas
- EHCOSPROD-43260: modelo de datos 5.5 (revisar documentación, pruebas, actualizar último modelo de datos existente)
- Correcciones SONAR
- Daily. 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- EHCOSPROD-43247 - Añadir funcionalidad al icono Información del mapa de camas (desarrollo)
- EHCOSPROD-43260: modelo de datos 5.5 (revisar documentación, pruebas, actualizar último modelo de datos existente)
- Daily. 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T37" authorId="0" shapeId="0" xr:uid="{00000000-0006-0000-0100-0000BA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EHCOSPROD-43260: modelo de datos 5.5 (revisar documentación, pruebas, actualizar último modelo de datos existente)
- EHCOSPROD-43247 - Añadir funcionalidad al icono Información del mapa de camas (desarrollo) fin 22/01/2021
- EHCOSPROD-42205 - Tele UCI - Mapa de camas (desarrollo)
- Correcciones SONAR
- Daily. </t>
        </r>
        <r>
          <rPr>
            <b/>
            <sz val="8"/>
            <color indexed="81"/>
            <rFont val="Tahoma"/>
            <family val="2"/>
          </rPr>
          <t xml:space="preserve">
Avance:
</t>
        </r>
        <r>
          <rPr>
            <sz val="8"/>
            <color indexed="81"/>
            <rFont val="Tahoma"/>
            <family val="2"/>
          </rPr>
          <t xml:space="preserve">- EHCOSPROD-43260: modelo de datos 5.5 (revisar documentación, pruebas, actualizar último modelo de datos existente)
- EHCOSPROD-43247 - Añadir funcionalidad al icono Información del mapa de camas (desarrollo)
- correctivos 5.4 Marañon
- Daily. </t>
        </r>
        <r>
          <rPr>
            <b/>
            <sz val="8"/>
            <color indexed="81"/>
            <rFont val="Tahoma"/>
            <family val="2"/>
          </rPr>
          <t xml:space="preserve">
Backlog:
</t>
        </r>
      </text>
    </comment>
    <comment ref="KU37" authorId="0" shapeId="0" xr:uid="{00000000-0006-0000-0100-0000BB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5.4: EHCOSPROD-43674, EHCOSPROD-43767, EHCOSPROD-43559
- EHCOSPROD-43247 - Añadir funcionalidad al icono Información del mapa de camas (desarrollo) fin 22/01/2021
- EHCOSPROD-42205 - Tele UCI - Mapa de camas (desarrollo)
- Correcciones SONAR
- Daily. 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</text>
    </comment>
    <comment ref="KY37" authorId="0" shapeId="0" xr:uid="{00000000-0006-0000-0100-0000BC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5.4: EHCOSPROD-43674, EHCOSPROD-43757
- correctivos 5.6: EHCOSPROD-43087
- EHCOSPROD-43559 - Acceso directo a la escala desde el icono del mapa de camas (desarrollo)
- EHCOSPROD-43560 - Ajuste del batch de regularización de pacientes (desarrollo)
- Daily. </t>
        </r>
        <r>
          <rPr>
            <b/>
            <sz val="8"/>
            <color indexed="81"/>
            <rFont val="Tahoma"/>
            <family val="2"/>
          </rPr>
          <t xml:space="preserve">
Avance:
- formateo pc, preparación entorno
Backlog: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KZ37" authorId="0" shapeId="0" xr:uid="{00000000-0006-0000-0100-0000BD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formateo pc y preparación entorno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correctivos 5.4: EHCOSPROD-43674, EHCOSPROD-43757
- EHCOSPROD-43559 - Acceso directo a la escala desde el icono del mapa de camas (desarrollo) inicio 26/01, fin 28/01
- Daily. </t>
        </r>
        <r>
          <rPr>
            <b/>
            <sz val="8"/>
            <color indexed="81"/>
            <rFont val="Tahoma"/>
            <family val="2"/>
          </rPr>
          <t xml:space="preserve">
Avance:
- formateo pc y preparación entorno
- correctivos 5.4: EHCOSPROD-43674, EHCOSPROD-43757
- EHCOSPROD-43559 - Acceso directo a la escala desde el icono del mapa de camas (desarrollo)
- Daily. 
Backlog:
</t>
        </r>
        <r>
          <rPr>
            <sz val="8"/>
            <color indexed="81"/>
            <rFont val="Tahoma"/>
            <family val="2"/>
          </rPr>
          <t>- EHCOSPROD-43560 - Ajuste del batch de regularización de pacientes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A37" authorId="0" shapeId="0" xr:uid="{00000000-0006-0000-0100-0000BE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5.4
- EHCOSPROD-43559 - Acceso directo a la escala desde el icono del mapa de camas (desarrollo) inicio 26/01, fin 28/01
- Daily. 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EHCOSPROD-43560 - Ajuste del batch de regularización de pacientes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B37" authorId="0" shapeId="0" xr:uid="{00000000-0006-0000-0100-0000BF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5.4
- EHCOSPROD-43559 - Acceso directo a la escala desde el icono del mapa de camas (desarrollo) inicio 26/01, fin 28/01
- EHCOSPROD-43560 - Ajuste del batch de regularización de pacientes (desarrollo) inicio 29/01, fin 04/02
- Daily. </t>
        </r>
        <r>
          <rPr>
            <b/>
            <sz val="8"/>
            <color indexed="81"/>
            <rFont val="Tahoma"/>
            <family val="2"/>
          </rPr>
          <t xml:space="preserve">
Avance:
- correctivos 5.4
- EHCOSPROD-43559 - Acceso directo a la escala desde el icono del mapa de camas (desarrollo)
- EHCOSPROD-43560 - Ajuste del batch de regularización de pacientes (desarrollo)
- Daily. 
Backlog: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C37" authorId="0" shapeId="0" xr:uid="{00000000-0006-0000-0100-0000C0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EHCOSPROD-43559 - Acceso directo a la escala desde el icono del mapa de camas (estabilización)
- EHCOSPROD-43560 - Ajuste del batch de regularización de pacientes (desarrollo) inicio 29/01, fin 04/02
- correctivos 5.4: EHCOSPROD-43767 - Desajuste Grid Panel Cuidados de Enfermería
- Daily. </t>
        </r>
        <r>
          <rPr>
            <b/>
            <sz val="8"/>
            <color indexed="81"/>
            <rFont val="Tahoma"/>
            <family val="2"/>
          </rPr>
          <t xml:space="preserve">
Avance:
- EHCOSPROD-43559 - Acceso directo a la escala desde el icono del mapa de camas (estabilización)
- EHCOSPROD-43560 - Ajuste del batch de regularización de pacientes (desarrollo) inicio 29/01, fin 04/02
- correctivos 5.4: EHCOSPROD-43767 - Desajuste Grid Panel Cuidados de Enfermería
- Daily. 
Backlog: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F37" authorId="0" shapeId="0" xr:uid="{00000000-0006-0000-0100-0000C1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EHCOSPROD-43560 - Ajuste del batch de regularización de pacientes (desarrollo) inicio 29/01, fin 04/02
- correctivos 5.4: EHCOSPROD-43767 - Desajuste Grid Panel Cuidados de Enfermería
- Daily. </t>
        </r>
        <r>
          <rPr>
            <b/>
            <sz val="8"/>
            <color indexed="81"/>
            <rFont val="Tahoma"/>
            <family val="2"/>
          </rPr>
          <t xml:space="preserve">
Avance:
- EHCOSPROD-43560 - Ajuste del batch de regularización de pacientes (desarrollo)
- correctivos 5.4: EHCOSPROD-43767 - Desajuste Grid Panel Cuidados de Enfermería
- Daily. 
Backlog: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G37" authorId="0" shapeId="0" xr:uid="{00000000-0006-0000-0100-0000C2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EHCOSPROD-43560 - Ajuste del batch de regularización de pacientes (pruebas y ajustes) inicio 29/01, fin 04/02
- correctivos 5.4: EHCOSPROD-43767 - Desajuste Grid Panel Cuidados de Enfermería
- Daily. </t>
        </r>
        <r>
          <rPr>
            <b/>
            <sz val="8"/>
            <color indexed="81"/>
            <rFont val="Tahoma"/>
            <family val="2"/>
          </rPr>
          <t xml:space="preserve">
Avance:
- EHCOSPROD-43560 - Ajuste del batch de regularización de pacientes (pruebas y ajustes)
- soporte Emilio modelo de datos
- correctivos 5.4: EHCOSPROD-43767 - Desajuste Grid Panel Cuidados de Enfermería
- Daily. 
Backlog: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H37" authorId="0" shapeId="0" xr:uid="{00000000-0006-0000-0100-0000C3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EHCOSPROD-43560 - Ajuste del batch de regularización de pacientes (sonar, documentación) inicio 29/01, fin 04/02
- actualización modelo datos 5.5
- correctivos 5.4: EHCOSPROD-43767 - Desajuste Grid Panel Cuidados de Enfermería
- EHCOSPROD-44112 - Mostrar botonera de escalas sólo cuando el perfil de acceso tenga permisos sobre la escala (desarrollo)
- Daily. </t>
        </r>
        <r>
          <rPr>
            <b/>
            <sz val="8"/>
            <color indexed="81"/>
            <rFont val="Tahoma"/>
            <family val="2"/>
          </rPr>
          <t xml:space="preserve">
Avance:
- EHCOSPROD-43560 - Ajuste del batch de regularización de pacientes (sonar, documentación)
- actualización modelo datos 5.5 con Emilio
- correctivos 5.4: EHCOSPROD-43767 - Desajuste Grid Panel Cuidados de Enfermería
- EHCOSPROD-44112 - Mostrar botonera de escalas sólo cuando el perfil de acceso tenga permisos sobre la escala (lectura documentación)
- Daily. 
Backlog: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I37" authorId="0" shapeId="0" xr:uid="{00000000-0006-0000-0100-0000C4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EHCOSPROD-43560 - Ajuste del batch de regularización de pacientes (estabilización 75)
- correctivos 5.4: merge al trunk, EHCOSPROD-43767 - Desajuste Grid Panel Cuidados de Enfermería
- EHCOSPROD-44112 - Mostrar botonera de escalas sólo cuando el perfil de acceso tenga permisos sobre la escala (desarrollo)
- Daily. </t>
        </r>
        <r>
          <rPr>
            <b/>
            <sz val="8"/>
            <color indexed="81"/>
            <rFont val="Tahoma"/>
            <family val="2"/>
          </rPr>
          <t xml:space="preserve">
Avance:
- EHCOSPROD-43560 - Ajuste del batch de regularización de pacientes (estabilización 75)
- correctivos 5.4: merge al trunk, EHCOSPROD-43767 - Desajuste Grid Panel Cuidados de Enfermería
- EHCOSPROD-44112 - Mostrar botonera de escalas sólo cuando el perfil de acceso tenga permisos sobre la escala (desarrollo)
- Daily. 
Backlog: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J37" authorId="0" shapeId="0" xr:uid="{00000000-0006-0000-0100-0000C5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EHCOSPROD-43560 - Ajuste del batch de regularización de pacientes (estabilización 75)
- correctivos 5.4: merge al trunk, EHCOSPROD-43767 - Desajuste Grid Panel Cuidados de Enfermería
- EHCOSPROD-44112 - Mostrar botonera de escalas sólo cuando el perfil de acceso tenga permisos sobre la escala (desarrollo)
- Daily. </t>
        </r>
        <r>
          <rPr>
            <b/>
            <sz val="8"/>
            <color indexed="81"/>
            <rFont val="Tahoma"/>
            <family val="2"/>
          </rPr>
          <t xml:space="preserve">
Avance:
- EHCOSPROD-44112 - Mostrar botonera de escalas sólo cuando el perfil de acceso tenga permisos sobre la escala (pruebas y ajustes)
- EHCOSPROD-43560 - Ajuste del batch de regularización de pacientes (estabilización 75)
- EHCOSPROD-44051
- Daily. 
Backlog: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M37" authorId="0" shapeId="0" xr:uid="{00000000-0006-0000-0100-0000C6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correctivos 5.4: EHCOSPROD-43767 - Desajuste Grid Panel Cuidados de Enfermería
- EHCOSPROD-44112 - Mostrar botonera de escalas sólo cuando el perfil de acceso tenga permisos sobre la escala (desarrollo)
- Daily. 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LN37" authorId="0" shapeId="0" xr:uid="{00000000-0006-0000-0100-0000C7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EHCOSPROD-44269 - Desarrollo Tele UCI - Mapa de camas (desarrollo) inicio 09/02 fin 19/02
- Daily. </t>
        </r>
        <r>
          <rPr>
            <b/>
            <sz val="8"/>
            <color indexed="81"/>
            <rFont val="Tahoma"/>
            <family val="2"/>
          </rPr>
          <t xml:space="preserve">
Avance:
- EHCOSPROD-44269 - Desarrollo Tele UCI - Mapa de camas (desarrollo)
- Daily. 
Backlog:
</t>
        </r>
        <r>
          <rPr>
            <sz val="8"/>
            <color indexed="81"/>
            <rFont val="Tahoma"/>
            <family val="2"/>
          </rPr>
          <t>- EHCOSPROD-44156 - Desarrollo - Pantalla de configuración de alertas en el mapa de camas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</text>
    </comment>
    <comment ref="LO37" authorId="0" shapeId="0" xr:uid="{00000000-0006-0000-0100-0000C8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>- correctivos 5.4.X: EHCOSPROD-43767 - Desajuste Grid Panel Cuidados de Enfermería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- EHCOSPROD-44269 - Desarrollo Tele UCI - Mapa de camas (desarrollo) inicio 09/02 fin 19/02
- Daily. </t>
        </r>
        <r>
          <rPr>
            <b/>
            <sz val="8"/>
            <color indexed="81"/>
            <rFont val="Tahoma"/>
            <family val="2"/>
          </rPr>
          <t xml:space="preserve">
Avance:
- correctivos 5.4.X: EHCOSPROD-43767 - Desajuste Grid Panel Cuidados de Enfermería
- EHCOSPROD-44269 - Desarrollo Tele UCI - Mapa de camas (desarrollo) inicio 09/02 fin 19/02
- preparación y sesión por producto
- Daily. 
Backlog:
</t>
        </r>
        <r>
          <rPr>
            <sz val="8"/>
            <color indexed="81"/>
            <rFont val="Tahoma"/>
            <family val="2"/>
          </rPr>
          <t>- EHCOSPROD-44156 - Desarrollo - Pantalla de configuración de alertas en el mapa de camas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</text>
    </comment>
    <comment ref="LP37" authorId="0" shapeId="0" xr:uid="{00000000-0006-0000-0100-0000C9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EHCOSPROD-44269 - Desarrollo Tele UCI - Mapa de camas (desarrollo) inicio 09/02 fin 19/02
- Daily. </t>
        </r>
        <r>
          <rPr>
            <b/>
            <sz val="8"/>
            <color indexed="81"/>
            <rFont val="Tahoma"/>
            <family val="2"/>
          </rPr>
          <t xml:space="preserve">
Avance:
- EHCOSPROD-44269 - Desarrollo Tele UCI - Mapa de camas (desarrollo)
- duda escalas en la hoja de evolución
- Daily. 
Backlog:
</t>
        </r>
        <r>
          <rPr>
            <sz val="8"/>
            <color indexed="81"/>
            <rFont val="Tahoma"/>
            <family val="2"/>
          </rPr>
          <t>- EHCOSPROD-44156 - Desarrollo - Pantalla de configuración de alertas en el mapa de camas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</text>
    </comment>
    <comment ref="LQ37" authorId="0" shapeId="0" xr:uid="{00000000-0006-0000-0100-0000CA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EHCOSPROD-44269 - Desarrollo Tele UCI - Mapa de camas (desarrollo) inicio 09/02 fin 19/02
- Daily. </t>
        </r>
        <r>
          <rPr>
            <b/>
            <sz val="8"/>
            <color indexed="81"/>
            <rFont val="Tahoma"/>
            <family val="2"/>
          </rPr>
          <t xml:space="preserve">
Avance:
- EHCOSPROD-44269 - Desarrollo Tele UCI - Mapa de camas (desarrollo)
- Daily. 
Backlog:
</t>
        </r>
        <r>
          <rPr>
            <sz val="8"/>
            <color indexed="81"/>
            <rFont val="Tahoma"/>
            <family val="2"/>
          </rPr>
          <t>- EHCOSPROD-44156 - Desarrollo - Pantalla de configuración de alertas en el mapa de camas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</text>
    </comment>
    <comment ref="LT37" authorId="0" shapeId="0" xr:uid="{00000000-0006-0000-0100-0000CB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EHCOSPROD-44269 - Desarrollo Tele UCI - Mapa de camas (desarrollo) inicio 09/02 fin 19/02
- Daily. </t>
        </r>
        <r>
          <rPr>
            <b/>
            <sz val="8"/>
            <color indexed="81"/>
            <rFont val="Tahoma"/>
            <family val="2"/>
          </rPr>
          <t xml:space="preserve">
Avance:
- EHCOSPROD-44269 - Desarrollo Tele UCI - Mapa de camas (desarrollo) inicio 09/02 fin 19/02
- Daily. 
Backlog:
</t>
        </r>
        <r>
          <rPr>
            <sz val="8"/>
            <color indexed="81"/>
            <rFont val="Tahoma"/>
            <family val="2"/>
          </rPr>
          <t>- EHCOSPROD-44156 - Desarrollo - Pantalla de configuración de alertas en el mapa de camas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</text>
    </comment>
    <comment ref="LU37" authorId="0" shapeId="0" xr:uid="{00000000-0006-0000-0100-0000CC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EHCOSPROD-44269 - Desarrollo Tele UCI - Mapa de camas (desarrollo) inicio 09/02 fin 19/02
- Daily. </t>
        </r>
        <r>
          <rPr>
            <b/>
            <sz val="8"/>
            <color indexed="81"/>
            <rFont val="Tahoma"/>
            <family val="2"/>
          </rPr>
          <t xml:space="preserve">
Avance:
- actualización base de datos
- EHCOSPROD-44269 - Desarrollo Tele UCI - Mapa de camas (desarrollo)
- Daily.
Backlog:
</t>
        </r>
        <r>
          <rPr>
            <sz val="8"/>
            <color indexed="81"/>
            <rFont val="Tahoma"/>
            <family val="2"/>
          </rPr>
          <t>- EHCOSPROD-44156 - Desarrollo - Pantalla de configuración de alertas en el mapa de camas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EHCOSPROD-42205 - Tele UCI - Mapa de camas (desarrollo)
- Correcciones SONAR</t>
        </r>
      </text>
    </comment>
    <comment ref="LV37" authorId="0" shapeId="0" xr:uid="{00000000-0006-0000-0100-0000CD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EHCOSPROD-44269 - Desarrollo Tele UCI - Mapa de camas (desarrollo) inicio 09/02 fin 19/02
- Daily. </t>
        </r>
        <r>
          <rPr>
            <b/>
            <sz val="8"/>
            <color indexed="81"/>
            <rFont val="Tahoma"/>
            <family val="2"/>
          </rPr>
          <t xml:space="preserve">
Avance:
- EHCOSPROD-44269 - Desarrollo Tele UCI - Mapa de camas (desarrollo)
- Daily. 
Backlog:
</t>
        </r>
        <r>
          <rPr>
            <sz val="8"/>
            <color indexed="81"/>
            <rFont val="Tahoma"/>
            <family val="2"/>
          </rPr>
          <t>- EHCOSPROD-44156 - Desarrollo - Pantalla de configuración de alertas en el mapa de camas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Correcciones SONAR</t>
        </r>
      </text>
    </comment>
    <comment ref="LW37" authorId="0" shapeId="0" xr:uid="{00000000-0006-0000-0100-0000CE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EHCOSPROD-44269 - Desarrollo Tele UCI - Mapa de camas (desarrollo) inicio 09/02 fin 22/02
- Daily. </t>
        </r>
        <r>
          <rPr>
            <b/>
            <sz val="8"/>
            <color indexed="81"/>
            <rFont val="Tahoma"/>
            <family val="2"/>
          </rPr>
          <t xml:space="preserve">
Avance:
- EHCOSPROD-44269 - Desarrollo Tele UCI - Mapa de camas (desarrollo)
- Daily. 
Backlog:
</t>
        </r>
        <r>
          <rPr>
            <sz val="8"/>
            <color indexed="81"/>
            <rFont val="Tahoma"/>
            <family val="2"/>
          </rPr>
          <t>- EHCOSPROD-44156 - Desarrollo - Pantalla de configuración de alertas en el mapa de camas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Correcciones SONAR</t>
        </r>
      </text>
    </comment>
    <comment ref="LX37" authorId="0" shapeId="0" xr:uid="{00000000-0006-0000-0100-0000CF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EHCOSPROD-44269 - Desarrollo Tele UCI - Mapa de camas (desarrollo) inicio 09/02 fin 22/02
- Daily. </t>
        </r>
        <r>
          <rPr>
            <b/>
            <sz val="8"/>
            <color indexed="81"/>
            <rFont val="Tahoma"/>
            <family val="2"/>
          </rPr>
          <t xml:space="preserve">
Avance:
- EHCOSPROD-44269 - Desarrollo Tele UCI - Mapa de camas (desarrollo)
- Daily.
Backlog:
</t>
        </r>
        <r>
          <rPr>
            <sz val="8"/>
            <color indexed="81"/>
            <rFont val="Tahoma"/>
            <family val="2"/>
          </rPr>
          <t>- EHCOSPROD-44156 - Desarrollo - Pantalla de configuración de alertas en el mapa de camas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Correcciones SONAR</t>
        </r>
      </text>
    </comment>
    <comment ref="MA37" authorId="0" shapeId="0" xr:uid="{00000000-0006-0000-0100-0000D0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EHCOSPROD-44269 - Desarrollo Tele UCI - Mapa de camas (desarrollo) inicio 09/02 fin 22/02
- EHCOSPROD-44056 / EHCOSPROD-44281 - Desarrollo: Tele UCI - Configuración de accesos
- Daily. </t>
        </r>
        <r>
          <rPr>
            <b/>
            <sz val="8"/>
            <color indexed="81"/>
            <rFont val="Tahoma"/>
            <family val="2"/>
          </rPr>
          <t xml:space="preserve">
Avance:
Desarrollo mapa de camas teleuci, pruebas iniciales filtros de busqueda e inicio plan de pruiebas, se realizara un despliegue el dia 24
Backlog:
</t>
        </r>
        <r>
          <rPr>
            <sz val="8"/>
            <color indexed="81"/>
            <rFont val="Tahoma"/>
            <family val="2"/>
          </rPr>
          <t>- EHCOSPROD-44156 - Desarrollo - Pantalla de configuración de alertas en el mapa de camas (desarrollo)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Correcciones SONAR</t>
        </r>
      </text>
    </comment>
    <comment ref="MB37" authorId="0" shapeId="0" xr:uid="{00000000-0006-0000-0100-0000D1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EHCOSPROD-44269 - Desarrollo Tele UCI - Mapa de camas (desarrollo) inicio 09/02 fin 23/02
- EHCOSPROD-43240 / EHCOSPROD-44156 - Desarrollo - Pantalla de configuración de alertas en el mapa de camas (desarrollo) inicio 24/02, fin 08/03
- Daily. </t>
        </r>
        <r>
          <rPr>
            <b/>
            <sz val="8"/>
            <color indexed="81"/>
            <rFont val="Tahoma"/>
            <family val="2"/>
          </rPr>
          <t xml:space="preserve">
Avance:
- EHCOSPROD-44269 - Desarrollo Tele UCI - Mapa de camas (desarrollo) inicio 09/02 fin 23/02
- Daily. 
Backlog:
</t>
        </r>
        <r>
          <rPr>
            <sz val="8"/>
            <color indexed="81"/>
            <rFont val="Tahoma"/>
            <family val="2"/>
          </rPr>
          <t>- EHCOSPROD-44056 / EHCOSPROD-44281 - Desarrollo: Tele UCI - Configuración de accesos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Correcciones SONAR</t>
        </r>
      </text>
    </comment>
    <comment ref="MC37" authorId="0" shapeId="0" xr:uid="{00000000-0006-0000-0100-0000D2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EHCOSPROD-44269 - Desarrollo Tele UCI - Mapa de camas (desarrollo) inicio 09/02 fin 23/02
- EHCOSPROD-43240 / EHCOSPROD-44156 - Desarrollo - Pantalla de configuración de alertas en el mapa de camas (desarrollo) inicio 24/02, fin 08/03
- Daily. 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EHCOSPROD-44056 / EHCOSPROD-44281 - Desarrollo: Tele UCI - Configuración de accesos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Correcciones SONAR</t>
        </r>
      </text>
    </comment>
    <comment ref="MD37" authorId="0" shapeId="0" xr:uid="{00000000-0006-0000-0100-0000D3040000}">
      <text>
        <r>
          <rPr>
            <b/>
            <sz val="8"/>
            <color indexed="81"/>
            <rFont val="Tahoma"/>
            <family val="2"/>
          </rPr>
          <t xml:space="preserve">Tareas planificadas:
</t>
        </r>
        <r>
          <rPr>
            <sz val="8"/>
            <color indexed="81"/>
            <rFont val="Tahoma"/>
            <family val="2"/>
          </rPr>
          <t xml:space="preserve">- EHCOSPROD-44269 - Desarrollo Tele UCI - Mapa de camas (desarrollo) inicio 09/02 fin 25/02
- EHCOSPROD-43240 / EHCOSPROD-44156 - Desarrollo - Pantalla de configuración de alertas en el mapa de camas (lectura documentación, preparar entorno, desarrollo) inicio 26/02, fin 08/03
- Daily. </t>
        </r>
        <r>
          <rPr>
            <b/>
            <sz val="8"/>
            <color indexed="81"/>
            <rFont val="Tahoma"/>
            <family val="2"/>
          </rPr>
          <t xml:space="preserve">
Avance:
Backlog:
</t>
        </r>
        <r>
          <rPr>
            <sz val="8"/>
            <color indexed="81"/>
            <rFont val="Tahoma"/>
            <family val="2"/>
          </rPr>
          <t>- EHCOSPROD-44056 / EHCOSPROD-44281 - Desarrollo: Tele UCI - Configuración de accesos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- EHCOSPROD-43247 - Añadir funcionalidad al icono Información del mapa de camas (desarrollo pausado)
- Correcciones SONAR</t>
        </r>
      </text>
    </comment>
    <comment ref="ME37" authorId="0" shapeId="0" xr:uid="{00000000-0006-0000-0100-0000D4040000}">
      <text>
        <r>
          <rPr>
            <sz val="11"/>
            <color rgb="FF000000"/>
            <rFont val="Calibri"/>
            <family val="2"/>
          </rPr>
          <t>Tareas planificadas:
- EHCOSPROD-43240 / EHCOSPROD-44156 - Desarrollo - Pantalla de configuración de alertas en el mapa de camas (lectura documentación, preparar entorno, desarrollo) inicio 26/02, fin 08/03
- Daily. 
Avance:
Ejecución plan de pruebas
Backlog:
- EHCOSPROD-44056 / EHCOSPROD-44281 - Desarrollo: Tele UCI - Configuración de accesos
- EHCOSPROD-43247 - Añadir funcionalidad al icono Información del mapa de camas (desarrollo pausado)</t>
        </r>
      </text>
    </comment>
    <comment ref="MH37" authorId="0" shapeId="0" xr:uid="{00000000-0006-0000-0100-0000D5040000}">
      <text>
        <r>
          <rPr>
            <sz val="11"/>
            <color rgb="FF000000"/>
            <rFont val="Calibri"/>
            <family val="2"/>
          </rPr>
          <t>Tareas planificadas:
- EHCOSPROD-43240 / EHCOSPROD-44156 - Desarrollo - Pantalla de configuración de alertas en el mapa de camas (lectura documentación, preparar entorno, desarrollo) inicio 26/02, fin 08/03
- Daily. 
- pruebas entorno 119
Avance:
Backlog:
- EHCOSPROD-44056 / EHCOSPROD-44281 - Desarrollo: Tele UCI - Configuración de accesos
- EHCOSPROD-43247 - Añadir funcionalidad al icono Información del mapa de camas (desarrollo pausado)</t>
        </r>
      </text>
    </comment>
    <comment ref="MI37" authorId="0" shapeId="0" xr:uid="{00000000-0006-0000-0100-0000D6040000}">
      <text>
        <r>
          <rPr>
            <sz val="11"/>
            <color rgb="FF000000"/>
            <rFont val="Calibri"/>
            <family val="2"/>
          </rPr>
          <t>Tareas planificadas:
- EHCOSPROD-43240 / EHCOSPROD-44156 - Desarrollo - Pantalla de configuración de alertas en el mapa de camas (lectura documentación, preparar entorno, desarrollo) inicio 26/02, fin 08/03
- Daily. 
- pruebas entorno 119
Avance:
Resolucion de incidencias
Backlog:
- EHCOSPROD-43247 - Añadir funcionalidad al icono Información del mapa de camas</t>
        </r>
      </text>
    </comment>
    <comment ref="MJ37" authorId="0" shapeId="0" xr:uid="{00000000-0006-0000-0100-0000D7040000}">
      <text>
        <r>
          <rPr>
            <sz val="11"/>
            <color rgb="FF000000"/>
            <rFont val="Calibri"/>
            <family val="2"/>
          </rPr>
          <t>Tareas planificadas:
-EHCOSPROD-44949, EHCOSPROD-44968
- Daily. 
- pruebas entorno 119
Avance:
Resolución de incidencias
Backlog:
- EHCOSPROD-43247 - Añadir funcionalidad al icono Información del mapa de camas</t>
        </r>
      </text>
    </comment>
    <comment ref="MK37" authorId="0" shapeId="0" xr:uid="{00000000-0006-0000-0100-0000D8040000}">
      <text>
        <r>
          <rPr>
            <b/>
            <sz val="11"/>
            <color rgb="FF000000"/>
            <rFont val="Calibri"/>
            <family val="2"/>
          </rPr>
          <t>Tareas planificadas:</t>
        </r>
        <r>
          <rPr>
            <sz val="11"/>
            <color rgb="FF000000"/>
            <rFont val="Calibri"/>
            <family val="2"/>
          </rPr>
          <t xml:space="preserve">
- cerrar tareas pendientes, traspaso de conocimientos
</t>
        </r>
        <r>
          <rPr>
            <b/>
            <sz val="11"/>
            <color rgb="FF000000"/>
            <rFont val="Calibri"/>
            <family val="2"/>
          </rPr>
          <t>Avance: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b/>
            <sz val="11"/>
            <color rgb="FF000000"/>
            <rFont val="Calibri"/>
            <family val="2"/>
          </rPr>
          <t>Backlog: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ML37" authorId="183" shapeId="0" xr:uid="{00000000-0006-0000-0100-0000D904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Salida del equipo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Roberto Galvan Mena</author>
    <author>tc={9BE4F379-9C1E-43AD-B0B4-B6A161B8FCB8}</author>
    <author>tc={94EC47D9-DDC9-4024-A5E8-10ED8E2CC652}</author>
    <author>tc={E53A04E9-2369-4E92-8BDB-58D7B381613F}</author>
    <author>tc={1DC29C6A-A365-4916-8DFA-FE4B3DA78313}</author>
    <author>tc={1E38AAFC-1BB0-47CA-9BA9-8A69BB13F8B5}</author>
    <author>tc={6A56B386-D78A-461C-BFEA-6B79748F3577}</author>
    <author>tc={238ABB19-C7A9-4C94-B11E-C28C3907BBFF}</author>
    <author>tc={874D28BD-B48D-4F54-A47D-6246C1AEF9B1}</author>
    <author>tc={22CE58B1-07D3-421E-BAF0-DF315B59BD34}</author>
    <author>tc={5AE1F35D-CF08-49D2-9BFE-94E85CA6A351}</author>
    <author>tc={A9C375EE-1E62-4353-BD7C-7958B1FA76C3}</author>
    <author>tc={91A2F85B-9E75-41A1-BA2C-A49FC708D208}</author>
    <author>tc={460F38F4-DF7A-4CDD-9B66-CBF3435EFAB8}</author>
    <author>tc={3474D69F-E62D-4387-87D0-E6ECF44E56F3}</author>
    <author>tc={5B183AB2-F94D-426E-A309-5FF758E7104C}</author>
    <author>tc={1A56565A-FFFF-4DF5-87E8-A66DB86A6777}</author>
    <author>tc={8E46C4ED-121B-4CA3-89B6-65342E1867F0}</author>
    <author>tc={69C359F0-C3A1-48A9-9ACF-FA5DA4462358}</author>
    <author>tc={343AFF8A-D2BF-4986-B04F-CE40BB9D07E0}</author>
    <author>tc={AC1E49DE-C2D5-4D1F-ADEB-FD67C262DD0C}</author>
    <author>tc={8B1A2211-04A6-4314-B26E-9EDE03556159}</author>
    <author>tc={FD7E5DB4-FAE6-4085-AF81-659C2077D7D6}</author>
    <author>tc={43F0B796-A06C-4E2D-85C0-B8AF23AFC11D}</author>
    <author>tc={ABB861FF-772D-4187-A474-D5590ADA7B60}</author>
    <author>tc={A8C113A6-C906-41EB-8CB6-0AD052CC8716}</author>
    <author>tc={254EEF03-278C-459D-B81A-289FE971E40A}</author>
    <author>tc={0022E4B0-5919-4836-B8C0-9AFFEF5471CF}</author>
    <author>tc={5B8ECF89-2CC9-4533-8076-623A19DF4707}</author>
    <author>tc={51D3D1AC-6321-45E8-B3CC-F25D3CE0D912}</author>
    <author>tc={40247B8C-E088-4CB8-90DA-245EC22152BD}</author>
    <author>tc={5B5A82F2-F561-4D57-9F69-99BA82C894FC}</author>
    <author>tc={A3A90C5F-A175-448E-8FB6-6522168BDE6B}</author>
    <author>tc={4181A1BA-E555-4047-A446-FC839C1AA03D}</author>
    <author>tc={15FE8F0B-3C73-4C53-81B5-55643FBC221D}</author>
    <author>tc={5E105016-8B7C-4032-96EA-7D7704A2024E}</author>
    <author>tc={BDB43A00-2B5E-47F5-AAAB-A448718202CD}</author>
    <author>tc={40CFD274-C703-4D11-9B9E-935CF644A3E0}</author>
    <author>tc={A7E35DD9-89CE-4542-BB23-1CC6F0DCA42A}</author>
    <author>tc={792619DD-E725-4C77-916A-486EF556BA5C}</author>
    <author>tc={1A9B1D8A-078B-41EC-B966-7B814EF6D3F1}</author>
    <author>tc={FEA0C6D2-E83A-445C-9525-4C63C681E0D4}</author>
    <author>tc={3DC9C281-D244-4B16-BF59-7FFEF630C39B}</author>
    <author>tc={5DECED69-AAA4-4F98-B555-54FC0002F09A}</author>
    <author>tc={7C3710CA-CECF-4012-9F41-BC2A0F3F5688}</author>
    <author>tc={E16491E3-B8CD-4181-8401-F06C9D3AE416}</author>
    <author>tc={37A79EAD-BD85-404B-B983-0B825718DED7}</author>
    <author>tc={586086AB-AB5A-4CD5-BFFA-C6B41B9900E0}</author>
    <author>tc={20F56D5F-B784-49A5-9B38-E95389C71829}</author>
    <author>tc={2376A28A-B21C-44BD-9093-F45F2D030E71}</author>
    <author>tc={836AD6BA-AF20-45BD-BB87-FDB9440408C0}</author>
    <author>tc={9E7A2E87-206E-4604-A5CB-1AC791BFCDF3}</author>
    <author>tc={6CB3BEAC-ADE9-4474-92D0-FF698375FDB9}</author>
    <author>tc={C13E3969-CA0A-4BFD-990C-8034C7F534CE}</author>
    <author>tc={3D2271AD-54D9-43E9-BAD3-9CEAEEF35C52}</author>
    <author>tc={C290024B-0AF3-4521-989B-E8156B06DDF6}</author>
    <author>tc={F42FDE61-D20C-4BE3-B140-AF75D4F9277D}</author>
    <author>tc={FA28BF03-EC5D-4242-82FD-0B946B027914}</author>
    <author>tc={603B43EA-AFE5-4544-92B1-ED16105BD14C}</author>
    <author>tc={0CE2B4D0-A51F-4D95-A95F-8617C4EB7C2F}</author>
    <author>tc={BB21E420-726C-43DA-ABF9-A5172BE507A8}</author>
    <author>tc={44348D2B-05B4-4E9B-8BBD-FF8CA36540FD}</author>
    <author>tc={E5443FFC-0A5E-47D8-A3A0-7875FC29C802}</author>
    <author>tc={3D83542A-F23F-41FE-9CFC-69E6B1309871}</author>
    <author>tc={F104B072-D58B-4E0A-B201-778D9A9F7CCA}</author>
    <author>tc={9F96DD1F-4E94-4E35-AC49-E06F87BCFB1A}</author>
    <author>tc={9AFCB831-8A6C-422C-939C-0F3024569E67}</author>
    <author>tc={E26EE7EA-3C54-45AC-A470-9A2AC01BB4A2}</author>
    <author>tc={D5067BBD-5951-4FE9-B0A0-C0A0A50623B8}</author>
    <author>tc={89DFC10F-09C1-4063-A158-CE69947747A2}</author>
    <author>tc={0B68FBC9-B8C2-465B-B41B-816FFF3BAABC}</author>
    <author>tc={C0B5378D-9A67-4C21-8DD9-26B92C20FED2}</author>
    <author>tc={4618B023-7655-4C55-811F-EE9ADFC27529}</author>
    <author>tc={628D9818-BBC3-49D4-A983-F17D0746B703}</author>
    <author>tc={AA08FCC3-ADD6-4A5E-A9EE-84CE1BE129B3}</author>
    <author>tc={D8E9E8FE-FA07-4EF0-B02D-EA6EA58EB3C1}</author>
    <author>tc={20C53D23-6D6D-49EA-B12E-6A7A301C1A11}</author>
    <author>tc={0CA7EB3D-530C-4F68-A99D-C5F8399F1F44}</author>
    <author>tc={A35014AD-78F5-4EDE-847C-65CBABB493ED}</author>
    <author>tc={831B3A32-136A-4A0F-8016-8464D5E65401}</author>
    <author>tc={05EA63BF-F606-436F-8023-7235A9D7A5B2}</author>
    <author>tc={737760DE-A2A3-4512-A87F-30DCEA882919}</author>
    <author>tc={567F0B91-62A8-409E-80FA-4584C97AF55A}</author>
    <author>tc={E56DCEA2-F84C-4C6F-9D15-13AB95F82358}</author>
    <author>tc={5367CE38-EDC5-46FA-BAB8-1AC165234630}</author>
    <author>tc={5A6A2499-CA7B-4A23-9C55-646CE9C91619}</author>
    <author>tc={D712D1D1-724C-44C3-9B38-BD79819F9805}</author>
    <author>tc={973F9035-8241-41DE-B74A-FACB6BD3CCAB}</author>
    <author>tc={EDEDB25B-7C61-424C-A0F7-CB0946ED0F54}</author>
    <author>tc={28AE9D90-B41F-45CC-99F1-0E114BEB975B}</author>
    <author>tc={F2AA2C60-AFCD-420A-8D5D-8C8A79C27276}</author>
    <author>tc={41E0B457-BA91-4A17-93AF-EF87555FF488}</author>
    <author>tc={3EBC7205-213B-4140-900A-9CBBF2A44811}</author>
    <author>tc={08C51ACD-14DE-49F5-A566-5A674F562ECB}</author>
    <author>tc={07AFC4A3-6945-4D63-BF33-20CC235475D7}</author>
    <author>tc={DA032197-E788-4DE5-BAA7-7408F4E09F23}</author>
    <author>tc={A4BD6463-D090-4B88-A078-DA0D80C22DA1}</author>
    <author>tc={2B38BFD8-8389-4F3C-86FA-AD27823559CC}</author>
    <author>tc={2311B6C2-2763-4D3B-BFD6-5EBF030413D2}</author>
    <author>tc={4DD1A556-A9F8-45E6-BF7A-3C50AC54844C}</author>
    <author>tc={081B2D17-112A-4B89-ADB4-CE8A7C2A364C}</author>
    <author>tc={042530EE-6298-4A77-B4EF-A3CD6B67AA71}</author>
    <author>tc={167ED861-CA0E-46CC-9338-A711FA7A67CD}</author>
    <author>tc={D5180557-AB8A-4A76-97A9-49C0AA51D40A}</author>
    <author>tc={580D0785-800B-4B8D-8C5E-1C4275C2EF75}</author>
    <author>tc={1122048A-9697-4EA2-8B6E-4A3294D99B00}</author>
    <author>tc={79F79EBF-D8EE-41D4-8CA8-E8B8A0B9A3D5}</author>
    <author>tc={EBD9C7ED-A111-4DBB-B589-8F89DA0DA3FE}</author>
    <author>tc={6A1B5160-C069-4C70-9F43-721CD7C2A9B3}</author>
    <author>tc={44540EAC-4EC3-48EC-A61A-0C611FE47E6B}</author>
    <author>tc={0239F721-0D9B-47F5-B784-F5B353F2ABDB}</author>
    <author>tc={59C085D6-C438-4A6D-BF27-DB3404BFB63E}</author>
    <author>tc={C3869DCE-5345-4FFA-BDEB-D86A58BCAB35}</author>
    <author>tc={B37701E4-FB75-4D88-B6AB-01BF5AB0E8FB}</author>
    <author>tc={FA505516-A0A2-48D6-B85E-F43B9E50D622}</author>
    <author>tc={011CEB7E-47E8-4463-9DA4-D777E6B285CE}</author>
    <author>tc={7ABAA6C8-6A39-4C6A-B533-619A97770BCC}</author>
    <author>tc={93AF157C-CB27-4443-BA2D-AA02EE01D5D2}</author>
    <author>tc={4E7B5B4B-2B74-495B-B016-64727AB05145}</author>
    <author>tc={398A0B69-676D-458B-AD84-D15F9017D74F}</author>
    <author>tc={54CB2A48-095E-4C87-8815-B3F740138D1A}</author>
    <author>tc={08E19DEE-8594-4B13-BA6C-94104E98ADE6}</author>
    <author>tc={FEE68A68-4CD2-49DE-81E2-561809130F7C}</author>
    <author>tc={1A41CA01-7EC5-47E6-A781-A9EF77E9D688}</author>
    <author>tc={00F8F942-F271-4C05-8AE4-3A15EBAE3184}</author>
    <author>tc={5BFA83B1-9B08-443E-944D-D7C2ED5F4335}</author>
    <author>tc={D9D27F8F-4553-43A1-A1AD-6521412D9A53}</author>
    <author>tc={DB0DB6E7-700A-4D77-A08F-78776F9B8585}</author>
    <author>tc={EF799417-E0DB-4C8D-BCF4-7EF7AC1D16D7}</author>
    <author>tc={A3DB8740-5292-4EE4-BE03-768945540344}</author>
    <author>tc={39D1CB9A-4704-49BF-B98B-7653FF9B80DB}</author>
    <author>tc={AE9BD549-EEEE-4B49-8DDE-81735361599B}</author>
    <author>tc={93783773-83BD-4E71-80C4-3C02D5451103}</author>
    <author>tc={5A9A3C9E-A15B-4D6D-BC13-4ED3AC0EC8FA}</author>
    <author>tc={868B54CD-83E8-4B75-B3AE-37E8BACCBD49}</author>
    <author>tc={FCD1C621-025B-49EA-A3E0-B25F387ECB2B}</author>
    <author>tc={2707F584-4EB2-4C21-8F93-8AA87A191BA3}</author>
    <author>tc={17006A0B-8D58-4127-BC4F-5D7FBF1FC928}</author>
    <author>tc={567425D0-F837-41D5-BE64-1E808D60BF9D}</author>
    <author>tc={FF8171CC-ADA3-4CAD-85C0-95742A2F9001}</author>
    <author>tc={7BA22013-16C7-47AA-9662-CF6926F9E8CF}</author>
    <author>tc={EF5D222B-CE57-477C-8B58-364E3C914A1D}</author>
    <author>tc={BA84B753-E561-41A2-8590-A244E272DC49}</author>
    <author>tc={F3F19B07-A532-4D86-BA45-D1FF3F93CACE}</author>
    <author>tc={51ADA62F-DE32-4EAD-8558-37CC16DE3BA9}</author>
    <author>tc={43D55FB0-88C3-4C02-8B08-40E3F8A2C9D0}</author>
    <author>tc={51632C08-F43C-4C86-B422-3B4153BA8EDF}</author>
    <author>tc={945FB730-01D2-49FF-8FED-CD8B182FE6AD}</author>
    <author>tc={38F87991-FB23-418B-9D80-B8DA36C30DB8}</author>
    <author>tc={998BA3A0-86DB-4C88-A84D-55BC7575B368}</author>
    <author>tc={26095019-B9A1-455C-8C5B-C5B655970754}</author>
    <author>tc={8F747919-572C-49FE-AF19-3E670083E086}</author>
    <author>tc={343248E5-0F9D-4C8F-9D86-5846FB949931}</author>
    <author>tc={FA37DFE1-7E89-4141-B141-E9B3C88A4E01}</author>
    <author>tc={72432014-E14D-4964-A31D-208E8B9A64D4}</author>
    <author>tc={97C9F0A4-7F0E-4BCA-837A-2ED3FA2BECA6}</author>
    <author>tc={90E76494-A66A-45DF-AD7A-056FD5E466F5}</author>
    <author>tc={C49ED3AB-8643-4FCE-A7A8-AAB611EFC637}</author>
    <author>tc={D453F757-A6DB-4EAC-9A89-5E40718923C4}</author>
    <author>tc={98A4A814-E0E4-48BC-8CC8-22DA800F0BC2}</author>
    <author>tc={F7852715-18D4-4897-945F-1A49302C3FE9}</author>
    <author>tc={D6F589D2-2F3F-4C2A-B040-E849564814DC}</author>
    <author>tc={D9EDDADF-E4D2-4A65-9CDE-52552EB0E308}</author>
    <author>tc={55B0305F-D47D-4CF4-A15E-7F784F64EEF3}</author>
    <author>tc={FCB871B0-8C8E-4719-B8EC-E7A32EC552A4}</author>
    <author>tc={41BC8CF4-34B4-4D1A-82D0-28003B36EE4A}</author>
    <author>tc={A970B651-868B-4FF6-AD52-AD30784B4534}</author>
    <author>tc={626CEC62-7FF2-4923-B665-3EBD8ADEC40D}</author>
    <author>tc={AFC71BD6-DEB9-4749-A0DE-44702DFD97A0}</author>
    <author>tc={813E4094-1437-4E14-AB34-E1A13445C411}</author>
    <author>tc={3578A84E-B916-4236-BD69-1D5969BF70C2}</author>
    <author>tc={64487E26-7EB8-44D5-94EB-15DBFE2ED4BC}</author>
    <author>tc={6105B2D0-7EF9-4D38-9211-DA9680AEB882}</author>
    <author>tc={047AE3F1-B2B9-426C-B80A-FBE460B09515}</author>
    <author>tc={733B17D9-A14F-44C2-BC75-4A7060768099}</author>
    <author>tc={A373C851-A712-4131-B717-481BD357C7FB}</author>
    <author>tc={2118FA03-911E-49A9-B8BA-35B3C1E5315D}</author>
    <author>tc={A8B092A2-4A3D-4497-BE33-3E8E579831C5}</author>
    <author>tc={4774DD5D-5054-4804-93A7-AD4AAE9EEEB3}</author>
    <author>tc={8AC3EBE0-D827-45AC-A3B5-B690815C7D38}</author>
    <author>tc={62C34E72-4ABB-4575-94F6-B5D2F64C6ED3}</author>
    <author>tc={93ECD306-846C-4B36-8CA0-7A59CB4775D9}</author>
    <author>tc={297D0B6B-D64A-4BCB-85E5-43F46EC4E65A}</author>
    <author>tc={25196DBB-A831-47F5-866A-C0F433AF4999}</author>
    <author>tc={8B2E206F-659D-472C-AD66-8E371AC5224A}</author>
    <author>tc={25AAE538-C541-40FD-9339-9CA4E46D62B5}</author>
    <author>tc={95D9EE36-3705-4B57-8360-D37BACA046CA}</author>
    <author>tc={D2418E64-2249-4B3F-92B9-C1B600B2FBA8}</author>
    <author>tc={D2EEC561-7564-4453-9784-781D931B1A25}</author>
    <author>tc={ADBB78EC-555A-4044-8C75-370F1A2E055C}</author>
    <author>tc={C94650E4-6856-467F-94AC-72EA0B406E01}</author>
    <author>tc={D99ACD53-34A6-4DB3-97D7-237912D8F16B}</author>
    <author>tc={E7FFB3DB-20CC-4FC7-BFC5-C68873D044E0}</author>
    <author>tc={E07251B5-1E3E-4AA2-A8AB-FF2061D748B0}</author>
    <author>tc={B2047231-9B47-448E-93E6-5612F4D49D57}</author>
    <author>tc={A926531E-C198-4F0B-AB8C-80895FC71C8C}</author>
    <author>tc={E3833FCD-06B0-4E08-BD27-CA2BE21F1531}</author>
    <author>tc={50E9C6D3-BD7D-433D-BF7F-AAE7F4673F3F}</author>
    <author>tc={D4D04416-0FA4-4ACB-BABD-5B70CD40CFE1}</author>
    <author>tc={FD2A5D6D-A54D-4B33-8771-2ABE8B61F8E8}</author>
    <author>tc={C7B65A5D-6B33-42C8-87E1-E6EAED08419C}</author>
    <author>tc={9E641378-BA8F-490E-9C61-AD9A6BB63CCC}</author>
    <author>tc={5EF0C17E-896A-4081-B90F-C07E67823774}</author>
    <author>tc={223FC48E-9541-42C6-A5EA-CE5C25CD36D0}</author>
    <author>tc={B933F918-ED4C-41BA-95B5-025639FAF451}</author>
    <author>tc={AC5DA78A-609F-4605-86AD-2AB7E6B0C104}</author>
    <author>tc={ACCF1F73-8CF9-420F-BCD3-E229190C3C55}</author>
    <author>tc={8780F487-C400-4D90-BC3F-B61F5C14F312}</author>
    <author>tc={A3AE92E5-42CE-4894-A370-9CC562875014}</author>
    <author>tc={23D50C3B-6C7F-412C-86F9-04BF47271705}</author>
    <author>tc={B995AC09-40DB-4E7A-A6CD-1D90833C65A3}</author>
    <author>tc={F0B6AA10-36AF-4A24-9F75-63E0CC9F73C4}</author>
    <author>tc={1EC35338-E41E-4017-BB97-EFEB200412D3}</author>
    <author>tc={2D6F14EE-CEA5-47F6-A3CC-93542BED9EE8}</author>
    <author>tc={D5730D8C-EEBB-4095-B336-092AE9F9DA6C}</author>
    <author>tc={52258FB8-2A32-402D-B261-6E4A2CA5F5D5}</author>
    <author>tc={22DE9141-0F91-42AB-A91D-AF16D0DB9BA8}</author>
    <author>tc={E8A6E2EF-3520-4A81-BB24-7D9BAB18C43C}</author>
    <author>tc={8995E464-DA8F-4DF6-B3B3-50207C0001A8}</author>
    <author>tc={B334C446-4268-4017-80C7-49DAC32DCC7D}</author>
    <author>tc={83266182-E360-4950-A2EA-7AF5BA363FBB}</author>
    <author>tc={E90362A7-1ED2-4F93-8F1F-E7636709A00B}</author>
    <author>tc={6EAC2F30-5B8D-44D4-9239-6A003E2FC5D4}</author>
    <author>tc={61624489-8043-49C0-A3C9-C9F6243EC1BB}</author>
    <author>tc={C9F8833B-BA9A-48F5-9936-AF714825C223}</author>
    <author>tc={0AC90B90-BC17-4EB0-BD68-FF4904964121}</author>
    <author>tc={21CB310C-60F0-4DED-B5F3-E9704E98F442}</author>
    <author>tc={9D867D0E-A387-40B7-A9F4-65EB48A9DE86}</author>
    <author>tc={A984B942-B6A0-46C4-95E3-CFD855189BEC}</author>
    <author>tc={AE0F2325-1565-4CF6-9E8F-4B105C9E7491}</author>
    <author>tc={5B89D3A4-2258-488B-97A9-03AF21BC69AC}</author>
    <author>tc={037FD1E6-92EB-4E96-9F41-2BB146BDE047}</author>
    <author>tc={7CB4D25E-7399-4459-8FA0-67B0CB5CE91A}</author>
    <author>tc={274CD180-AC63-417C-98D9-2B7027A427B6}</author>
    <author>tc={FD33FE2C-4AC6-4EC7-8375-7066AA5D5684}</author>
    <author>tc={0133F64C-3482-456E-9688-898ADE5BEF29}</author>
    <author>tc={B34F56CD-967A-44E9-AE6F-597577D42B38}</author>
    <author>tc={FB1F8604-0767-414C-9C84-861042D4732B}</author>
    <author>tc={E4C2FB5A-12E0-4E97-B969-1C1255BDA821}</author>
    <author>tc={5740CF05-2CD6-4E3C-9756-87946DD26489}</author>
    <author>tc={A9AB8843-7C49-4D6D-95C8-029AFAC1068F}</author>
    <author>tc={0C909A4E-5FD7-4B4C-913E-6A971BBEF332}</author>
    <author>tc={AA5F8BCC-6924-488C-BD44-AD4711C04D68}</author>
    <author>tc={B3959DF4-DCCD-4CED-82E1-6F36530DD618}</author>
    <author>tc={479E9F25-C860-4461-92D2-81F5146A8F88}</author>
    <author>tc={BDD4C9B6-D3BE-4CA9-AFE3-FA4D829B1602}</author>
    <author>tc={237C17D7-905E-4D1C-AAB0-3AA73E30157D}</author>
    <author>tc={B028E302-EDBD-4412-9C87-BF01C055CCB0}</author>
    <author>tc={922570D7-5809-4631-A011-25096302B214}</author>
    <author>tc={17402051-C6FF-44EB-B01A-52F720E802D7}</author>
    <author>tc={FEDBD289-7077-4483-BCFF-7EF0C0379368}</author>
  </authors>
  <commentList>
    <comment ref="M7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Festivo España y Temuco</t>
        </r>
      </text>
    </comment>
    <comment ref="P7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festivo en la comunidad valenciana</t>
        </r>
      </text>
    </comment>
    <comment ref="W7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festivo en Valencia</t>
        </r>
      </text>
    </comment>
    <comment ref="BJ7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>Festivo en Temuco</t>
        </r>
      </text>
    </comment>
    <comment ref="CO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Festivo en Temuco</t>
        </r>
      </text>
    </comment>
    <comment ref="CR7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>festivo en la comunidad valenciana (recuperable, validar con el proyecto)</t>
        </r>
      </text>
    </comment>
    <comment ref="CV7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Festivo en Temuco</t>
        </r>
      </text>
    </comment>
    <comment ref="DN7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Festivo en Temuco</t>
        </r>
      </text>
    </comment>
    <comment ref="FY7" authorId="0" shapeId="0" xr:uid="{00000000-0006-0000-0200-000009000000}">
      <text>
        <r>
          <rPr>
            <b/>
            <sz val="8"/>
            <color indexed="81"/>
            <rFont val="Tahoma"/>
            <family val="2"/>
          </rPr>
          <t>Festivo en Temuco</t>
        </r>
      </text>
    </comment>
    <comment ref="GW7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>Festivo en Temuco</t>
        </r>
      </text>
    </comment>
    <comment ref="GX7" authorId="1" shapeId="0" xr:uid="{00000000-0006-0000-02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Festivo en España</t>
      </text>
    </comment>
    <comment ref="HR7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>festivo en España y Temuco</t>
        </r>
      </text>
    </comment>
    <comment ref="JA7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>Festivo en España</t>
        </r>
      </text>
    </comment>
    <comment ref="JC7" authorId="0" shapeId="0" xr:uid="{00000000-0006-0000-0200-00000E000000}">
      <text>
        <r>
          <rPr>
            <b/>
            <sz val="8"/>
            <color indexed="81"/>
            <rFont val="Tahoma"/>
            <family val="2"/>
          </rPr>
          <t xml:space="preserve">Festivo en España y Temuco
</t>
        </r>
      </text>
    </comment>
    <comment ref="JS7" authorId="0" shapeId="0" xr:uid="{00000000-0006-0000-0200-00000F000000}">
      <text>
        <r>
          <rPr>
            <b/>
            <sz val="8"/>
            <color indexed="81"/>
            <rFont val="Tahoma"/>
            <family val="2"/>
          </rPr>
          <t>Festivo en España</t>
        </r>
      </text>
    </comment>
    <comment ref="JZ7" authorId="0" shapeId="0" xr:uid="{00000000-0006-0000-0200-000010000000}">
      <text>
        <r>
          <rPr>
            <b/>
            <sz val="8"/>
            <color indexed="81"/>
            <rFont val="Tahoma"/>
            <family val="2"/>
          </rPr>
          <t>Festivo en España
Temuco trabaja medio día</t>
        </r>
      </text>
    </comment>
    <comment ref="KF7" authorId="0" shapeId="0" xr:uid="{00000000-0006-0000-0200-000011000000}">
      <text>
        <r>
          <rPr>
            <b/>
            <sz val="8"/>
            <color indexed="81"/>
            <rFont val="Tahoma"/>
            <family val="2"/>
          </rPr>
          <t>Festivo en España</t>
        </r>
      </text>
    </comment>
    <comment ref="LE7" authorId="2" shapeId="0" xr:uid="{00000000-0006-0000-02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Festivo ZGZ</t>
      </text>
    </comment>
    <comment ref="MH7" authorId="3" shapeId="0" xr:uid="{00000000-0006-0000-02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Festivo Portugal</t>
      </text>
    </comment>
    <comment ref="MN7" authorId="4" shapeId="0" xr:uid="{00000000-0006-0000-02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Festivo ZGZ</t>
      </text>
    </comment>
    <comment ref="E8" authorId="0" shapeId="0" xr:uid="{00000000-0006-0000-0200-000015000000}">
      <text>
        <r>
          <rPr>
            <b/>
            <sz val="8"/>
            <color indexed="81"/>
            <rFont val="Tahoma"/>
            <family val="2"/>
          </rPr>
          <t>Pendiente ajustar con el resultado del año 2020, por si alguien ya consumió dias del 2021 en los primeros meses</t>
        </r>
      </text>
    </comment>
    <comment ref="P9" authorId="5" shapeId="0" xr:uid="{00000000-0006-0000-02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[EHCOSPROD-42281] Configuración de idiomas por entidad 
- v2.5: [EHCOSPROD-40837] Añadir posibilidad de mantener más de 3 idiomas por instalación 
Backlog:
- Nuevo JIRA - Similar a 42281 para configurar idiomas de Frases del dia
- instalacion de oracle 12
- instalación de postgres11
- Soporte nuevo compañero
Reply:
    Avance:
-----------------------------------
- v2.5: [EHCOSPROD-42281] Configuración de idiomas por entidad 
&gt; avanzando con dudas
- v2.5: [EHCOSPROD-40837] Añadir posibilidad de mantener más de 3 idiomas por instalación 
&gt; avanzando con dudas
&gt; Ausencia 05/04/2021: Emergencia madre</t>
      </text>
    </comment>
    <comment ref="Q9" authorId="6" shapeId="0" xr:uid="{00000000-0006-0000-0200-000017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[EHCOSPROD-42281] Configuración de idiomas por entidad 
- v2.5: [EHCOSPROD-40837] Añadir posibilidad de mantener más de 3 idiomas por instalación 
Backlog:
- Nuevo JIRA - Similar a 42281 para configurar idiomas de Frases del dia
- instalacion de oracle 12
- instalación de postgres11
- Soporte nuevo compañero
Reply:
    Avance:
-----------------------------------
- v2.5: [EHCOSPROD-42281] Configuración de idiomas por entidad 
&gt; avanzando, cambios despues de dudas para mostrar combos de idiomas
- v2.5: [EHCOSPROD-40837] Añadir posibilidad de mantener más de 3 idiomas por instalación &gt; fin 09/04 
&gt; avanzando
</t>
      </text>
    </comment>
    <comment ref="R9" authorId="7" shapeId="0" xr:uid="{00000000-0006-0000-02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[EHCOSPROD-42281] Configuración de idiomas por entidad &gt; fin 09/04
- v2.5: [EHCOSPROD-40837] Añadir posibilidad de mantener más de 3 idiomas por instalación &gt; fin 09/04 
Backlog:
- [EHCOSPROD-46065] Frase del día. Adaptar a multi idoma
- instalacion de oracle 12
- instalación de postgres11
- Soporte nuevo compañero
Reply:
    Avance:
-----------------------------------
- v2.5: [EHCOSPROD-42281] Configuración de idiomas por entidad &gt; fin 09/04
&gt; terminado, pendiente de validar con grecia
- v2.5: [EHCOSPROD-46065] Frase del día. Adaptar a multi idoma
&gt; terminado, pendiente de validar con grecia
- v2.5: [EHCOSPROD-40837] Añadir posibilidad de mantener más de 3 idiomas por instalación &gt; fin 09/04 
&gt; terminado con dudas con marcos</t>
      </text>
    </comment>
    <comment ref="S9" authorId="8" shapeId="0" xr:uid="{00000000-0006-0000-02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[EHCOSPROD-42281] Configuración de idiomas por entidad &gt; fin 09/04
&gt; pendiente de validar con grecia
- v2.5: [EHCOSPROD-46065] Frase del día. Adaptar a multi idoma
&gt; pendiente de validar con grecia
- v2.5: [EHCOSPROD-40837] Añadir posibilidad de mantener más de 3 idiomas por instalación &gt; fin 09/04 
&gt; pendiente de dudas con marcos
- Nuevo jira relacionado con la exportacion de personas
Backlog:
- v2.5: [EHCOSPROD-44901] Separar idioma app y web
- v2.5: [EHCOSPROD-43791] Idioma servicio perfil 360 
- v2.5: [EHCOSPROD-43810] Error en idioma del correo de soporte técnico parte publica 
- v2.5: [EHCOSPROD-45870] Envio de correo posiblemente cambia el idioma de la WEB
- instalacion de oracle 12
- instalación de postgres11
- Soporte nuevo compañero
Reply:
    Avance:
-----------------------------------
- v2.4.1: [EHCOSPROD-46166] Motivo de baja en Excel de Exportación datos Personales 
&gt; terminado
- v2.4.1: [EHCOSPROD-46162] Exportación. Permitir hacer búsqueda solo por fecha
&gt; terminado
- v2.5: [EHCOSPROD-42281] Configuración de idiomas por entidad &gt; fin 09/04
&gt; terminada con DL, se pausa hasta poder realizar merge de la 2.5 despues de liberación de la 2.4.1
- v2.5: [EHCOSPROD-46065] Frase del día. Adaptar a multi idoma
&gt; terminada se pausa en espera de merge</t>
      </text>
    </comment>
    <comment ref="T9" authorId="9" shapeId="0" xr:uid="{00000000-0006-0000-02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Actualizar QA con v2.4.1 preguntar
- Actualizar PRE con v2.4.0.2 si es solicitado
- v2.5: [EHCOSPROD-42281] Configuración de idiomas por entidad &gt; fin 09/04
&gt; pendiente de dudas con marcos
&gt; copiar DL &gt; ehCOS Remote PRM - 02. Producto\0204 Documentación técnica\ehCOS Remote Web\020401 Documentos de liberación
- v2.5: [EHCOSPROD-40837] Añadir posibilidad de mantener más de 3 idiomas por instalación &gt; fin 09/04 
&gt; pendiente de validar con grecia
Backlog:
- v2.5: [EHCOSPROD-44901] Separar idioma app y web
- v2.5: [EHCOSPROD-43791] Idioma servicio perfil 360 
- v2.5: [EHCOSPROD-43810] Error en idioma del correo de soporte técnico parte publica 
- v2.5: [EHCOSPROD-45870] Envio de correo posiblemente cambia el idioma de la WEB
- instalacion de oracle 12
- instalación de postgres11
- Soporte nuevo compañero
Reply:
    Avance:
-----------------------------------
- Actualizar QA con v2.4.1 
- v2.5: [EHCOSPROD-42281] Configuración de idiomas por entidad &gt; fin 09/04
&gt; terminada pendiente de merge de 2.5 en trunk
- v2.5: [EHCOSPROD-46065] Frase del día. Adaptar a multi idoma
&gt; pausada, pendiente de dudas de servicio rest de frases del dia
- v2.5: [EHCOSPROD-43791] Idioma servicio perfil 360 
&gt; empezada</t>
      </text>
    </comment>
    <comment ref="W9" authorId="10" shapeId="0" xr:uid="{00000000-0006-0000-02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[EHCOSPROD-42281] Configuración de idiomas por entidad &gt; fin 09/04
&gt; copiar DL &gt; ehCOS Remote PRM - 02. Producto\0204 Documentación técnica\ehCOS Remote Web\020401 Documentos de liberación
- v2.5: [EHCOSPROD-46065] Frase del día. Adaptar a multi idoma
&gt; pausada, pendiente de dudas de servicio rest de frases del dia
- v2.5: [EHCOSPROD-40837] Añadir posibilidad de mantener más de 3 idiomas por instalación &gt; fin 09/04 
&gt; pendiente de validar con grecia
- v2.5: [EHCOSPROD-43791] Idioma servicio perfil 360 
Backlog:
- v2.5: [EHCOSPROD-44901] Separar idioma app y web
- v2.5: [EHCOSPROD-43810] Error en idioma del correo de soporte técnico parte publica 
- v2.5: [EHCOSPROD-45870] Envio de correo posiblemente cambia el idioma de la WEB
- instalacion de oracle 12
- instalación de postgres11
- Soporte nuevo compañero
Reply:
    Avance:
-----------------------------------
- v2.5: [EHCOSPROD-40837] Añadir posibilidad de mantener más de 3 idiomas por instalación &gt; fin 09/04 
&gt; pausada pendiente dudas con marcos
- v2.5: [EHCOSPROD-46065] Frase del día. Adaptar a multi idoma
&gt; finalizado, pendiente de validacion con grecia
- v2.5: [EHCOSPROD-43791] Idioma servicio perfil 360 
&gt; empezando</t>
      </text>
    </comment>
    <comment ref="X9" authorId="11" shapeId="0" xr:uid="{00000000-0006-0000-02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[EHCOSPROD-43791] Idioma servicio perfil 360 
Pendiente:
- v2.5: [EHCOSPROD-42281] Configuración de idiomas por entidad &gt; fin 09/04
&gt; copiar DL &gt; ehCOS Remote PRM - 02. Producto\0204 Documentación técnica\ehCOS Remote Web\020401 Documentos de liberación
&gt; pausada, espera de merge 2.5
- v2.5: [EHCOSPROD-46065] Frase del día. Adaptar a multi idoma
&gt; finalizado, pendiente de validar con grecia
- v2.5: [EHCOSPROD-40837] Añadir posibilidad de mantener más de 3 idiomas por instalación &gt; fin 09/04 
&gt; pausada, pendiente dudas con marcos
Backlog:
- v2.5: [EHCOSPROD-44901] Separar idioma app y web
- v2.5: [EHCOSPROD-43810] Error en idioma del correo de soporte técnico parte publica 
- v2.5: [EHCOSPROD-45870] Envio de correo posiblemente cambia el idioma de la WEB
- instalacion de oracle 12
- instalación de postgres11
- Soporte nuevo compañero
Reply:
    Avance:
-----------------------------------
- v2.5: [EHCOSPROD-43791] Idioma servicio perfil 360 
&gt; terminada, pendiente de merge
- v2.5: [EHCOSPROD-44901] Separar idioma app y web
&gt; terminada, pendiente de merge
- v2.5: [EHCOSPROD-43810] Error en idioma del correo de soporte técnico parte publica 
&gt; finalizada pendiente pruebas con grecia
- v2.5: [EHCOSPROD-45870] Envio de correo posiblemente cambia el idioma de la WEB
&gt; avanzando con dudas</t>
      </text>
    </comment>
    <comment ref="Y9" authorId="12" shapeId="0" xr:uid="{00000000-0006-0000-0200-00001D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[EHCOSPROD-45870] Envio de correo posiblemente cambia el idioma de la WEB
Pendiente de validar con grecia y en espera de merge a trunk:
- v2.5: [EHCOSPROD-40837] Añadir posibilidad de mantener más de 3 idiomas por instalación &gt; fin 09/04 
- v2.5: [EHCOSPROD-42281] Configuración de idiomas por entidad &gt; fin 09/04
- v2.5: [EHCOSPROD-43791] Idioma servicio perfil 360 
- v2.5: [EHCOSPROD-44901] Separar idioma app y web
- v2.5: [EHCOSPROD-46065] Frase del día. Adaptar a multi idoma
- v2.5: [EHCOSPROD-43810] Error en idioma del correo de soporte técnico parte publica 
Backlog:
- instalación de oracle 12
- instalación de postgres11
- Soporte nuevo compañero
- Control de Licencias 
- Extracción Algoritmo
Reply:
    Avance:
-----------------------------------
- v2.5: [EHCOSPROD-43810] Error en idioma del correo de soporte técnico parte publica 
&gt; terminada en espera de liberacion
- v2.5: [EHCOSPROD-45870] Envio de correo posiblemente cambia el idioma de la WEB
&gt; terminada en espera de liberacion
</t>
      </text>
    </comment>
    <comment ref="Z9" authorId="13" shapeId="0" xr:uid="{00000000-0006-0000-0200-00001E000000}">
      <text>
        <t>[Threaded comment]
Your version of Excel allows you to read this threaded comment; however, any edits to it will get removed if the file is opened in a newer version of Excel. Learn more: https://go.microsoft.com/fwlink/?linkid=870924
Comment:
## EMILIO
Tareas planificadas:
- v2.5: [EHCOSPROD-46360] Sacar labels 2.5 para traducir a alemán
Pendiente de validar con grecia y en espera de merge a trunk:
- v2.5: [EHCOSPROD-40837] Añadir posibilidad de mantener más de 3 idiomas por instalación &gt; fin 09/04 
- v2.5: [EHCOSPROD-42281] Configuración de idiomas por entidad &gt; fin 09/04
- v2.5: [EHCOSPROD-43791] Idioma servicio perfil 360 
- v2.5: [EHCOSPROD-44901] Separar idioma app y web
- v2.5: [EHCOSPROD-46065] Frase del día. Adaptar a multi idoma
- v2.5: [EHCOSPROD-43810] Error en idioma del correo de soporte técnico parte publica 
- v2.5: [EHCOSPROD-45870] Envio de correo posiblemente cambia el idioma de la WEB
Backlog:
- instalación de oracle 12
- instalación de postgres11
- Soporte nuevo compañero
- Control de Licencias 
- Extracción Algoritmo
Reply:
    Avance:
-----------------------------------
- v2.5: [EHCOSPROD-46360] Sacar labels 2.5 para traducir a alemán
&gt; avanzando</t>
      </text>
    </comment>
    <comment ref="AA9" authorId="14" shapeId="0" xr:uid="{00000000-0006-0000-0200-00001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[EHCOSPROD-46360] Sacar labels 2.5 para traducir a alemán
Pendiente de validar con grecia y en espera de merge a trunk:
- v2.5: [EHCOSPROD-40837] Añadir posibilidad de mantener más de 3 idiomas por instalación &gt; fin 09/04 
- v2.5: [EHCOSPROD-42281] Configuración de idiomas por entidad &gt; fin 09/04
- v2.5: [EHCOSPROD-43791] Idioma servicio perfil 360 
- v2.5: [EHCOSPROD-44901] Separar idioma app y web
- v2.5: [EHCOSPROD-46065] Frase del día. Adaptar a multi idoma
- v2.5: [EHCOSPROD-43810] Error en idioma del correo de soporte técnico parte publica 
- v2.5: [EHCOSPROD-45870] Envio de correo posiblemente cambia el idioma de la WEB
Backlog:
- instalación de oracle 12
- instalación de postgres11
- Soporte nuevo compañero
- Control de Licencias 
- Extracción Algoritmo
Reply:
    Avance:
-----------------------------------
- v2.4.1: [EHCOSPROD-46233] Opción chat no debe aparecer en sesiones grupales 
&gt; corregido con marcos, en el segundo listado
- v2.5: [EHCOSPROD-46360] Sacar labels 2.5 para traducir a alemán
&gt; revisar con marcos</t>
      </text>
    </comment>
    <comment ref="AD9" authorId="15" shapeId="0" xr:uid="{00000000-0006-0000-0200-00002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[EHCOSPROD-46360] Sacar labels 2.5 para traducir a alemán
- Merge en trunk de evolutivos 2.5 y copiar scripts
Pendiente de validar con grecia y en espera de merge a trunk:
- v2.5: [EHCOSPROD-40837] Añadir posibilidad de mantener más de 3 idiomas por instalación &gt; fin 09/04 
- v2.5: [EHCOSPROD-42281] Configuración de idiomas por entidad &gt; fin 09/04
- v2.5: [EHCOSPROD-43791] Idioma servicio perfil 360 
- v2.5: [EHCOSPROD-44901] Separar idioma app y web
- v2.5: [EHCOSPROD-46065] Frase del día. Adaptar a multi idoma
- v2.5: [EHCOSPROD-43810] Error en idioma del correo de soporte técnico parte publica 
- v2.5: [EHCOSPROD-45870] Envio de correo posiblemente cambia el idioma de la WEB
Backlog:
- Nuevo JIRA pruebas rest multidioma
- instalación de oracle 12
- instalación de postgres11
- Soporte nuevo compañero
- Control de Licencias 
- Extracción Algoritmo
Reply:
    Avance:
-----------------------------------
&gt; merge de 2 ramas de multidioma y falta una rama
- v2.5: [EHCOSPROD-40837] Añadir posibilidad de mantener más de 3 idiomas por instalación &gt; fin 09/04 
 </t>
      </text>
    </comment>
    <comment ref="AE9" authorId="16" shapeId="0" xr:uid="{00000000-0006-0000-0200-00002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[EHCOSPROD-46360] Sacar labels 2.5 para traducir a alemán
&gt; jira??
- Merge en trunk de evolutivos 2.5 y copiar scripts
Pendiente de validar con grecia y en espera de merge a trunk:
- v2.5: [EHCOSPROD-40837] Añadir posibilidad de mantener más de 3 idiomas por instalación &gt; fin 09/04 
- v2.5: [EHCOSPROD-42281] Configuración de idiomas por entidad &gt; fin 09/04
- v2.5: [EHCOSPROD-43791] Idioma servicio perfil 360 
- v2.5: [EHCOSPROD-44901] Separar idioma app y web
- v2.5: [EHCOSPROD-46065] Frase del día. Adaptar a multi idoma
- v2.5: [EHCOSPROD-43810] Error en idioma del correo de soporte técnico parte publica 
- v2.5: [EHCOSPROD-45870] Envio de correo posiblemente cambia el idioma de la WEB
Backlog:
- Nuevo JIRA pruebas rest multidioma
- Soporte nuevo compañero
- instalación de oracle 12
- instalación de postgres11
- Control de Licencias 
- Extracción Algoritmo
Reply:
    Avance:
-----------------------------------
Pendiente de validar con grecia realizado merge al trunk:
- v2.5: [EHCOSPROD-40837] Añadir posibilidad de mantener más de 3 idiomas por instalación &gt; fin 09/04 
- v2.5: [EHCOSPROD-42281] Configuración de idiomas por entidad &gt; fin 09/04
- v2.5: [EHCOSPROD-43791] Idioma servicio perfil 360 
- v2.5: [EHCOSPROD-44901] Separar idioma app y web
- v2.5: [EHCOSPROD-46065] Frase del día. Adaptar a multi idoma
- v2.5: [EHCOSPROD-43810] Error en idioma del correo de soporte técnico parte publica 
- v2.5: [EHCOSPROD-45870] Envio de correo posiblemente cambia el idioma de la WEB
&gt; Merge en trunk de evolutivos 2.5 y copiar scripts, se necesitaron ajustes en despliegue y se hizo rollback
</t>
      </text>
    </comment>
    <comment ref="AF9" authorId="17" shapeId="0" xr:uid="{00000000-0006-0000-0200-00002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[EHCOSPROD-46465] Servicios rest deben adaptarse a multidioma 
- Merge en trunk de evolutivos 2.5 y copiar scripts
Backlog:
- Nuevo JIRA pruebas rest multidioma
- Soporte nuevo compañero
- instalación de oracle 12
- instalación de postgres11
- Control de Licencias 
- Extracción Algoritmo
Reply:
    Avance:
-----------------------------------
- v2.5: [EHCOSPROD-46465] Servicios rest deben adaptarse a multidioma 
&gt; completar estimacion?
&gt; ausencia banco
</t>
      </text>
    </comment>
    <comment ref="AG9" authorId="18" shapeId="0" xr:uid="{00000000-0006-0000-0200-000023000000}">
      <text>
        <t>[Threaded comment]
Your version of Excel allows you to read this threaded comment; however, any edits to it will get removed if the file is opened in a newer version of Excel. Learn more: https://go.microsoft.com/fwlink/?linkid=870924
Comment:
## EMILIO
Tareas planificadas:
- v2.5: [EHCOSPROD-46465] Servicios rest deben adaptarse a multidioma &gt; completar estimacion?
- Formación de Metodologia de Desarrollo: creacion de rama para evolutivo, scripts, imputar en dt y actualizar jira
- Documentar itinerario de formacion en Confluence, enlace en wiki y recursos en teams "Pack de bienvenida"
Backlog:
- Soporte nuevo compañero
- instalación de oracle 12
- instalación de postgres11
- Control de Licencias 
- Extracción Algoritmo
Reply:
    Avance:
-----------------------------------
- v2.5: [EHCOSPROD-46465] Servicios rest deben adaptarse a multidioma 
&gt; realizada estimación
- Formación de Metodologia de Desarrollo: creacion de rama para evolutivo, scripts, imputar en dt y actualizar jira</t>
      </text>
    </comment>
    <comment ref="AH9" authorId="19" shapeId="0" xr:uid="{00000000-0006-0000-0200-000024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EHCOSPROD-46465: En progreso de desarrollo, dudas a resolver con Marcos (enviar correo) -&gt; finaliza el Martes 27.
Reunión activos.
Soporte Javier.
Avance:
EHCOSPROD-46465: Estimación realizada.
Backlog:
Reply:
    Avance:
-----------------------------------
- v2.5: [EHCOSPROD-46465] Servicios rest deben adaptarse a multidioma 
&gt; avanzando y termina hoy, jira?
&gt; Soporte a Javier
</t>
      </text>
    </comment>
    <comment ref="AK9" authorId="20" shapeId="0" xr:uid="{00000000-0006-0000-0200-000025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## EMILIO
Tareas planificadas:
- v2.5: [EHCOSPROD-46465] Servicios rest deben adaptarse a multidioma
- v2.5: [EHCOSPROD-44004] OTG-AUTHN-007 Prueba sobre la política de contraseñas &gt; Estimar para Javier
- v2.5: [EHCOSPROD-44797] Back. Añadir gamificaciones en la APP - Paciente &gt; DT y Desarrollo
Pendiente:
- Documentar itinerario de formacion en Confluence, enlace en wiki y recursos en teams "Pack de bienvenida"
- Reunión para automatizar remote
Backlog:
- Soporte nuevo compañero
- instalación de oracle 12
- instalación de postgres11
- Control de Licencias 
- Extracción Algoritmo
Reply:
    Avance:
-----------------------------------
- v2.5: [EHCOSPROD-44004] OTG-AUTHN-007 Prueba sobre la política de contraseñas &gt; Estimar para Javier
&gt; estimando
- v2.5: [EHCOSPROD-46465] Servicios rest deben adaptarse a multidioma
&gt; terminada, pendiente de pruebas finales de idiomas en rest
</t>
      </text>
    </comment>
    <comment ref="AL9" authorId="21" shapeId="0" xr:uid="{00000000-0006-0000-0200-00002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[EHCOSPROD-44004] OTG-AUTHN-007 Prueba sobre la política de contraseñas &gt; Estimar para Javier
- v2.5: [EHCOSPROD-46465] Servicios rest deben adaptarse a multidioma
- v2.5: [EHCOSPROD-46784] Errores multiidioma &gt; estimar y desarrollo
Actualizar seguimiento (jira, dt):
- v2.5: [EHCOSPROD-46465] Servicios rest deben adaptarse a multidioma
Pendiente:
- Documentar itinerario de formacion en Confluence, enlace en wiki y recursos en teams "Pack de bienvenida"
- Reunión para automatizar remote
- Formación Despliegue en PRO BCN
Backlog:
- v2.5: [EHCOSPROD-44797] Back. Añadir gamificaciones en la APP - Paciente &gt; DT y Desarrollo
- Soporte nuevo compañero
- instalación de oracle 12
- instalación de postgres11
- Extracción Algoritmo
- Informes
- Control de Licencias 
Reply:
    Avance:
-----------------------------------
- v2.5: [EHCOSPROD-44004] OTG-AUTHN-007 Prueba sobre la política de contraseñas &gt; Estimar para Javier 
&gt; realizado
- v2.5: [EHCOSPROD-46465] Servicios rest deben adaptarse a multidioma
&gt; devuelta?
- Reunión para automatizar remote
&gt; realizada y empezando pruebas
&gt; REUNION PARA DESBLOQUEAR &gt; BaseRestService.prepareLocale borrado?</t>
      </text>
    </comment>
    <comment ref="AM9" authorId="22" shapeId="0" xr:uid="{00000000-0006-0000-0200-00002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[EHCOSPROD-46465] Servicios rest deben adaptarse a multidioma
- v2.5: [EHCOSPROD-46784] Errores multiidioma &gt; estimar y desarrollo
Backlog:
- v2.5: [EHCOSPROD-44797] Back. Añadir gamificaciones en la APP - Paciente &gt; DT y Desarrollo
- Soporte nuevo compañero
- instalación de oracle 12
- instalación de postgres11
- Extracción Algoritmo
- Informes
- Control de Licencias 
Reply:
    Avance:
-----------------------------------
- v2.5: [EHCOSPROD-43791] Idioma servicio perfil 360
&gt; devuelta y revisada
- v2.5: [EHCOSPROD-43810] Error en idioma del correo de soporte técnico parte publica
&gt; devuelta y revisada
- v2.5: [EHCOSPROD-46465] Servicios rest deben adaptarse a multidioma
&gt; completando pruebas finales</t>
      </text>
    </comment>
    <comment ref="AN9" authorId="23" shapeId="0" xr:uid="{00000000-0006-0000-0200-00002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[EHCOSPROD-46465] Servicios rest deben adaptarse a multidioma
Estabilizar: 
- v2.5: [EHCOSPROD-46784] Errores multiidioma &gt; estimar y desarrollo
- v2.5: [EHCOSPROD-43810] Error en idioma del correo de soporte técnico parte publica
- v2.5: [EHCOSPROD-43791] Idioma servicio perfil 360
Backlog:
- v2.5: [EHCOSPROD-44797] Back. Añadir gamificaciones en la APP - Paciente &gt; DT y Desarrollo
- Soporte nuevo compañero
- instalación de oracle 12
- instalación de postgres11
- Extracción Algoritmo
- Informes
- Control de Licencias 
Reply:
    Avance:
-----------------------------------
- v2.5: [EHCOSPROD-43810] Error en idioma del correo de soporte técnico parte publica 
&gt; realizado
- v2.5: [EHCOSPROD-43791] Idioma servicio perfil 360 
&gt; realizado
- v2.5: [EHCOSPROD-46465] Servicios rest deben adaptarse a multidioma
&gt; realizado</t>
      </text>
    </comment>
    <comment ref="AO9" authorId="24" shapeId="0" xr:uid="{00000000-0006-0000-0200-00002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Avance:
-----------------------------------
- Ausencia solicitada</t>
      </text>
    </comment>
    <comment ref="AR9" authorId="25" shapeId="0" xr:uid="{00000000-0006-0000-0200-00002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[45213] GDPR- Al introducir 3 veces una contraseña errónea debe bloquear el usuario &gt; estimar y asignar a Javier
- v2.5: [46995] Idiomas aparecen en inglés
- v2.5: [45203] MARCADO CE: Aislar algoritmo triaje COVID &gt; Estimar y desarrollo
Backlog:
- v2.5: [EHCOSPROD-44797] Back. Añadir gamificaciones en la APP - Paciente &gt; DT y Desarrollo
- Soporte nuevo compañero
- instalación de oracle 12
- instalación de postgres11
- Informes
- Control de Licencias 
Reply:
    Avance:
-----------------------------------
- v2.5: [46465] Servicios rest deben adaptarse a multidioma
&gt; devuelta con dudas de Menu triage covid
- v2.5: [45213] GDPR - Al introducir 3 veces una contraseña errónea debe bloquear el usuario &gt; estimar y asignar a Javier
&gt; estimando y asignada a javier</t>
      </text>
    </comment>
    <comment ref="AS9" authorId="26" shapeId="0" xr:uid="{00000000-0006-0000-0200-00002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Merge i18n de 2.4.2 a 2.5 en trunk (Detectar cambios comparando y aplicar para los 4 idiomas)
Devueltas:
- v2.5: [46784] Errores multiidioma
- v2.5: [46465] Servicios rest deben adaptarse a multidioma
- v2.5: [46065] Frase del día. Adaptar a multi idoma
- v2.5: [46995] Idiomas aparecen en inglés
Backlog:
- v2.5: [45203] MARCADO CE: Aislar algoritmo triaje COVID &gt; Estimar y desarrollo
- v2.5.1: [44797] Back. Añadir gamificaciones en la APP - Paciente &gt; Estimar y Desarrollo
- Soporte nuevo compañero
- instalación de oracle 12
- instalación de postgres11
- Informes
- Control de Licencias 
Reply:
    Avance:
-----------------------------------
- v2.5: [46465] Servicios rest deben adaptarse a multidioma
&gt; realizada
- v2.5: [46995] Idiomas aparecen en inglés
&gt; avanzando
&gt; comentar rename en SVN</t>
      </text>
    </comment>
    <comment ref="AT9" authorId="27" shapeId="0" xr:uid="{00000000-0006-0000-0200-00002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Merge i18n de 2.4.2 a 2.5 en trunk (Detectar cambios comparando y aplicar para los 4 idiomas)
- v2.5: [46995] Idiomas aparecen en inglés
- v2.5 &gt; devuelta: [46784] Errores multiidioma
- v2.5 &gt; devuelta: [43810] Error en idioma del correo de soporte técnico parte publica
- v2.5 &gt; devuelta: [46065] Frase del día. Adaptar a multi idoma
Backlog:
- v2.5: [45203] MARCADO CE: Aislar algoritmo triaje COVID &gt; Estimar y desarrollo
- v2.5.1: [44797] Back. Añadir gamificaciones en la APP - Paciente &gt; Estimar y Desarrollo
- Soporte nuevo compañero
- instalación de oracle 12
- instalación de postgres11
- Informes
- Control de Licencias 
Reply:
    Avance:
-----------------------------------
- v2.5: [46995] Idiomas aparecen en inglés
&gt; realizado
- v2.5 &gt; devuelta: [46065] Frase del día. Adaptar a multi idoma
&gt; realizado
- v2.5 &gt; devuelta: [46784] Errores multiidioma
&gt; realizado
- v2.5 &gt; devuelta: [43810] Error en idioma del correo de soporte técnico parte publica
&gt; dudas funcionales</t>
      </text>
    </comment>
    <comment ref="AU9" authorId="28" shapeId="0" xr:uid="{00000000-0006-0000-0200-00002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 &gt; devuelta: [43810] Error en idioma del correo de soporte técnico parte publica
- v2.5 &gt; devuelta: [46465] Servicios rest deben adaptarse a multidioma
Backlog:
- v2.5: [45203] MARCADO CE: Aislar algoritmo triaje COVID &gt; Estimar y desarrollo
- v2.5.1: [44797] Back. Añadir gamificaciones en la APP - Paciente &gt; Estimar y Desarrollo
- Soporte nuevo compañero
- instalación de oracle 12
- instalación de postgres11
- Informes
- Control de Licencias 
Reply:
    Avance:
-----------------------------------
- v2.5 &gt; devuelta: [43810] Error en idioma del correo de soporte técnico parte publica
- v2.5 &gt; devuelta: [46465] Servicios rest deben adaptarse a multidioma
- estabilizando multidioma
- problemas de luz y conexión</t>
      </text>
    </comment>
    <comment ref="AV9" authorId="29" shapeId="0" xr:uid="{00000000-0006-0000-0200-00002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[45203] MARCADO CE: Aislar algoritmo triaje COVID &gt; Estimar y desarrollo
Backlog:
- Soporte nuevo compañero
- instalación de oracle 12
- instalación de postgres11
- Informes
- Control de Licencias
Reply:
    Avance:
-----------------------------------
- v2.5: [45203] MARCADO CE: Aislar algoritmo triaje COVID &gt; Estimar y desarrollo
&gt; empezando, con dudas </t>
      </text>
    </comment>
    <comment ref="AY9" authorId="30" shapeId="0" xr:uid="{00000000-0006-0000-0200-00002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v2.5: [45203] MARCADO CE: Aislar algoritmo triaje COVID &gt; Estimar y desarrollo
- v2.5 &gt; devuelta: [44901] Separar idioma app y web
- v2.5 &gt; devuelta: [46065] Frase del día. Adaptar a multi idoma
- 2.5: [47355] idioma notificación usuario existente - ficha de la persona
Backlog:
- Soporte nuevo compañero
- instalación de oracle 12
- instalación de postgres11
- Informes
- Control de Licencias 
Reply:
    Avance:
-----------------------------------
- v2.5.0.0 &gt; devuelta: [45203] MARCADO CE: Aislar algoritmo triaje COVID &gt; Estimar y desarrollo
&gt; avanzando
- 2.5.0.0: [47355] idioma notificación usuario existente - ficha de la persona
&gt; realizado</t>
      </text>
    </comment>
    <comment ref="AZ9" authorId="31" shapeId="0" xr:uid="{00000000-0006-0000-0200-00003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v2.5.0.0 &gt; devuelta: [45203] MARCADO CE: Aislar algoritmo triaje COVID &gt; Estimar y desarrollo
- v2.5.0.0 &gt; devuelta: [43810] Error en idioma del correo de soporte técnico parte publica
- v2.5.0.0 &gt; devuelta: [44901] Separar idioma app y web
- v2.5.0.0 &gt; devuelta: [46065] Frase del día. Adaptar a multi idoma
- v2.5.0.0 &gt; nueva: [47439] Revisión de idioma en correos.
- v2.5.0.0 &gt; nueva: [47440] Faltan etiquetas en portugués
Backlog:
- v2.5.1.0: [44814] Back. Login multidispositivo
- v2.5.1.0: [44807] Back. Ver informes en la APP - Paciente
- Soporte nuevo compañero
- instalación de oracle 12
- instalación de postgres11
- Informes
- Control de Licencias 
Reply:
    Avance:
-----------------------------------
- v2.5.0.0 &gt; devuelta: [45203] MARCADO CE: Aislar algoritmo triaje COVID &gt; Estimar y desarrollo
&gt; realizado
- v2.5.0.0 &gt; devuelta: [43810] Error en idioma del correo de soporte técnico parte publica
&gt; realizado
- v2.5.0.0 &gt; nueva: [47439] Revisión de idioma en correos.
&gt; realizado
- v2.5.0.0 &gt; nueva: [47440] Faltan etiquetas en portugués
&gt; realizado
- v2.5.0.0 &gt; devuelta: [44901] Separar idioma app y web
&gt; dudas
- v2.5.0.0 &gt; devuelta: [46065] Frase del día. Adaptar a multi idoma
&gt; dudas</t>
      </text>
    </comment>
    <comment ref="BA9" authorId="32" shapeId="0" xr:uid="{00000000-0006-0000-0200-00003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v2.5.0.0 &gt; devuelta: [44901] Separar idioma app y web
- v2.5.0.0 &gt; devuelta: [46065] Frase del día. Adaptar a multi idoma
- v2.5.0.0: [41475] Error en la configuración de la entidad con la APP de Remote
- v2.5.0.0: [47494] Revisar error en privilegios
Backlog:
- v2.5.1.0: [44814] Back. Login multidispositivo
- v2.5.1.0: [44807] Back. Ver informes en la APP - Paciente
- Control de Licencias 
- Soporte nuevo compañero
- instalación de oracle 12
- instalación de postgres11
Reply:
    Avance:
-----------------------------------
- v2.5.0.0 &gt; devuelta: [44901] Separar idioma app y web
- v2.5.0.0 &gt; devuelta: [46065] Frase del día. Adaptar a multi idoma
- v2.5.0.0: [41475] Error en la configuración de la entidad con la APP de Remote
- v2.5.0.0: [47494] Revisar error en privilegios</t>
      </text>
    </comment>
    <comment ref="BB9" authorId="33" shapeId="0" xr:uid="{00000000-0006-0000-0200-00003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v2.5.0.0 &gt; devuelta: [47439] Revisión de idioma en correos.
- v2.5.0.0 &gt; devuelta: [47440] Faltan etiquetas en portugués
- v2.5.0.0 &gt; nueva: [47577] Error en triaje demosarg
- v2.5.0.0 &gt; nueva: [47487] Revisar multidioma en detalle de Cuestionaro en PDF
Backlog:
- v2.5.1.0: [44814] Back. Login multidispositivo
- v2.5.1.0: [44807] Back. Ver informes en la APP - Paciente
- Control de Licencias 
- Soporte nuevo compañero
- instalación de oracle 12
- instalación de postgres11
Reply:
    Avance:
-----------------------------------
- v2.5.0.0 &gt; devuelta: [47440] Faltan etiquetas en portugués
- v2.5.0.0 &gt; nueva: [47577] Error en triaje demosarg</t>
      </text>
    </comment>
    <comment ref="BC9" authorId="34" shapeId="0" xr:uid="{00000000-0006-0000-0200-00003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v2.5.0.0: [47487] Revisar multidioma en detalle de Cuestionaro en PDF
- v2.5.0.0 &gt; devuelta: [47439] Revisión de idioma en correos.
- v2.5.0.0 &gt; devuelta: [41475] Error en la configuración de la entidad con la APP de Remote
Backlog:
- v2.5.1.0: [47622] Revisar scripts de multidioma para mantenimiento de traducciones
- v2.5.1.0: [44807] Back. Ver informes en la APP - Paciente
- Control de Licencias 
- Soporte nuevo compañero
- instalación de oracle 12
- instalación de postgres11
Reply:
    Avance:
-----------------------------------
- v2.5.0.0: [47487] Revisar multidioma en detalle de Cuestionaro en PDF
- v2.5.0.0 &gt; devuelta: [47439] Revisión de idioma en correos.
- v2.5.0.0 &gt; devuelta: [41475] Error en la configuración de la entidad con la APP de Remote</t>
      </text>
    </comment>
    <comment ref="BF9" authorId="35" shapeId="0" xr:uid="{00000000-0006-0000-0200-000034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[44814] Back. Login multidispositivo &gt; estimacion y desarrollo
Backlog:
- v2.5.1.0: [44807] Back. Ver informes en la APP - Paciente
- v2.5.1.0: [47622] Revisar scripts de multidioma para mantenimiento de traducciones
- v2.5.1.0: [42561] Cookiebot en más de un dominio
- v2.5.2.0: [45931] Integración Remote - EMPI
- Control de Licencias 
- Soporte nuevo compañero
- instalación de oracle 12
- instalación de postgres11
Reply:
    Avance:
-----------------------------------
&gt; estabilizando la v2.5.0.0
- v2.5.1.0: [44814] Back. Login multidispositivo &gt; estimacion y desarrollo
&gt; estimada y terminando la tarea
</t>
      </text>
    </comment>
    <comment ref="BG9" authorId="36" shapeId="0" xr:uid="{00000000-0006-0000-0200-00003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Sesiones por producto
- v2.5.1.0: [44814] Back. Login multidispositivo &gt; estimacion y desarrollo
- v2.5.1.0: [37551] Integración con EHR: elaboración de notas de evolución &gt; dt y desarrollo junto con osvaldo
Backlog:
- v2.5.1.0: [44807] Back. Ver informes en la APP - Paciente &gt; estimacion y desarrollo
- v2.5.1.0: [47622] Revisar scripts de multidioma para mantenimiento de traducciones
- v2.5.2.0: [45931] Integración Remote - EMPI
- Control de Licencias 
- Soporte nuevo compañero
- instalación de oracle 12
- instalación de postgres11
Reply:
    Avance:
-----------------------------------
- v2.5.1.0: [44814] Back. Login multidispositivo 
&gt; realizado
- Sesiones por producto
- v2.5.1.0: [37551] Integración con EHR: elaboración de notas de evolución &gt; dt y desarrollo junto con osvaldo
&gt; preparando estimacion</t>
      </text>
    </comment>
    <comment ref="BH9" authorId="37" shapeId="0" xr:uid="{00000000-0006-0000-0200-00003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[37551] Integración con EHR: elaboración de notas de evolución &gt; dt y desarrollo junto con osvaldo
Backlog:
- v2.5.1.0: [44807] Back. Ver informes en la APP - Paciente &gt; estimacion y desarrollo
- v2.5.1.0: [47622] Revisar scripts de multidioma para mantenimiento de traducciones
- v2.5.2.0: [45931] Integración Remote - EMPI
- Control de Licencias 
- Soporte nuevo compañero
- instalación de oracle 12
- instalación de postgres11
Reply:
    Avance:
-----------------------------------
- v2.5.1.0: [37551] Integración con EHR: elaboración de notas de evolución &gt; dt y desarrollo junto con osvaldo
&gt; sin mucho avance
&gt; soporte a karina y javier</t>
      </text>
    </comment>
    <comment ref="BI9" authorId="38" shapeId="0" xr:uid="{00000000-0006-0000-0200-000037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[37551] Integración con EHR: elaboración de notas de evolución &gt; dt y desarrollo junto con osvaldo
Backlog:
- v2.5.1.0: [44807] Back. Ver informes en la APP - Paciente &gt; estimacion y desarrollo
- v2.5.1.0: [47622] Revisar scripts de multidioma para mantenimiento de traducciones
- v2.5.2.0: [45931] Integración Remote - EMPI
- Control de Licencias 
- Soporte nuevo compañero
- instalación de oracle 12
- instalación de postgres11
Reply:
    Avance:
-----------------------------------
&gt; soporte a Javier
- v2.5.1.0: [44814] Back. Login multidispositivo
</t>
      </text>
    </comment>
    <comment ref="BJ9" authorId="39" shapeId="0" xr:uid="{00000000-0006-0000-0200-00003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Festivo en chile</t>
      </text>
    </comment>
    <comment ref="BM9" authorId="40" shapeId="0" xr:uid="{00000000-0006-0000-0200-000039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[37551] Integración con EHR: elaboración de notas de evolución &gt; dt y desarrollo junto con osvaldo
Backlog:
- v2.5.1.0: [47978] Error en activar APP para entidad &gt; estimar para Javier
- v2.5.1.0: [44807] Back. Ver informes en la APP - Paciente &gt; estimacion y desarrollo
- v2.5.2.0: [45931] Integración Remote - EMPI
- Control de Licencias 
- Soporte nuevo compañero
- instalación de oracle 12
- instalación de postgres11
Reply:
    Avance:
-----------------------------------
- v2.5.1.0: [37551] Integración con EHR: elaboración de notas de evolución &gt; dt y desarrollo junto con osvaldo
&gt; empezando el desarrollo, se explico la POC y se ha preparado el entorno
</t>
      </text>
    </comment>
    <comment ref="BN9" authorId="41" shapeId="0" xr:uid="{00000000-0006-0000-0200-00003A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[37551] Integración con EHR: elaboración de notas de evolución &gt; dt y desarrollo junto con osvaldo
Backlog:
- v2.5.1.0: [47978] Error en activar APP para entidad &gt; estimar para Javier
- v2.5.1.0: [44807] Back. Ver informes en la APP - Paciente &gt; estimacion y desarrollo
- v2.5.2.0: [45931] Integración Remote - EMPI
- Control de Licencias 
- Soporte nuevo compañero
- instalación de oracle 12
- instalación de postgres11
Reply:
    Avance:
-----------------------------------
- v2.5.1.0: [37551] Integración con EHR: elaboración de notas de evolución &gt; dt y desarrollo junto con osvaldo
&gt; estimando y con problemas para arrancar el clinic
- Soporte a Javier para despliegue en PRE
- Soporte a Javier en desarrollo
</t>
      </text>
    </comment>
    <comment ref="BO9" authorId="42" shapeId="0" xr:uid="{00000000-0006-0000-0200-00003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[37551] Integración con EHR: elaboración de notas de evolución &gt; dt y desarrollo junto con osvaldo
Backlog:
- v2.5.1.0: [47978] Error en activar APP para entidad &gt; estimar para Javier
- v2.5.1.0: [44807] Back. Ver informes en la APP - Paciente &gt; estimacion y desarrollo
- v2.5.2.0: [45931] Integración Remote - EMPI
- Control de Licencias 
- Soporte nuevo compañero
- instalación de oracle 12
- instalación de postgres11
Reply:
    Avance:
-----------------------------------
- v2.5.1.0: [37551] Integración con EHR: elaboración de notas de evolución &gt; dt y desarrollo junto con osvaldo
&gt; Completando estimacion de videoconferencia
&gt; Soporte a Javier y Osvaldo</t>
      </text>
    </comment>
    <comment ref="BP9" authorId="43" shapeId="0" xr:uid="{00000000-0006-0000-0200-00003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[37551] Integración con EHR: elaboración de notas de evolución &gt; dt y desarrollo junto con osvaldo
Backlog:
- v2.5.1.0: [44807] Back. Ver informes en la APP - Paciente &gt; estimacion y desarrollo
- v2.5.2.0: [45931] Integración Remote - EMPI
- Control de Licencias 
- Soporte nuevo compañero
- instalación de oracle 12
- instalación de postgres11
Reply:
    Avance:
-----------------------------------
- v2.5.1.0: [37551] Integración con EHR: elaboración de notas de evolución &gt; dt y desarrollo junto con osvaldo
&gt; terminada estimación
&gt; Reunión con Mauricio de automatización: link sin deuda tecnica y despliegue de jenkins</t>
      </text>
    </comment>
    <comment ref="BQ9" authorId="44" shapeId="0" xr:uid="{00000000-0006-0000-0200-00003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[44807] Back. Ver informes en la APP - Paciente &gt; estimacion y desarrollo
Backlog:
- v2.5.2.0: [45931] Integración Remote - EMPI
- Control de Licencias 
- Soporte nuevo compañero
- instalación de oracle 12
- instalación de postgres11
Reply:
    Avance:
-----------------------------------
- [44807] Back. Ver informes en la APP
&gt; estimado
- v2.5.1.0: [48323] Informes Remote - Modulo Notas e Informes
&gt; problemas para desarrollar por login de clinic</t>
      </text>
    </comment>
    <comment ref="BT9" authorId="45" shapeId="0" xr:uid="{00000000-0006-0000-0200-00003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[48323] Informes Remote - Modulo Notas e Informes
Backlog:
- v2.5.1.0: [44807] Back. Ver informes en la APP - Paciente 
- Control de Licencias 
- v2.5.2.0: [45931] Integración Remote - EMPI
- Soporte nuevo compañero
- instalación de oracle 12
- instalación de postgres11
Reply:
    Avance:
-----------------------------------
- v2.5.1.0: [48323] Informes Remote - Modulo Notas e Informes
&gt; avanzando en el desarrollo
&gt; problema con parametro en jvm para ipv4 vs ipv6</t>
      </text>
    </comment>
    <comment ref="BU9" authorId="46" shapeId="0" xr:uid="{00000000-0006-0000-0200-00003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Apuntar en el faq preferIPv4Stack
- v2.5.1.0: [48323] Informes Remote - Modulo Notas e Informes
Backlog:
- v2.5.1.0: [44807] Back. Ver informes en la APP - Paciente 
- Control de Licencias 
- v2.5.2.0: [45931] Integración Remote - EMPI
- Soporte nuevo compañero
- instalación de oracle 12
- instalación de postgres11
Reply:
    Avance:
-----------------------------------
- v2.5.1.0: [48323] Informes Remote - Modulo Notas e Informes
&gt; Avanzando, con dudas de desarrollo</t>
      </text>
    </comment>
    <comment ref="BV9" authorId="47" shapeId="0" xr:uid="{00000000-0006-0000-0200-00004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Apuntar en el faq preferIPv4Stack
- v2.5.1.0: [48323] Informes Remote - Modulo Notas e Informes
Backlog:
- v2.5.1.0: [44807] Back. Ver informes en la APP - Paciente 
- Control de Licencias 
- v2.5.2.0: [45931] Integración Remote - EMPI
- Soporte nuevo compañero
- instalación de oracle 12
- instalación de postgres11
Reply:
    Avance:
-----------------------------------
- v2.5.1.0: [48251] Informes Remote - Modulos Home y Videoconferencia
&gt; Avanzando con problemas en los popup
- Apuntar en el faq preferIPv4Stack</t>
      </text>
    </comment>
    <comment ref="BW9" authorId="48" shapeId="0" xr:uid="{00000000-0006-0000-0200-00004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[48323] Informes Remote - Modulo Notas e Informes
Backlog:
- v2.5.1.0: [44807] Back. Ver informes en la APP - Paciente 
- Control de Licencias 
- v2.5.2.0: [45931] Integración Remote - EMPI
- Soporte nuevo compañero
- instalación de oracle 12
- instalación de postgres11
Reply:
    Avance:
-----------------------------------
- v2.5.1.0: [48323] Informes Remote - Modulo Notas e Informes
&gt; avanzando con el filtro de busqueda de pacientes
&gt; pendiente el descargar pdf por bloqueo
&gt; pendiente de el estado firmado por bloqueo
</t>
      </text>
    </comment>
    <comment ref="BX9" authorId="49" shapeId="0" xr:uid="{00000000-0006-0000-0200-00004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 
Tareas planificadas: 
- v2.5.1.0: [48323] Informes Remote - Modulo Notas e Informes
Backlog:
- v2.5.1.0: [44807] Back. Ver informes en la APP - Paciente
- Control de Licencias
- v2.5.2.0: [45931] Integración Remote - EMPI
- Soporte nuevo compañero - instalación de oracle 12
- instalación de postgres11
Reply:
    Avance:
-----------------------------------
- v2.5.1.0: [48323] Informes Remote - Modulo Notas e Informes
&gt; avanzando con el filtro de busqueda de pacientes
&gt; pendiente el descargar pdf por bloqueo
&gt; pendiente de el estado firmado por bloqueo
</t>
      </text>
    </comment>
    <comment ref="CA9" authorId="50" shapeId="0" xr:uid="{00000000-0006-0000-0200-000043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[48323] Informes Remote - Modulo Notas e Informes
- Configurar clinic en workspace local
Backlog:
- v2.5.1.0: [48629] Las notificaciones push llegan al último dispositivo que ingresa
- v2.5.1.1: [44807] Back. Ver informes en la APP - Paciente 
- v2.5.2.0: [45931] Integración Remote - EMPI
- Soporte nuevo compañero
- instalación de oracle 12
- instalación de postgres11
Reply:
    Avance:
-----------------------------------
- v2.5.1.0: [48323] Informes Remote - Modulo Notas e Informes
&gt; problemas con descarga de pdf
- Configurar clinic en workspace local
&gt; realizado, faltaba lanzar una maven install de csProduct
- v2.5.1.0: [48629] Las notificaciones push llegan al último dispositivo que ingresa
&gt; Empezando analisis pero se pospone por que se necesita un evolutivo.
</t>
      </text>
    </comment>
    <comment ref="CB9" authorId="51" shapeId="0" xr:uid="{00000000-0006-0000-0200-000044000000}">
      <text>
        <t>[Threaded comment]
Your version of Excel allows you to read this threaded comment; however, any edits to it will get removed if the file is opened in a newer version of Excel. Learn more: https://go.microsoft.com/fwlink/?linkid=870924
Comment:
## EMILIO
Tareas planificadas:
- v2.5.1.0: [48323] Informes Remote - Modulo Notas e Informes
&gt; pendiente: descargar informe
&gt; pendiente: cfg para desactivar integración con informes
Backlog:
- v2.5.1.1: [44807] Back. Ver informes en la APP - Paciente 
- v2.5.2.0: [45931] Integración Remote - EMPI
- Soporte nuevo compañero
- instalación de oracle 12
- instalación de postgres11
Reply:
    Avance:
-----------------------------------
- v2.5.1.0: [48323] Informes Remote - Modulo Notas e Informes
&gt; problemas con descargar pdf
&gt; cfg para desactivar integración con informes</t>
      </text>
    </comment>
    <comment ref="CC9" authorId="52" shapeId="0" xr:uid="{00000000-0006-0000-0200-00004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Desplegar en QA informes en ehcos-server-testing &gt; explicar por Marcos 
- Desplegar en QA remotehs en ehcos-server &gt; revisar remotehsProjectProperties y scripts
- v2.5.1.0: [48323] Informes Remote - Modulo Notas e Informes
&gt; accion adicional para guardar informes con estado sin firmar
- v2.5.1.0: [48813] Configuración de informes - CLINIC &gt; estimar y configurar
Backlog:
- v2.5.1.1: [44807] Back. Ver informes en la APP - Paciente 
- v2.5.2.0: [45931] Integración Remote - EMPI
- Soporte nuevo compañero
- instalación de oracle 12
- instalación de postgres11
Reply:
    Avance:
-----------------------------------
- Desplegar en QA informes en ehcos-server-testing &gt; explicar por Marcos 
- Desplegar en QA remotehs en ehcos-server &gt; revisar remotehsProjectProperties y scripts
- Revisando desarrollo de informes con osvaldo</t>
      </text>
    </comment>
    <comment ref="CD9" authorId="53" shapeId="0" xr:uid="{00000000-0006-0000-0200-000046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[48323] Informes Remote - Modulo Notas e Informes
- v2.5.1.0: [48810] Temas pendientes de informes
Backlog:
- v2.5.1.0: [48813] Configuración de informes - CLINIC 
- v2.5.1.1: [44807] Back. Ver informes en la APP - Paciente 
- v2.5.2.0: [45931] Integración Remote - EMPI
- Soporte nuevo compañero
- instalación de oracle 12
- instalación de postgres11
Reply:
    Avance:
-----------------------------------
- v2.5.1.0: [48810] Temas pendientes de informes
&gt; empezado y realizado con la sincronizacion de datos de profesional y paciente.
</t>
      </text>
    </comment>
    <comment ref="CE9" authorId="54" shapeId="0" xr:uid="{00000000-0006-0000-0200-00004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 Tareas planificadas:
 - Solicitar a Osvaldo avance de codigo en svn o sino enviar por correo.
 - Explicar a Ricardo despliegue de informes en ehcos-server-testing y scripts de la rama (EHCOSPROD-37551_ehCS)
 - v2.5.1.0: [48810] Temas pendientes de informes
Pausado:
 - v2.5.1.0: [48323] Informes Remote - Modulo Notas e Informes
Backlog:
 - v2.5.1.0: [48813] Configuración de informes - CLINIC 
 - v2.5.1.1: [44807] Back. Ver informes en la APP - Paciente 
 - v2.5.2.0: [45931] Integración Remote - EMPI
 - Soporte nuevo compañero
 - instalación de oracle 12
 - instalación de postgres11
Reply:
    Avance:
-----------------------------------
- Explicar a Ricardo despliegue de informes en ehcos-server-testing y scripts de la rama (EHCOSPROD-37551_ehCS)
&gt; Problema de despliegue en QA con informes
&gt; Ausente por problemas de conexión</t>
      </text>
    </comment>
    <comment ref="CH9" authorId="55" shapeId="0" xr:uid="{00000000-0006-0000-0200-000048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[48810] Temas pendientes de informes
Pausado:
- v2.5.1.0: [48323] Informes Remote - Modulo Notas e Informes
Backlog:
- Estabilizar informes
- v2.5.2.0: [45931] Integración Remote - EMPI
- v2.5.2.0: [44807] Back. Ver informes en la APP - Paciente 
- Soporte nuevo compañero
- instalación de oracle 12
- instalación de postgres11
Reply:
    Avance:
-----------------------------------
&gt; Ausente por problemas de ordenador, el jueves lo revisara IT
</t>
      </text>
    </comment>
    <comment ref="CI9" authorId="56" shapeId="0" xr:uid="{00000000-0006-0000-0200-00004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 Tareas planificadas:
 - Mover scripts de la rama de informes a scripts
 - Configurar clinic a Javier
 - Explicar informes a Javier
 - Traspasar wiki de remote a confluence
Pausado:
 - v2.5.1.0: [48810] Temas pendientes de informes
 - v2.5.1.0: [48323] Informes Remote - Modulo Notas e Informes
Backlog:
 - Estabilizar informes
 - v2.5.2.0: [45931] Integración Remote - EMPI
 - v2.5.2.0: [44807] Back. Ver informes en la APP - Paciente 
 - Soporte nuevo compañero
 - instalación de oracle 12
 - instalación de postgres11
Reply:
    Avance:
-----------------------------------
&gt; Ausente por problemas de ordenador, problema con actualizacion de windows y ventilador
- v2.5.1.0: [48810] Temas pendientes de informes 
&gt; completado sincronizar datos
- Configurar clinic a Javier
&gt; avanzando pero sin terminar
- Mover scripts de la rama de informes a scripts</t>
      </text>
    </comment>
    <comment ref="CJ9" authorId="57" shapeId="0" xr:uid="{00000000-0006-0000-0200-00004A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[48810] Temas pendientes de informes 
&gt; Guardar anexos sin duplicar en remote
&gt; Nuevas acciones genericos guardar y firmar
&gt; Nuevas acciones anular
Pausado:
- v2.5.1.0: [48323] Informes Remote - Modulo Notas e Informes
Backlog:
- Estabilizar informes
- v2.5.2.0: [45931] Integración Remote - EMPI
- v2.5.2.0: [44807] Back. Ver informes en la APP - Paciente 
- Soporte nuevo compañero
- instalación de oracle 12
- instalación de postgres11
Reply:
    Avance:
-----------------------------------
- v2.5.1.0: [48810] Temas pendientes de informes 
&gt; Guardar anexos sin duplicar en remote
&gt; Nuevas acciones genericos guardar y firmar
&gt; Ausente en daily por volver de la oficina
</t>
      </text>
    </comment>
    <comment ref="CK9" authorId="58" shapeId="0" xr:uid="{00000000-0006-0000-0200-00004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[48810] Temas pendientes de informes 
&gt; Nuevas acciones anular
Pausado:
- v2.5.1.0: [48323] Informes Remote - Modulo Notas e Informes
Backlog:
- Estabilizar informes
- v2.5.2.0: [45931] Integración Remote - EMPI
- v2.5.2.0: [44807] Back. Ver informes en la APP - Paciente 
- Soporte nuevo compañero
- instalación de oracle 12
- instalación de postgres11
Reply:
    Avance:
-----------------------------------
- v2.5.1.0: [48810] Temas pendientes de informes 
&gt; Nuevas acciones anular
- v2.5.1.0: [48772] Correctivos informes
&gt; avanzando
&gt; creado dump de clinic de qa</t>
      </text>
    </comment>
    <comment ref="CL9" authorId="59" shapeId="0" xr:uid="{00000000-0006-0000-0200-00004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&gt; TODO: Script para nueva columna cre_pak
&gt; TODO: 48810 14h Imputación pendiente emilio
- v2.5.1.0: [48772] Correctivos informes
Pausado:
- v2.5.1.0: [48323] Informes Remote - Modulo Notas e Informes
Backlog:
- Estabilizar informes
- v2.5.2.0: [45931] Integración Remote - EMPI
- v2.5.2.0: [44807] Back. Ver informes en la APP - Paciente 
- Soporte nuevo compañero
- instalación de oracle 12
- instalación de postgres11
Reply:
    Avance:
-----------------------------------
- v2.5.1.0: [48772] Correctivos informes
&gt; ausente en la daily por vacunación</t>
      </text>
    </comment>
    <comment ref="CP9" authorId="60" shapeId="0" xr:uid="{00000000-0006-0000-0200-00004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[48772] Correctivos informes
- v2.5.1.0: [48977] Otros correctivos de Informes - Profesional
Backlog:
- v2.5.1.0: Estabilizar informes
- v2.5.1.0: [44814] Back. Login multidispositivo &gt; DT y DL
- v2.5.2.0: [45931] Integración Remote - EMPI
- v2.5.2.0: [44807] Back. Ver informes en la APP - Paciente 
- Soporte nuevo compañero
- instalación de oracle 12
- instalación de postgres11
Reply:
    Avance:
-----------------------------------
- v2.5.1.0: [48772] Correctivos informes
&gt; realizado
- v2.5.1.0: [48977] Otros correctivos de Informes - Profesional
&gt; avanzando
&gt; malestar por la vacuna</t>
      </text>
    </comment>
    <comment ref="CQ9" authorId="61" shapeId="0" xr:uid="{00000000-0006-0000-0200-00004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v2.5.1.0: [48977] Otros correctivos de Informes - Profesional
Backlog:
- v2.5.1.0: Estabilizar informes
- v2.5.1.0: [44814] Back. Login multidispositivo &gt; DT y DL
- v2.5.2.0: [45931] Integración Remote - EMPI
- v2.5.2.0: [44807] Back. Ver informes en la APP - Paciente 
- Soporte nuevo compañero
- instalación de oracle 12
- instalación de postgres11
Reply:
    Avance:
-----------------------------------
- v2.5.1.0: [48977] Otros correctivos de Informes - Profesional
&gt; avanzando finalizo hoy</t>
      </text>
    </comment>
    <comment ref="CR9" authorId="62" shapeId="0" xr:uid="{00000000-0006-0000-0200-00004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 Tareas planificadas:
 - v2.5.1.0: [48977] Otros correctivos de Informes - Profesional
 - v2.5.1.0: [49429] Error al crear informe para pacientee &gt; estimar y corregir
 - v2.5.1.0: [49304] Error chat Web-App &gt; estimar y corregir
Backlog:
 - v2.5.1.0: Estabilizar informes
 - v2.5.1.0: [37551] Integración con EHR: elaboración de notas de evolución &gt; DT y DL remote
 - v2.5.1.0: [44814] Back. Login multidispositivo &gt; DT y DL
 - v2.5.2.0: [45931] Integración Remote - EMPI
 - v2.5.2.0: [44807] Back. Ver informes en la APP - Paciente 
 - Soporte nuevo compañero
 - instalación de oracle 12
 - instalación de postgres11
Reply:
    Avance:
-----------------------------------
- v2.5.1.0: [48977] Otros correctivos de Informes - Profesional
&gt; realizado
- v2.5.1.0: [49429] Error al crear informe para pacientee &gt; estimar y corregir
&gt; realizado</t>
      </text>
    </comment>
    <comment ref="CS9" authorId="63" shapeId="0" xr:uid="{00000000-0006-0000-0200-00005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 Tareas planificadas:
 - v2.5.1.0: [49488] Correctivos en tablas de informes
 - v2.5.1.0: [49489] Realizar de nuevo informe inactivo
 - v2.5.1.0: [48976] Primer registro de usuario - Falla
 - Subir todo al SVN, actualizar JIRA
Backlog:
 - v2.5.1.0: Estabilizar informes
 - v2.5.1.0: [37551] Integración con EHR: elaboración de notas de evolución &gt; DT y DL remote
 - v2.5.1.0: [44814] Back. Login multidispositivo &gt; DT y DL
 - v2.5.2.0: [45931] Integración Remote - EMPI
 - v2.5.2.0: [44807] Back. Ver informes en la APP - Paciente 
 - Soporte nuevo compañero
 - instalación de oracle 12
 - instalación de postgres11
Reply:
    Avance:
-----------------------------------
- v2.5.1.0: [49488] Correctivos en tablas de informes
&gt; realizado
- v2.5.1.0: [49489] Realizar de nuevo informe inactivo
&gt; realizado
- v2.5.1.0: [48976] Primer registro de usuario - Falla
&gt; realizado</t>
      </text>
    </comment>
    <comment ref="CW9" authorId="64" shapeId="0" xr:uid="{00000000-0006-0000-0200-00005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Diario: commit y actualizar JIRA / EXCEL
Tareas planificadas:
- v2.5.1.0: [48772] Correctivos informes &gt; devuelta
- v2.5.1.0: [48977] Otros correctivos de Informes - Profesional &gt; devuelta
- v2.5.1.0: [49598] Correctivos de Informes - profesional &gt; nueva
Backlog:
- v2.5.1.0: Estabilizar informes
- v2.5.1.0: [37551] Integración con EHR: elaboración de notas de evolución &gt; DT y DL remote
- v2.5.1.0: [44814] Back. Login multidispositivo &gt; DT y DL
- v2.5.2.0: [45931] Integración Remote - EMPI
- v2.5.2.0: [44807] Back. Ver informes en la APP - Paciente 
- Soporte nuevo compañero
- instalación de oracle 12
- instalación de postgres11
Reply:
    Avance:
-----------------------------------
- v2.5.1.0: [48772] Correctivos informes &gt; devuelta
&gt; realizado se corrigieron datos en bd de pacientes con apellidos nulos y se borro la cache
- v2.5.1.0: [48977] Otros correctivos de Informes - Profesional &gt; devuelta
&gt; realizado, revisado con cecilia diferentes ajustes
- v2.5.1.0: [37551] Integración con EHR: elaboración de notas de evolución &gt; DT y DL remote
&gt; casi terminado</t>
      </text>
    </comment>
    <comment ref="CX9" authorId="65" shapeId="0" xr:uid="{00000000-0006-0000-0200-00005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 Recordatorio diario: commit y actualizar JIRA / EXCEL (Sino funciona el JIRA dejar comentario con el avance)
Tareas planificadas:
 - v2.5.1.0: [44004] OTG-AUTHN-007 Prueba sobre la política de contraseñas &gt; devuelta
Backlog:
 - v2.5.1.0: Estabilizar informes
 - v2.5.1.0: [37551] Integración con EHR: elaboración de notas de evolución &gt; DT y DL remote
 - v2.5.1.0: [44814] Back. Login multidispositivo &gt; DT y DL
 - Soporte nuevo compañero
 - instalación de oracle 12
 - instalación de postgres11
Siguiente:
 - v2.5.2.0: [42660] Control de acceso a Remote OnPremise &gt; estimar y desarrollo
 - v2.5.2.0: [45931] Integración Remote - EMPI &gt; estimar y desarrollo
 - v2.5.2.0: [EHCOSPROD-44840] Back. Añadir gamificaciones en la APP - Profesional &gt; estimar y desarrollo
Reply:
    Avance:
-----------------------------------
- v2.5.1.0: [44004] OTG-AUTHN-007 Prueba sobre la política de contraseñas &gt; devuelta
&gt; empezando
&gt; Problemas con el despliegue en QA por orden de arranque</t>
      </text>
    </comment>
    <comment ref="CY9" authorId="66" shapeId="0" xr:uid="{00000000-0006-0000-0200-00005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Recordatorio diario: 
- Actualizar JIRA / EXCEL (Sino funciona el JIRA dejar comentario con el avance)
Tareas planificadas:
- v2.5.1.0: [44004] OTG-AUTHN-007 Prueba sobre la política de contraseñas &gt; devuelta
- v2.5.1.0: [49742] Soporte de idioma seleccionado en clinic para informes &gt; Script para sincronizar locale de clinic 
- v2.5.1.0: [37551] Integración con EHR: elaboración de notas de evolución &gt; DT y DL remote
- v2.5.1.0: [44814] Back. Login multidispositivo &gt; DT y DL
Siguiente:
- v2.5.1.0: Estabilizar informes
- v2.5.2.0: [42660] Control de acceso a Remote OnPremise &gt; estimar y desarrollo
- v2.5.2.0: [45931] Integración Remote - EMPI &gt; estimar y desarrollo
- v2.5.2.0: [44840] Back. Añadir gamificaciones en la APP - Profesional &gt; estimar y desarrollo
Backlog:
- Soporte nuevo compañero
- instalación de oracle 12
- instalación de postgres11
Reply:
    Avance:
-----------------------------------
- v2.5.1.0: [44004] OTG-AUTHN-007 Prueba sobre la política de contraseñas &gt; devuelta
&gt; realizado, devuelta, pero rechazada porque un admin no tiene que tener restricciones
- v2.5.1.0: [49742] Soporte de idioma seleccionado en clinic para informes &gt; Script para sincronizar locale de clinic 
&gt; Pendiente de subir scripts
&gt; ausencia por ir al oftalmologo</t>
      </text>
    </comment>
    <comment ref="CZ9" authorId="67" shapeId="0" xr:uid="{00000000-0006-0000-0200-000054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Recordatorio diario: 
- Actualizar JIRA / EXCEL (Sino funciona el JIRA dejar comentario con el avance)
Tareas planificadas:
- Subir DTs a TEAMS y JIRA
- v2.5.1.0: [49742] Soporte de idioma seleccionado en clinic para informes &gt; Script para sincronizar locale de clinic &gt; Pendiente de subir scripts
- v2.5.1.0: [49794] Etiquetas de informes
- v2.5.1.0: [48977] Otros correctivos de Informes - Profesional
Siguiente:
- v2.5.1.0: Estabilizar informes
- v2.5.1.0: [37551] Integración con EHR: elaboración de notas de evolución &gt; DT y DL remote
- v2.5.1.0: [44814] Back. Login multidispositivo &gt; DT y DL
- v2.5.2.0: [42660] Control de acceso a Remote OnPremise &gt; estimar y desarrollo
- v2.5.2.0: [45931] Integración Remote - EMPI &gt; estimar y desarrollo
- v2.5.2.0: [44840] Back. Añadir gamificaciones en la APP - Profesional &gt; estimar y desarrollo
Backlog:
- Soporte nuevo compañero
- instalación de oracle 12
- instalación de postgres11
Reply:
    Avance:
-----------------------------------
- v2.5.1.0: [49794] Etiquetas de informes
&gt; realizado
- v2.5.1.0: [48977] Otros correctivos de Informes - Profesional
&gt; realizado
&gt; Despliegue en QA
&gt; Soporte a Javier con problemas de telecare.zul por bloqueo de JSON FIREBASE
</t>
      </text>
    </comment>
    <comment ref="DC9" authorId="68" shapeId="0" xr:uid="{00000000-0006-0000-0200-00005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Recordatorio diario: 
- Actualizar JIRA / EXCEL
Tareas planificadas:
- Subir DTs a TEAMS y JIRA
- v2.5.1.0: [37551] Integración con EHR: elaboración de notas de evolución &gt; DT y DL remote
- v2.5.1.0: [44814] Back. Login multidispositivo &gt; DT y DL
- Preparar itininerario de formación en Confluence
Siguiente:
- v2.5.2.0: [48075] [Desarrollo] Control de licencias on-premise &gt; estimar y desarrollo para Javier
- v2.5.2.0: [45931] Integración Remote - EMPI &gt; desarrollo de pantallas
Backlog:
- Soporte nuevos compañeros
- instalación de oracle 12
- instalación de postgres11
Reply:
    Avance:
-----------------------------------
- v2.5.1.0: [37551] Integración con EHR: elaboración de notas de evolución &gt; DT y DL remote
&gt; realizado
- Preparar itinerario de formación en Confluence
&gt; realizado
&gt; Soporte a Javier
- v2.5.2.0: [48075] [Desarrollo] Control de licencias on-premise &gt; estimar y desarrollo para Javier
&gt; empezando estimación</t>
      </text>
    </comment>
    <comment ref="DD9" authorId="69" shapeId="0" xr:uid="{00000000-0006-0000-0200-00005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Recordatorio diario: 
- Actualizar JIRA / EXCEL
Tareas planificadas:
- v2.5.1.0: [44814] Back. Login multidispositivo &gt; DT y DL
- v2.5.2.0: [48075] [Desarrollo] Control de licencias on-premise &gt; estimar y desarrollo para Javier
Siguiente:
- v2.5.2.0: [45931] Integración Remote - EMPI &gt; desarrollo de pantallas
Backlog:
- Soporte nuevos compañeros
- instalación de oracle 12
- instalación de postgres11
Reply:
    Avance:
-----------------------------------
- v2.5.1.0: [44814] Back. Login multidispositivo &gt; DT y DL
&gt; realizado
- v2.5.2.0: [48075] [Desarrollo] Control de licencias on-premise &gt; estimar y desarrollo para Javier
&gt; avanzando en la estimación
&gt; Soporte a Javier con la incidencia del chat.
&gt; Soporte a nuevos compañeros</t>
      </text>
    </comment>
    <comment ref="DE9" authorId="70" shapeId="0" xr:uid="{00000000-0006-0000-0200-000057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
Recordatorio diario: 
- Actualizar JIRA / EXCEL
Tareas planificadas:
- v2.5.2.0: [48075] [Desarrollo] Control de licencias on-premise &gt; desarrollo
Siguiente:
- v2.5.2.0: [45931] Integración Remote - EMPI &gt; desarrollo de pantallas
Backlog:
- Soporte nuevos compañeros
- instalación de oracle 12
- instalación de postgres11
Reply:
    Avance:
-----------------------------------
- v2.5.2.0: [48075] [Desarrollo] Control de licencias on-premise &gt; estimar y desarrollo para Javier
&gt; terminada la estimación con dudas
</t>
      </text>
    </comment>
    <comment ref="DF9" authorId="71" shapeId="0" xr:uid="{00000000-0006-0000-0200-00005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Recordatorio diario: 
- Actualizar JIRA / EXCEL
Tareas planificadas:
- v2.5.2.0: [48075] [Desarrollo] Control de licencias on-premise &gt; desarrollo
Siguiente:
- v2.5.2.0: [45931] Integración Remote - EMPI &gt; desarrollo de pantallas
Backlog:
- Soporte nuevos compañeros
- instalación de oracle 12
- instalación de postgres11
Reply:
    Avance:
-----------------------------------
- v2.5.2.0: [48075] [Desarrollo] Control de licencias on-premise &gt; desarrollo
&gt; avance y actualizar JIRA / EXCEL
&gt; generada rama con trunk con errores</t>
      </text>
    </comment>
    <comment ref="DG9" authorId="72" shapeId="0" xr:uid="{00000000-0006-0000-0200-00005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Recordatorio diario: 
- Actualizar JIRA / EXCEL
Tareas planificadas:
- v2.5.2.0: [48075] [Desarrollo] Control de licencias on-premise &gt; fin: 14/07/2021
- Configurar rama con el trunk y aplicar parche del evolutivo
Siguiente:
- v2.5.2.0: [45931] Integración Remote - EMPI &gt; desarrollo de pantallas UI Marcar/desmarcar a los pacientes que no tiene 
Backlog:
- Soporte nuevos compañeros
- instalación de oracle 12
- instalación de postgres11
Reply:
    Avance:
-----------------------------------
- v2.5.2.0: [48075] [Desarrollo] Control de licencias on-premise &gt; desarrollo
&gt; avance y actualizar JIRA / EXCEL
&gt; generada rama con trunk con errores</t>
      </text>
    </comment>
    <comment ref="DJ9" authorId="73" shapeId="0" xr:uid="{00000000-0006-0000-0200-00005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Recordatorio diario: 
- Actualizar JIRA / EXCEL
Tareas planificadas:
- v2.5.2.0: [48075] [Desarrollo] Control de licencias on-premise &gt; fin: 14/07/2021
- Configurar rama con el trunk y aplicar parche del evolutivo
Siguiente:
- v2.5.2.0: [45931] Integración Remote - EMPI &gt; desarrollo de pantallas UI Marcar/desmarcar a los pacientes que no tiene 
Backlog:
- Soporte nuevos compañeros
- instalación de oracle 12
- instalación de postgres11
Reply:
    Avance:
-----------------------------------
- v2.5.2.0: [48075] [Desarrollo] Control de licencias on-premise &gt; fin: 14/07/2021
&gt; avanzando y revisando dudas con Jose de ARQ
- Soporte nuevos compañeros</t>
      </text>
    </comment>
    <comment ref="DK9" authorId="74" shapeId="0" xr:uid="{00000000-0006-0000-0200-00005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Recordatorio diario: 
- Actualizar JIRA / EXCEL
Tareas planificadas:
- v2.5.2.0: [48075] [Desarrollo] Control de licencias on-premise &gt; fin: 14/07/2021
- Casos de prueba de teslink del evolutivo
- Configurar rama con el trunk y aplicar parche del evolutivo
Siguiente:
- v2.5.2.0: [45931] Integración Remote - EMPI &gt; desarrollo de pantallas UI Marcar/desmarcar a los pacientes que no tiene 
Backlog:
- Soporte nuevos compañeros
- instalación de oracle 12
- instalación de postgres11
Reply:
    Avance:
-----------------------------------
- v2.5.2.0: [48075] [Desarrollo] Control de licencias on-premise &gt; fin: 14/07/2021
&gt; avanzando y revisando dudas con Jose de ARQ
&gt; cambios de version en los pom para la licencia</t>
      </text>
    </comment>
    <comment ref="DL9" authorId="75" shapeId="0" xr:uid="{00000000-0006-0000-0200-00005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Recordatorio diario: 
- Actualizar JIRA / EXCEL
Tareas planificadas:
- v2.5.2.0: [48075] [Desarrollo] Control de licencias on-premise &gt; fin: 14/07/2021
- Enviar correo con el estado de la tarea antes de las VACACIONES
- Casos de prueba de testlink del evolutivo
- Configurar rama con el trunk y aplicar parche del evolutivo
Siguiente:
- v2.5.2.0: [45931] Integración Remote - EMPI &gt; desarrollo de pantallas UI Marcar/desmarcar a los pacientes que no tiene 
Backlog:
- Soporte nuevos compañeros
- instalación de oracle 12
- instalación de postgres11</t>
      </text>
    </comment>
    <comment ref="DQ9" authorId="76" shapeId="0" xr:uid="{00000000-0006-0000-0200-00005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v2.5.2.0: [50224] UI marcar/desmarcar a los pacientes que no tienen acceso a información de sistemas externos
Siguiente:
- v2.5.2.0: [50225] UI desarrollo en Perfil 360 para que muestre aviso a los pacientes sin acceso
Backlog:
- instalación de oracle 12
- instalación de postgres11
Reply:
    Avance:
-----------------------------------
- v2.5.2.0: [48075] [Desarrollo] Control de licencias on-premise &gt; fin: 14/07/2021
&gt; realizado
- v2.5.2.0: [50224] UI marcar/desmarcar a los pacientes que no tienen acceso a información de sistemas externos
&gt; Configurar entorno y con dudas funcionales y bloqueos de otras tareas
- Soporte a compañeros</t>
      </text>
    </comment>
    <comment ref="DR9" authorId="77" shapeId="0" xr:uid="{00000000-0006-0000-0200-00005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v2.5.2.0: [50224] UI marcar/desmarcar a los pacientes que no tienen acceso a información de sistemas externos
Siguiente:
- v2.5.2.0: [50225] UI desarrollo en Perfil 360 para que muestre aviso a los pacientes sin acceso
Backlog:
- instalación de oracle 12
- instalación de postgres11
Reply:
    Avance:
-----------------------------------
- v2.5.2.0: [48075] [Desarrollo] Control de licencias on-premise &gt; fin: 14/07/2021
&gt; realizado
- v2.5.2.0: [50224] UI marcar/desmarcar a los pacientes que no tienen acceso a información de sistemas externos
&gt; Configurar entorno y con dudas funcionales y bloqueos de otras tareas
- Soporte a compañeros</t>
      </text>
    </comment>
    <comment ref="DS9" authorId="78" shapeId="0" xr:uid="{00000000-0006-0000-0200-00005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v2.5.2.0: [50224] UI marcar/desmarcar a los pacientes que no tienen acceso a información de sistemas externos
Siguiente:
- v2.5.2.0: [50225] UI desarrollo en Perfil 360 para que muestre aviso a los pacientes sin acceso
Backlog:
- instalación de oracle 12
- instalación de postgres11
Reply:
    Avance:
-----------------------------------
- v2.5.2.0: [48075] [Desarrollo] Control de licencias on-premise &gt; fin: 14/07/2021
&gt; realizado
- v2.5.2.0: [50224] UI marcar/desmarcar a los pacientes que no tienen acceso a información de sistemas externos
&gt; Configurar entorno y con dudas funcionales y bloqueos de otras tareas
- Soporte a compañeros</t>
      </text>
    </comment>
    <comment ref="DT9" authorId="79" shapeId="0" xr:uid="{00000000-0006-0000-0200-00006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v2.5.2.0: [50224] UI marcar/desmarcar a los pacientes que no tienen acceso a información de sistemas externos
Siguiente:
- v2.5.2.0: [50225] UI desarrollo en Perfil 360 para que muestre aviso a los pacientes sin acceso
Backlog:
- instalación de oracle 12
- instalación de postgres11
Reply:
    Avance:
-----------------------------------
- v2.5.2.0: [50224] UI marcar/desmarcar a los pacientes que no tienen acceso a información de sistemas externos
&gt; avanzando con el type master, y revisando cambios en el funcional
&gt; revisado con hector el servicio para la busqueda de empi</t>
      </text>
    </comment>
    <comment ref="DU9" authorId="80" shapeId="0" xr:uid="{00000000-0006-0000-0200-00006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v2.5.2.0: [50224] UI marcar/desmarcar a los pacientes que no tienen acceso a información de sistemas externos
Siguiente:
- v2.5.2.0: [50225] UI desarrollo en Perfil 360 para que muestre aviso a los pacientes sin acceso
Backlog:
- instalación de oracle 12
- instalación de postgres11
Reply:
    Avance:
-----------------------------------
- v2.5.2.0: [50224] UI marcar/desmarcar a los pacientes que no tienen acceso a información de sistemas externos
&gt; revisado funcional y avanzando
&gt; pruebas de busqueda apuntando a LOCAL, faltan datos para prueba de busqueda</t>
      </text>
    </comment>
    <comment ref="DX9" authorId="81" shapeId="0" xr:uid="{00000000-0006-0000-0200-00006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v2.5.2.0: [50224] UI marcar/desmarcar a los pacientes que no tienen acceso a información de sistemas externos
Siguiente:
- v2.5.2.0: [50225] UI desarrollo en Perfil 360 para que muestre aviso a los pacientes sin acceso
Backlog:
- instalación de oracle 12
- instalación de postgres11
Reply:
    Avance:
-----------------------------------
- v2.5.2.0: [50224] UI marcar/desmarcar a los pacientes que no tienen acceso a información de sistemas externos &gt; fin:27/07
&gt; finalizado marcar desmarcar paciente
- v2.5.2.0: [50225] UI desarrollo en Perfil 360 para que muestre aviso a los pacientes sin acceso
&gt; terminando</t>
      </text>
    </comment>
    <comment ref="DY9" authorId="82" shapeId="0" xr:uid="{00000000-0006-0000-0200-00006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v2.5.2.0: [50225] UI desarrollo en Perfil 360 para que muestre aviso a los pacientes sin acceso
- v2.5.2.0: [50224] UI marcar/desmarcar a los pacientes que no tienen acceso a información de sistemas externos &gt; fin:27/07
Siguiente:
- v2.5.2.0: [50715] UI. Verificación usuarios en ficha
- v2.5.2.0: [50750] Servicios APP verificación de usuario
- v2.5.1.3: [47898] Añadir filtro de búsqueda por grupo al crear videoconferencias grupales &gt; estimar y desarrollo
Backlog:
- v2.5.2.0: [45315] Rangos vitales &gt; estimar y desarrollo
- instalación de oracle 12
- instalación de postgres11
Reply:
    Avance:
-----------------------------------
- v2.5.2.0: [50225] UI desarrollo en Perfil 360 para que muestre aviso a los pacientes sin acceso
&gt; realizado
- v2.5.2.0: [50224] UI marcar/desmarcar a los pacientes que no tienen acceso a información de sistemas externos &gt; fin:27/07
&gt; realizado
- v2.5.2.0: [50715] UI. Verificación usuarios en ficha
&gt; realizado
- v2.5.2.0: [50750] Servicios APP verificación de usuario
&gt; realizado</t>
      </text>
    </comment>
    <comment ref="DZ9" authorId="83" shapeId="0" xr:uid="{00000000-0006-0000-0200-00006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
Tareas planificadas:
- v2.5.1.2: [47898] Añadir filtro de búsqueda por grupo al crear videoconferencias grupales &gt; estimar y desarrollo
Siguiente:
- v2.5.2.0: [45315] Rangos vitales &gt; estimar y desarrollo
Backlog:
- instalación de oracle 12
- instalación de postgres11
Reply:
    Avance:
-----------------------------------
- v2.5.1.2: [47898] Añadir filtro de búsqueda por grupo al crear videoconferencias grupales &gt; estimar y desarrollo
&gt; estimado en 20h y avanzando en el desarrollo
&gt; Soporte a los compañeros</t>
      </text>
    </comment>
    <comment ref="EA9" authorId="84" shapeId="0" xr:uid="{00000000-0006-0000-0200-00006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v2.5.1.2: [47898] Añadir filtro de búsqueda por grupo al crear videoconferencias grupales &gt; estimar y desarrollo
Siguiente:
- v2.5.2.0: [45315] Rangos vitales &gt; estimar y desarrollo
Backlog:
- instalación de oracle 12
- instalación de postgres11
Reply:
    Avance:
-----------------------------------
- v2.5.1.2: [47898] Añadir filtro de búsqueda por grupo al crear videoconferencias grupales &gt; fin:03/08
&gt; avanzando, se estima que terminara el desarrollo ya</t>
      </text>
    </comment>
    <comment ref="EB9" authorId="85" shapeId="0" xr:uid="{00000000-0006-0000-0200-00006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v2.5.1.2: [47898] Añadir filtro de búsqueda por grupo al crear videoconferencias grupales &gt; fin:03/08
Siguiente:
- v2.5.2.0: [45315] Rangos vitales &gt; estimar y desarrollo
Backlog:
- instalación de oracle 12
- instalación de postgres11</t>
      </text>
    </comment>
    <comment ref="EE9" authorId="86" shapeId="0" xr:uid="{00000000-0006-0000-0200-00006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v2.5.1.2: [47898] Añadir filtro de búsqueda por grupo al crear videoconferencias grupales &gt; fin:02/08
- [47898] Despliege en PRE BR despligue con soporte informes
- [47898] Documentación 
Siguiente:
- v2.5.2.0: [45315] Rangos vitales &gt; estimar y desarrollo
Backlog:
- v2.5.3: Evolutivo Citas y Profesionales
- instalación de oracle 12
- instalación de postgres11
Reply:
    Avance:
-----------------------------------
- v2.5.1.2: [47898] Añadir filtro de búsqueda por grupo al crear videoconferencias grupales &gt; fin:02/08
- [47898] Despliege en PRE BR despligue con soporte informes
- [47898] Documentación de Api REST
&gt; completadas pruebas incluido ponencias, le falta acceso al testlink
&gt; Soporte a compañeros</t>
      </text>
    </comment>
    <comment ref="EF9" authorId="87" shapeId="0" xr:uid="{00000000-0006-0000-0200-00006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[47898] Documentación de DT y DL
- v2.5.2.1: [45315] Nueva notificación datos vitales (Rango) &gt; estimar y desarrollo
Siguiente:
Backlog:
- v2.5.3: Evolutivo Citas y Profesionales
- instalación de oracle 12
- instalación de postgres11
Reply:
    Avance:
-----------------------------------
- v2.5.2.1: [50984] No se están listando los participantes por Grupo
&gt; realizado pendiente de commit para evitar conflicto con desarrollo de marcos
- v2.5.2.1: [45315] Nueva notificación datos vitales (Rango) &gt; estimar y desarrollo
&gt; empezando analisis pendiente de dudas con grecia</t>
      </text>
    </comment>
    <comment ref="EG9" authorId="88" shapeId="0" xr:uid="{00000000-0006-0000-0200-00006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v2.5.2.0: [50991] Errores en evolutivo - Control de acceso a Remote OnPremise
Siguiente:
- [47898] Documentación de DT y DL
- v2.5.2.1: [45315] Nueva notificación datos vitales (Rango) &gt; estimar y desarrollo
Backlog:
- v2.5.3: Evolutivo Citas y Profesionales
- instalación de oracle 12
- instalación de postgres11
Reply:
    Avance:
-----------------------------------
- v2.5.2.0: [50991] Errores en evolutivo - Control de acceso a Remote OnPremise &gt; estimar y desarrollo
&gt; avanzando
&gt; ausente en daily por problemas de internet</t>
      </text>
    </comment>
    <comment ref="EH9" authorId="89" shapeId="0" xr:uid="{00000000-0006-0000-0200-00006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v2.5.2.0: [50991] Errores en evolutivo - Control de acceso a Remote OnPremise &gt; estimar y desarrollo
Siguiente:
- [47898] Documentación de DT y DL
- v2.5.2.1: [45315] Nueva notificación datos vitales (Rango) &gt; estimar y desarrollo
Backlog:
- v2.5.3: Evolutivo Citas y Profesionales
- instalación de oracle 12
- instalación de postgres11
Reply:
    Avance:
-----------------------------------
- [47898] Documentación de DT y DL
&gt; realizado
- v2.5.2.1: [51071] Filtro grupos. No coinciden los resultados
&gt; corregido pero por despiste no se hizo commit
- v2.5.2.1: [45315] Nueva notificación datos vitales (Rango) &gt; estimar y desarrollo
&gt; terminada estimacion
- v2.5.2.0: [50991] Errores en evolutivo - Control de acceso a Remote OnPremise &gt; estimar y desarrollo
&gt; avanzando casi terminado
- vacaciones del 30 de Agosto al 3 de Septiembre
&gt; confirmadas por grecia</t>
      </text>
    </comment>
    <comment ref="EI9" authorId="90" shapeId="0" xr:uid="{00000000-0006-0000-0200-00006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v2.5.2.0: [50991] Errores en evolutivo - Control de acceso a Remote OnPremise &gt; estimar y desarrollo
Siguiente:
- v2.5.2.1: [45315] Nueva notificación datos vitales (Rango) &gt; estimar y desarrollo
Backlog:
- v2.5.3: Evolutivo Citas y Profesionales
- instalación de oracle 12
- instalación de postgres11
Reply:
    Avance:
-----------------------------------
- v2.5.2.0: [50991] Errores en evolutivo - Control de acceso a Remote OnPremise &gt; fin:10/08
&gt; terminada
- v2.5.2.1: [45315] Nueva notificación datos vitales (Rango) &gt; estimar y desarrollo
&gt; empezando
&gt; Problema de pom para validar las licencias</t>
      </text>
    </comment>
    <comment ref="EL9" authorId="91" shapeId="0" xr:uid="{00000000-0006-0000-0200-00006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v2.5.2.1: [45315] Nueva notificación datos vitales (Rango) &gt; estimar y desarrollo
Siguiente:
Backlog:
- v2.5.3: Evolutivo Citas y Profesionales
- instalación de oracle 12
- instalación de postgres11
Reply:
    Avance:
-----------------------------------
- v2.5.2.1: [45315] Nueva notificación datos vitales (Rango) &gt; estimar y desarrollo
&gt; Sin avance por Problemas de entorno con el trunk por dependencias y servidor
&gt; Soporte a JOSE tiene problemas con dependencias</t>
      </text>
    </comment>
    <comment ref="EM9" authorId="92" shapeId="0" xr:uid="{00000000-0006-0000-0200-00006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v2.5.2.0: [51127] [Merge from 2.5.1.2 to 2.5.2.0] No se están listando los participantes por Grupo
- v2.5.2.1: [45315] Nueva notificación datos vitales (Rango) &gt; estimar y desarrollo
Siguiente:
Backlog:
- v2.5.3: Evolutivo Citas y Profesionales
- instalación de oracle 12
- instalación de postgres11
Reply:
    Avance:
-----------------------------------
- v2.5.2.0: [51127] [Merge from 2.5.1.2 to 2.5.2.0] No se están listando los participantes por Grupo
&gt; revisada
- v2.5.2.1: [45315] Nueva notificación datos vitales (Rango) &gt; estimar y desarrollo
&gt; avance
&gt; Soporte a los compañeros</t>
      </text>
    </comment>
    <comment ref="EN9" authorId="93" shapeId="0" xr:uid="{00000000-0006-0000-0200-00006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v2.5.2.1: [45315] Nueva notificación datos vitales (Rango) &gt; estimar y desarrollo
Siguiente:
Backlog:
- v2.5.3: Evolutivo Citas y Profesionales
- instalación de oracle 12
- instalación de postgres11
Reply:
    Avance:
-----------------------------------
- v2.5.2.1: [42660] Control de acceso a Remote OnPremise
&gt; Cambios para control de licencias
- v2.5.2.1: [45315] Nueva notificación datos vitales (Rango) &gt; estimar y desarrollo
&gt; Pausada
&gt; Soporte Javier</t>
      </text>
    </comment>
    <comment ref="EO9" authorId="94" shapeId="0" xr:uid="{00000000-0006-0000-0200-00006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v2.5.2.1: [42660] Control de acceso a Remote OnPremise &gt; Pruebas de control de licencias
- v2.5.2.1: [45315] Nueva notificación datos vitales (Rango) &gt; estimar y desarrollo
Siguiente:
Backlog:
- v2.5.3: Evolutivo Citas y Profesionales
- instalación de oracle 12
- instalación de postgres11
Reply:
    Avance:
-----------------------------------
- v2.5.2.1: [42660] Control de acceso a Remote OnPremise &gt; Pruebas de control de licencias
&gt; Revisando se detecto problema con accesos de Rolman y se decidio desactivar el codigo para poder validar
&gt; Se realizaron varios despliegues, faltaban scripts.</t>
      </text>
    </comment>
    <comment ref="EP9" authorId="95" shapeId="0" xr:uid="{00000000-0006-0000-0200-000070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v2.5.2.1: [42660] Control de acceso a Remote OnPremise &gt; cfg de licencias
- v2.5.2.1: [45315] Nueva notificación datos vitales (Rango) &gt; estimar y desarrollo
Siguiente:
- v2.5.3.0: [50448] Integración con Binah.ai &gt; estimacion para luego asignar a Jose y Carlos
Backlog:
- v2.5.3: Evolutivo Citas y Profesionales
- instalación de oracle 12
- instalación de postgres11
Reply:
    Avance:
-----------------------------------
- v2.5.2.1: [42660] Control de acceso a Remote OnPremise &gt; cfg de licencias
&gt; realizado
&gt; Completar estabilizar EMPI: 51346, 50716
</t>
      </text>
    </comment>
    <comment ref="ES9" authorId="96" shapeId="0" xr:uid="{00000000-0006-0000-0200-00007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Ayuda para estabilizar EMPI
Siguiente:
- v2.5.2.1: [45315] Nueva notificación datos vitales (Rango) &gt; estimar y desarrollo
Backlog:
- instalación de oracle 12
- instalación de postgres11
Reply:
    Avance:
-----------------------------------
- v2.5.2.1: [42660] Control de acceso a Remote OnPremise &gt; cfg de licencias
&gt; realizado
&gt; Completar estabilizar EMPI: 51346, 50716
</t>
      </text>
    </comment>
    <comment ref="ET9" authorId="97" shapeId="0" xr:uid="{00000000-0006-0000-0200-00007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v2.5.2.1: [45315] Nueva notificación datos vitales (Rango) &gt; estimar y desarrollo
Siguiente:
- v2.5.3.0: [50448] Integración con Binah.ai &gt; estimacion para luego asignar a Jose y Carlos
Backlog:
- v2.5.3.0: Evolutivo Citas y Profesionales &gt; Emilio y Javier
- instalación de oracle 12
- instalación de postgres11
Reply:
    Avance:
-----------------------------------
&gt; estabilizar jiras para liberación 51436, 51438
&gt; se necesitaron varios despliegues por que no cogia los cambios
</t>
      </text>
    </comment>
    <comment ref="EU9" authorId="98" shapeId="0" xr:uid="{00000000-0006-0000-0200-00007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Actualizar JIRAS
- v2.5.2.1: [45315] Nueva notificación datos vitales (Rango) &gt; estimar y desarrollo [fin:20/08]
Siguiente:
- v2.5.3.0: [50448] Integración con Binah.ai &gt; estimacion para luego asignar a Jose y Carlos
Backlog:
- v2.5.3.0: Evolutivo Citas y Profesionales &gt; Emilio y Javier
- instalación de oracle 12
- instalación de postgres11
Reply:
    Avance:
-----------------------------------
- v2.5.2.1: [45315] Nueva notificación datos vitales (Rango) &gt; estimar y desarrollo [fin:20/08]
&gt; avanzando</t>
      </text>
    </comment>
    <comment ref="EV9" authorId="99" shapeId="0" xr:uid="{00000000-0006-0000-0200-00007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Actualizar JIRAS faltan varios dias
- Si es necesario realizar subida a QA para validar la v2.5.2.1
- v2.5.2.1: [45315] Nueva notificación datos vitales (Rango) &gt; estimar y desarrollo [fin:20/08]
Siguiente:
- v2.5.3.0: [50448] Integración con Binah.ai &gt; estimacion para luego asignar a Jose y Carlos
Backlog:
- v2.5.3.0: Evolutivo Citas y Profesionales &gt; Emilio y Javier
- instalación de oracle 12
- instalación de postgres11
Reply:
    Avance:
-----------------------------------
- v2.5.2.1: [45315] Nueva notificación datos vitales (Rango) &gt; estimar y desarrollo [fin:20/08]
&gt; realizado y validado con grecia
&gt; Soporte con los merges de los compañeros
&gt; Reunión de industralización</t>
      </text>
    </comment>
    <comment ref="EW9" authorId="100" shapeId="0" xr:uid="{00000000-0006-0000-0200-00007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Actualizar JIRAS faltan varios dias
- v2.5.3.0: [50448] Integración con Binah.ai &gt; estimacion para luego asignar a Jose y Carlos
Siguiente:
- v2.5.3.0: Evolutivo Citas y Profesionales &gt; Emilio y Javier
Backlog:
- instalación de oracle 12
- instalación de postgres11
Reply:
    Avance:
-----------------------------------
- Actualizar JIRAS faltan varios dias
&gt; realizado
- v2.5.3.0: [51595] [DT] Integración Binah.ai &gt; estimacion [fin:23/08]</t>
      </text>
    </comment>
    <comment ref="EZ9" authorId="101" shapeId="0" xr:uid="{00000000-0006-0000-0200-00007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 Tareas planificadas:
 - v2.5.3.0: [51595] [DT] Integración Binah.ai &gt; estimacion
Siguiente:
 - v2.5.3.0: [49317] Modificar servicio relationship
 - v2.5.3.0: Evolutivo Citas y Profesionales &gt; Emilio y Javier
Backlog:
 - instalación de oracle 12
 - instalación de postgres11
Reply:
    Avance:
-----------------------------------
- v2.5.3.0: [51595] [DT] Integración Binah.ai &gt; estimacion
&gt; avanzado pendiente de dudas 
- v2.5.3.0: [49317] Modificar servicio relationship 
&gt; realizado subido por error</t>
      </text>
    </comment>
    <comment ref="FA9" authorId="102" shapeId="0" xr:uid="{00000000-0006-0000-0200-00007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v2.5.3.0: [49317] Modificar servicio relationship &gt; mover a una rama y retroceder commit del trunk
- v2.5.2.1: [51795] No se genera notificación si esta configurado las notificaciones instantáneas
- v2.5.3.0: [51595] [DT] Integración Binah.ai &gt; estimacion
Siguiente:
- v2.5.3.0: [50007] Back. No se puede acceder al chat 1:1 cuando estás dentro de una video &gt; estimar para carlos
- v2.5.3.0: [49315] Servicios de perfil 360 se deberán poder consultar con profesional &gt; estimar para carlos
- v2.5.3.0: Evolutivo Citas y Profesionales &gt; Emilio y Javier
Backlog:
- instalación de oracle 12
- instalación de postgres11
Reply:
    Avance:
-----------------------------------
Mueve las horas imputadas para la estimación a la tarea de DT
&gt; realizado
- v2.5.3.0: [49317] Modificar servicio relationship &gt; mover a una rama y retroceder commit del trunk
&gt; realizado
- v2.5.2.1: [51795] No se genera notificación si esta configurado las notificaciones instantáneas
&gt; realizado
- v2.5.3.0: [51595] [DT] Integración Binah.ai &gt; estimacion
&gt; realizado
&gt; Soporte a Jose</t>
      </text>
    </comment>
    <comment ref="FB9" authorId="103" shapeId="0" xr:uid="{00000000-0006-0000-0200-000078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v2.5.2.0: [42660] Control de acceso a Remote OnPremise &gt; DT y DL
- v2.5.2.1: [45315] Nueva notificación datos vitales (Rango) &gt; DT y DL
Siguiente:
- v2.5.3.0: [49315] Servicios de perfil 360 se deberán poder consultar con profesional &gt; estimar para carlos
- v2.5.3.0: [50007] Back. No se puede acceder al chat 1:1 cuando estás dentro de una video &gt; estimar para carlos
- v2.5.3.0: Evolutivo Citas y Profesionales &gt; Emilio y Javier
Bloqueadas:
- v2.5.3.0: [49317] Modificar servicio relationship &gt; espera merge
- v2.5.3.0: [51436] Error con licencia &gt; espera arq
Backlog:
- instalación de oracle 12
- instalación de postgres11
Reply:
    Avance:
-----------------------------------
- v2.5.2.0: [42660] Control de acceso a Remote OnPremise &gt; DT y DL
&gt; realizado
- v2.5.2.1: [45315] Nueva notificación datos vitales (Rango) &gt; DT y DL
&gt; realizado
- v2.5.3.0: [49315] Servicios de perfil 360 se deberán poder consultar con profesional &gt; estimar para carlos
&gt; realizado
- v2.5.3.0: [50007] Back. No se puede acceder al chat 1:1 cuando estás dentro de una video &gt; estimar para carlos
&gt; realizado
</t>
      </text>
    </comment>
    <comment ref="FC9" authorId="104" shapeId="0" xr:uid="{00000000-0006-0000-0200-00007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Vacaciones de Emilio del 26/08 al 03/09 (5 días + 1 descanso)
Siguiente:
- v2.5.3.0: Evolutivo Citas y Profesionales &gt; Emilio y Javier
Bloqueadas:
- v2.5.3.0: [49317] Modificar servicio relationship &gt; espera merge
- v2.5.3.0: [51436] Error con licencia &gt; espera arq
Backlog:
- instalación de oracle 12
- instalación de postgres11</t>
      </text>
    </comment>
    <comment ref="FD9" authorId="105" shapeId="0" xr:uid="{00000000-0006-0000-0200-00007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descanso por sobresfuerzo en estabilizar versión</t>
      </text>
    </comment>
    <comment ref="FN9" authorId="106" shapeId="0" xr:uid="{00000000-0006-0000-0200-00007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Emilio
2.5.3.0: [49317] Modificar servicio relationship &gt; merge al trunk si ya se ha validado el desarollo
2.5.3.0: [51859 -&gt; desarrollo 48021] Asignar cuestionario en plan de contacto: desarrollo junto a Jose Mellado. Preparar entorno de desarrollo, revisar documentación y videos, iniciar desarrollo de la ejecución de la acción en el plan [subida al trunk:15/09/2021]</t>
      </text>
    </comment>
    <comment ref="FO9" authorId="107" shapeId="0" xr:uid="{00000000-0006-0000-0200-00007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Emilio
2.5.3.0: [51859 -&gt; desarrollo 48021] Asignar cuestionario en plan de contacto: desarrollo junto a Jose Mellado. Revisión de dudas sobre el desarrollo, desarrollo de WorkflowProductFormAssignAction para ejecución de la acción en el plan [subida al trunk:15/09/2021]</t>
      </text>
    </comment>
    <comment ref="FP9" authorId="108" shapeId="0" xr:uid="{00000000-0006-0000-0200-00007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Emilio
2.5.3.0: [51859 -&gt; desarrollo 48021] Asignar cuestionario en plan de contacto: desarrollo junto a Jose y Javier. Desarrollo de WorkflowProductFormAssignAction para ejecución de la acción en el plan. Carpeta de scripts para ir subiendo scripts generados. Commit en la rama [subida al trunk:15/09/2021].
Soporte al equipo</t>
      </text>
    </comment>
    <comment ref="FQ9" authorId="109" shapeId="0" xr:uid="{00000000-0006-0000-0200-00007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Emilio
2.5.3.0: [51859 -&gt; desarrollo 48021] Asignar cuestionario en plan de contacto: desarrollo junto a Jose y Javier. Desarrollo de WorkflowProductFormAssignAction para ejecución de la acción en el plan. Modificaciones en pantalla de movimientos de formulario para mostrar el usuario y el plan desde el que se ha asignado. Cambio para los servicios de las apps. Commit en la rama [subida al trunk:15/09/2021].
Soporte al equipo</t>
      </text>
    </comment>
    <comment ref="FR9" authorId="110" shapeId="0" xr:uid="{00000000-0006-0000-0200-00007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Emilio
2.5.3.0: [51859 -&gt; desarrollo 48021] Asignar cuestionario en plan de contacto. Cambio para los servicios de las apps (plan y profesional asociado al movimiento) y actualización de documento de API Rest. Validar cambio con el equipo de las apps. Pruebas y ajustes. Merge del trunk a la rama. Commit en la rama [subida al trunk:15/09/2021].
Soporte al equipo</t>
      </text>
    </comment>
    <comment ref="FU9" authorId="111" shapeId="0" xr:uid="{00000000-0006-0000-0200-00008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Revisar falta subir DT / DL de [45203] MARCADO CE: Algoritmo triaje COVID 
- v2.5.3.0: [51859] [Desarrollo] Asignar cuestionario en plan de contacto [fin:15/09/2021] &gt; completar ajustes y responsable de DT/DL 
Siguiente:
- v2.5.3.0: [51436] Error con licencia
- v2.5.4.0: [51617] [DT] Sincronización de citas &gt; estimar para luego desarollo entre Emilio y Javier
Backlog:
- instalación de oracle 12
- instalación de postgres11
Reply:
    Avance:
-----------------------------------
- v2.5.3.0: [51859] [Desarrollo] Asignar cuestionario en plan de contacto [fin:15/09/2021]
&gt; con bloqueo para las pruebas simulado con el sendMail
&gt; Soporte a Jose y Javier
&gt; [52898] Cambio en el servicio para planes</t>
      </text>
    </comment>
    <comment ref="FV9" authorId="112" shapeId="0" xr:uid="{00000000-0006-0000-0200-00008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Revisar falta subir DT / DL de [45203] MARCADO CE: Algoritmo triaje COVID 
- v2.5.3.0: [51859] [Desarrollo] Asignar cuestionario en plan de contacto [fin:15/09/2021] &gt; completar ajustes y responsable de DT/DL 
Siguiente:
- v2.5.3.0: [51436] Error con licencia
- v2.5.4.0: [51617] [DT] Sincronización de citas &gt; estimar para luego desarollo entre Emilio y Javier
Backlog:
- instalación de oracle 12
- instalación de postgres11
Reply:
    Avance:
-----------------------------------
- v2.5.3.0: [51859] [Desarrollo] Asignar cuestionario en plan de contacto [fin:15/09/2021] &gt; completar ajustes y responsable de DT/DL 
&gt; completadas validaciones y actualizado api rest y creados DT/DL</t>
      </text>
    </comment>
    <comment ref="FW9" authorId="113" shapeId="0" xr:uid="{00000000-0006-0000-0200-00008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Revisar falta subir DL de [45203] MARCADO CE: Algoritmo triaje COVID 
- v2.5.3.1: [48591] Cambio de mensajes" videoconferencia 
Siguiente:
- Estabilizacion de la 2.5.3.0
- v2.5.4.0: [50448] Integración con Binah.ai
Backlog:
- instalación de oracle 12
- instalación de postgres11
Reply:
    Avance:
-----------------------------------
- Revisar falta subir DL de [45203] MARCADO CE: Algoritmo triaje COVID 
- Revisado errores de planes con QA
- v2.5.3.1: [48591] Cambio de mensajes" videoconferencia 
&gt; realizado</t>
      </text>
    </comment>
    <comment ref="FX9" authorId="114" shapeId="0" xr:uid="{00000000-0006-0000-0200-00008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Emilio [~eartigas]
Tareas planificadas:
- v2.5.3.0: [53026] Correctivos_plan de contacto_asignar cuestionario
Siguiente:
- Estabilizacion de la 2.5.3.0
- v2.5.3.1: [52306] Control de licencias - Licencia Caducada
- v2.5.4.0: [35878] Integración EHR: Visor de historia clínica para el paciente y el profesional (informes)
Backlog:
- instalación de oracle 12
- instalación de postgres11</t>
      </text>
    </comment>
    <comment ref="KG9" authorId="115" shapeId="0" xr:uid="{00000000-0006-0000-0200-00008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Mudanza</t>
      </text>
    </comment>
    <comment ref="AE10" authorId="116" shapeId="0" xr:uid="{00000000-0006-0000-0200-000085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[EHCOSPROD-44002] OTG-IDENT-004 Enumeración de usuarios y cuentas de usuario predeterminados o adivinables 
- [EHCOSPROD-44006] OTG-BUSLOGIC-001 Pruebas de Validación de Datos en la Lógica de Negocio
Backlog:
- [EHCOSPROD-44004] OTG-AUTHN-007 Prueba sobre la política de contraseñas
- Requisitos de Auditoria de Seguridad
- Responsive completo de remote
- Formación tecnica de Argentina (Renombrar videos)
https://everisgroup-my.sharepoint.com/:f:/g/personal/lgalvanm_everis_com/ErT2x2FIjDhPqDrxzHnXA2YBj6yQjrsuBuxoH1cQOLL7kQ
- Formación de Metodologia con Emilio: creacion de rama para evolutivo, imputar en dt y actualizar jira...
Reply:
    Avance:
-----------------------------------
&gt; problemas con svn y evolutivos
&gt; ausencia por problema con electricidad
</t>
      </text>
    </comment>
    <comment ref="AF10" authorId="117" shapeId="0" xr:uid="{00000000-0006-0000-0200-00008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[EHCOSPROD-44002] OTG-IDENT-004 Enumeración de usuarios y cuentas de usuario predeterminados o adivinables 
- [EHCOSPROD-44006] OTG-BUSLOGIC-001 Pruebas de Validación de Datos en la Lógica de Negocio
Backlog:
- [EHCOSPROD-44004] OTG-AUTHN-007 Prueba sobre la política de contraseñas
- Requisitos de Auditoria de Seguridad
- Responsive completo de remote
- Formación tecnica de Argentina (Renombrar videos)
https://everisgroup-my.sharepoint.com/:f:/g/personal/lgalvanm_everis_com/ErT2x2FIjDhPqDrxzHnXA2YBj6yQjrsuBuxoH1cQOLL7kQ
- Formación de Metodologia de Desarrollo con Emilio: creacion de rama para evolutivo, imputar en dt y actualizar jira...
Reply:
    Avance:
-----------------------------------
- [EHCOSPROD-44002] OTG-IDENT-004 Enumeración de usuarios y cuentas de usuario predeterminados o adivinables 
&gt; realizado, pendiente de validar con grecia
&gt; Formación de imputar en dt y actualizar jira</t>
      </text>
    </comment>
    <comment ref="AG10" authorId="118" shapeId="0" xr:uid="{00000000-0006-0000-0200-00008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[EHCOSPROD-44006] OTG-BUSLOGIC-001 Pruebas de Validación de Datos en la Lógica de Negocio
Pendientes:
- [EHCOSPROD-44002] OTG-IDENT-004 Enumeración de usuarios y cuentas de usuario predeterminados o adivinables 
Backlog:
- [EHCOSPROD-44004] OTG-AUTHN-007 Prueba sobre la política de contraseñas
- Requisitos de Auditoria de Seguridad
- Responsive completo de remote
- Formación tecnica de Argentina (Renombrar videos)
https://everisgroup-my.sharepoint.com/:f:/g/personal/lgalvanm_everis_com/ErT2x2FIjDhPqDrxzHnXA2YBj6yQjrsuBuxoH1cQOLL7kQ
Reply:
    Avance:
-----------------------------------
&gt; Formación session 2, renombrados
- [EHCOSPROD-44006] OTG-BUSLOGIC-001 Pruebas de Validación de Datos en la Lógica de Negocio
&gt; avanzando</t>
      </text>
    </comment>
    <comment ref="AH10" authorId="119" shapeId="0" xr:uid="{00000000-0006-0000-0200-00008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Conf. entorno
Video sesión 12 remotehs
Avance:
44002: Finalizado -&gt; pendiente de subida
Conf. entorno
Backlog:
Reply:
    Avance:
-----------------------------------
- [EHCOSPROD-44006] OTG-BUSLOGIC-001 Pruebas de Validación de Datos en la Lógica de Negocio
&gt; avanzando parametrizando los regex, finaliza hoy
&gt; Formación session 3, renombrados</t>
      </text>
    </comment>
    <comment ref="AK10" authorId="120" shapeId="0" xr:uid="{00000000-0006-0000-0200-00008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[EHCOSPROD-44006] OTG-BUSLOGIC-001 Pruebas de Validación de Datos en la Lógica de Negocio
Backlog:
- v2.5: [EHCOSPROD-44004] OTG-AUTHN-007 Prueba sobre la política de contraseñas
- Menores v2.5
- Requisitos de Auditoria de Seguridad
- Responsive completo de remote
- Formación tecnica de Argentina (Renombrar videos)
Reply:
    Avance:
-----------------------------------
- v2.5: [EHCOSPROD-44006] OTG-BUSLOGIC-001 Pruebas de Validación de Datos en la Lógica de Negocio
&gt; terminada, pendiente de validacion con grecia</t>
      </text>
    </comment>
    <comment ref="AL10" authorId="121" shapeId="0" xr:uid="{00000000-0006-0000-0200-00008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v2.5: [EHCOSPROD-44006] OTG-BUSLOGIC-001 Pruebas de Validación de Datos en la Lógica de Negocio
Actualizar seguimiento (jira, dt):
- v2.5: [EHCOSPROD-44006] OTG-BUSLOGIC-001 Pruebas de Validación de Datos en la Lógica de Negocio
Backlog:
- v2.5: [EHCOSPROD-44004] OTG-AUTHN-007 Prueba sobre la política de contraseñas
- v2.5: [EHCOSPROD-42090] Literal erróneo en la página de cuestionarios 
- v2.5: [EHCOSPROD-41454] Literal citas programadas
- v2.5: [EHCOSPROD-46541] Color icono invitar usuario
- v2.5: [EHCOSPROD-46345] Tamaño listado de sesiones videoconferencia
- v2.5: [EHCOSPROD-45922] Error búsqueda pacientes en IE
- Menores v2.5
- Requisitos de Auditoria de Seguridad
- Responsive completo de remote
- Formación tecnica de Argentina (Renombrar videos)
Reply:
    Avance:
-----------------------------------
- v2.5: [EHCOSPROD-44006] OTG-BUSLOGIC-001 Pruebas de Validación de Datos en la Lógica de Negocio 
&gt; Pausada por dudas
- v2.5: [EHCOSPROD-42090] Literal erróneo en la página de cuestionarios 
&gt; realizado
- v2.5: [EHCOSPROD-41454] Literal citas programadas
&gt; realizado
- v2.5: [EHCOSPROD-46541] Color icono invitar usuario
&gt; realizado
- v2.5: [EHCOSPROD-46345] Tamaño listado de sesiones videoconferencia
&gt; realizado
- v2.5: [EHCOSPROD-45922] Error búsqueda pacientes en IE
&gt; realizado</t>
      </text>
    </comment>
    <comment ref="AM10" authorId="122" shapeId="0" xr:uid="{00000000-0006-0000-0200-00008B000000}">
      <text>
        <t>[Threaded comment]
Your version of Excel allows you to read this threaded comment; however, any edits to it will get removed if the file is opened in a newer version of Excel. Learn more: https://go.microsoft.com/fwlink/?linkid=870924
Comment:
## JAVIER
Tareas planificadas:
- v2.5: [EHCOSPROD-45922] Error búsqueda pacientes en IE
- v2.5: [EHCOSPROD-44004] OTG-AUTHN-007 Prueba sobre la política de contraseñas
- v2.5: [EHCOSPROD-44006] OTG-BUSLOGIC-001 Pruebas de Validación de Datos en la Lógica de Negocio &gt; Pausada por dudas
Actualizar seguimiento (jira, dt):
- v2.5: [EHCOSPROD-42090] Literal erróneo en la página de cuestionarios &gt; terminada
- v2.5: [EHCOSPROD-41454] Literal citas programadas &gt; terminada
- v2.5: [EHCOSPROD-46541] Color icono invitar usuario &gt; terminada
- v2.5: [EHCOSPROD-46345] Tamaño listado de sesiones videoconferencia &gt; terminada
Backlog:
- v2.5: [EHCOSPROD-46542] Solicitud de cambio de etiquetas
- v2.5: [EHCOSPROD-46381] Logout en navegador movil
- Menores v2.5
- Requisitos de Auditoria de Seguridad
- Responsive completo de remote
- Formación tecnica de Argentina (Renombrar videos)
Reply:
    Avance:
-----------------------------------
- v2.5: [EHCOSPROD-45922] Error búsqueda pacientes en IE
&gt; realizado, revisar dudas
- v2.5: [EHCOSPROD-44004] OTG-AUTHN-007 Prueba sobre la política de contraseñas
- v2.5: [EHCOSPROD-46541] Color icono invitar usuario &gt; terminada
&gt; revisar color de entidad
- v2.5: [EHCOSPROD-46542] Solicitud de cambio de etiquetas
&gt; realizada</t>
      </text>
    </comment>
    <comment ref="AN10" authorId="123" shapeId="0" xr:uid="{00000000-0006-0000-0200-00008C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v2.5: [EHCOSPROD-45922] Error búsqueda pacientes en IE
- v2.5: [EHCOSPROD-44004] OTG-AUTHN-007 Prueba sobre la política de contraseñas
- v2.5: [EHCOSPROD-44006] OTG-BUSLOGIC-001 Pruebas de Validación de Datos en la Lógica de Negocio &gt; Pausada por dudas
Pendiente:
- v2.5: [EHCOSPROD-46541] Color icono invitar usuario &gt; terminada
- v2.5: [EHCOSPROD-46345] Tamaño listado de sesiones videoconferencia &gt; terminada
Backlog:
- v2.5: [EHCOSPROD-46381] Logout en navegador movil
- Menores v2.5
- Requisitos de Auditoria de Seguridad
- Responsive completo de remote
- Formación tecnica de Argentina (Renombrar videos)
Reply:
    Avance:
-----------------------------------
- v2.5: [EHCOSPROD-45922] Error búsqueda pacientes en IE
&gt; realizado pendiente de validar
- v2.5: […-46541] Color icono invitar usuario
&gt; realizado
- v2.5: [EHCOSPROD-44004] OTG-AUTHN-007 Prueba sobre la política de contraseñas
&gt; realizado
- v2.5: [EHCOSPROD-46345] Tamaño listado de sesiones videoconferencia 
&gt; avanzando con dudas de los pixels
</t>
      </text>
    </comment>
    <comment ref="AO10" authorId="124" shapeId="0" xr:uid="{00000000-0006-0000-0200-00008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v2.5: [EHCOSPROD-44004] OTG-AUTHN-007 Prueba sobre la política de contraseñas
- v2.5: [EHCOSPROD-46345] Tamaño listado de sesiones videoconferencia 
- v2.5: [EHCOSPROD-44006] OTG-BUSLOGIC-001 Pruebas de Validación de Datos en la Lógica de Negocio 
Backlog:
- v2.5: […-45213] GDPR- Al introducir 3 veces una contraseña errónea debe bloquear el usuario &gt; esperar a estimar por Emilio
- v2.5: […-45236] Error Activar App para entidades productivas
- Menores v2.5
- Requisitos de Auditoria de Seguridad
- Responsive completo de remote
- Formación tecnica de Argentina (Renombrar videos)
Reply:
    Avance:
-----------------------------------
- v2.5: [EHCOSPROD-44004] OTG-AUTHN-007 Prueba sobre la política de contraseñas
&gt; avanzando
- v2.5: [EHCOSPROD-46345] Tamaño listado de sesiones videoconferencia 
&gt; realizada, validadas con grecia
- v2.5: [EHCOSPROD-45922] Error búsqueda pacientes en IE
&gt; realizada, validada con grecia
- Formación tecnica de Argentina (Renombrar videos)
&gt; sesion 5</t>
      </text>
    </comment>
    <comment ref="AR10" authorId="125" shapeId="0" xr:uid="{00000000-0006-0000-0200-00008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v2.5: [EHCOSPROD-44004] OTG-AUTHN-007 Prueba sobre la política de contraseñas
- v2.5: [EHCOSPROD-44006] OTG-BUSLOGIC-001 Pruebas de Validación de Datos en la Lógica de Negocio 
Backlog:
- v2.5: [45213] GDPR- Al introducir 3 veces una contraseña errónea debe bloquear el usuario &gt; esperar a estimar por Emilio
- v2.5: [45236] Error Activar App para entidades productivas
- v2.5: [46993] Cambiar nombre Datos Vitales por Biomedidas
- Menores v2.5
- Requisitos de Auditoria de Seguridad
- Responsive completo de remote
- Formación tecnica de Argentina (Renombrar videos)
Reply:
    Avance:
-----------------------------------
- v2.5: [44006] OTG-BUSLOGIC-001 Pruebas de Validación de Datos en la Lógica de Negocio 
&gt; avanzando
&gt; Empezando la session 6</t>
      </text>
    </comment>
    <comment ref="AS10" authorId="126" shapeId="0" xr:uid="{00000000-0006-0000-0200-00008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v2.5: [44006] OTG-BUSLOGIC-001 Pruebas de Validación de Datos en la Lógica de Negocio 
Backlog:
- v2.5: [46993] Cambiar nombre Datos Vitales por Biomedidas
- v2.5: [45236] Error Activar App para entidades productivas
- v2.5.1: [44004] OTG-AUTHN-007 Prueba sobre la política de contraseñas
- v2.5.1: [45213] GDPR - Al introducir 3 veces una contraseña errónea debe bloquear el usuario 
- Menores v2.5
- Requisitos de Auditoria de Seguridad
- Responsive completo de remote
- Formación tecnica de Argentina (Renombrar videos)
Reply:
    Avance:
-----------------------------------
- v2.5: [44006] OTG-BUSLOGIC-001 Pruebas de Validación de Datos en la Lógica de Negocio 
&gt; realizado y validado con grecia</t>
      </text>
    </comment>
    <comment ref="AT10" authorId="127" shapeId="0" xr:uid="{00000000-0006-0000-0200-00009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revisar portal.forms.weightings.description en catalan ¿es portugues?
- revisar portal.telecare.sessions.title y portal.telecare.list.instant.groupCalls en portugues 
- configurar svn para 2.4.3 &gt; https://umane.everis.com/svn/EHCOSPROD/RemoteHS/versiones_remote/2.4/codigo_fuente/remotehs
- v2.4.3: [47169] Modifica listados de videoconferencia
- v2.4.3: [47168] Corregir etiqueta estado en catalán
- v2.4.3: [47167] Quitar nombre columna Opciones en Videoconferencias Paciente
Backlog:
- v2.5 &gt; devuelta: [45922] Error búsqueda pacientes en IE 
- v2.5: [45236] Error Activar App para entidades productivas
- v2.5: [46993] Cambiar nombre Datos Vitales por Biomedidas
- v2.5.1: [44004] OTG-AUTHN-007 Prueba sobre la política de contraseñas
- v2.5.1: [45213] GDPR - Al introducir 3 veces una contraseña errónea debe bloquear el usuario 
- Requisitos de Auditoria de Seguridad
- Responsive completo de remote
- Formación tecnica de Argentina (Renombrar videos)
Reply:
    Avance:
-----------------------------------
- v2.4.3: [47169] Modifica listados de videoconferencia
&gt; realizado
- v2.4.3: [47168] Corregir etiqueta estado en catalán
&gt; realizado
- v2.4.3: [47167] Quitar nombre columna Opciones en Videoconferencias Paciente
&gt; realizado
- v2.5: [46993] Cambiar nombre Datos Vitales por Biomedidas
&gt; avanzando</t>
      </text>
    </comment>
    <comment ref="AU10" authorId="128" shapeId="0" xr:uid="{00000000-0006-0000-0200-00009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v2.5: [46315] MARCADO CE: Incluir logo marcado CE en portada
- v2.5: [46993] Cambiar nombre Datos Vitales por Biomedidas
- v2.5: [45236] Error Activar App para entidades productivas
Backlog:
- v2.5.1: [44004] OTG-AUTHN-007 Prueba sobre la política de contraseñas
- v2.5.1: [45213] GDPR - Al introducir 3 veces una contraseña errónea debe bloquear el usuario 
- Requisitos de Auditoria de Seguridad
- Responsive completo de remote
- Formación tecnica de Argentina (Renombrar videos)
Reply:
    Avance:
-----------------------------------
- v2.5: [46993] Cambiar nombre Datos Vitales por Biomedidas
- v2.5: [46315] MARCADO CE: Incluir logo marcado CE en portada
&gt; avance</t>
      </text>
    </comment>
    <comment ref="AV10" authorId="129" shapeId="0" xr:uid="{00000000-0006-0000-0200-00009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v2.5: [46315] MARCADO CE: Incluir logo marcado CE en portada
- v2.5: [45236] Error Activar App para entidades productivas
Backlog:
- v2.5.1: [44004] OTG-AUTHN-007 Prueba sobre la política de contraseñas
- v2.5.1: [45213] GDPR - Al introducir 3 veces una contraseña errónea debe bloquear el usuario 
- Requisitos de Auditoria de Seguridad
- Responsive completo de remote
- Formación tecnica de Argentina (Renombrar videos)
Reply:
    Avance:
-----------------------------------
- v2.5: [45236] Error Activar App para entidades productivas
&gt; realizado, pendiente de pruebas finales con ayuda de emilio
- v2.5: [46993] Cambiar nombre Datos Vitales por Biomedidas
&gt; realizado
- v2.5: [46315] MARCADO CE: Incluir logo marcado CE en portada
&gt; realizado, con ayuda de osvaldo, devuelta falta parte del icono.
</t>
      </text>
    </comment>
    <comment ref="AY10" authorId="130" shapeId="0" xr:uid="{00000000-0006-0000-0200-00009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v2.5: [45236] Error Activar App para entidades productivas
- v2.5 &gt; devuelta:[44006] OTG-BUSLOGIC-001 Pruebas de Validación de Datos en la Lógica de Negocio
Backlog:
- v2.5.1: [44004] OTG-AUTHN-007 Prueba sobre la política de contraseñas
- v2.5.1: [45213] GDPR - Al introducir 3 veces una contraseña errónea debe bloquear el usuario 
- Requisitos de Auditoria de Seguridad
- Responsive completo de remote
- Formación tecnica de Argentina (Renombrar videos)
Reply:
    Avance:
-----------------------------------
- v2.5: [45236] Error Activar App para entidades productivas
&gt; realizado
- v2.5.0.0 &gt; devuelta: [44006] OTG-BUSLOGIC-001 Pruebas de Validación de Datos en la Lógica de Negocio
&gt; realizado
- v2.5.0.0 &gt; devuelta: [46315] MARCADO CE: Incluir logo marcado CE en portada
&gt; realizado, pendiente validar con grecia</t>
      </text>
    </comment>
    <comment ref="AZ10" authorId="131" shapeId="0" xr:uid="{00000000-0006-0000-0200-00009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v2.5.0.0 &gt; devuelta: [46993] Cambiar nombre Datos Vitales por Biomedidas
- necesaria extension de eclipse (autodetect encoding)
Backlog:
- v2.5.1.0: [44004] OTG-AUTHN-007 Prueba sobre la política de contraseñas
- v2.5.1.0: [45213] GDPR - Al introducir 3 veces una contraseña errónea debe bloquear el usuario 
- Requisitos de Auditoria de Seguridad
- Responsive completo de remote
- Formación tecnica de Argentina (Renombrar videos)
Reply:
    Avance:
-----------------------------------
- v2.5.0.0 &gt; devuelta: [46993] Cambiar nombre Datos Vitales por Biomedidas
&gt; realizado</t>
      </text>
    </comment>
    <comment ref="BA10" authorId="132" shapeId="0" xr:uid="{00000000-0006-0000-0200-00009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v2.4.4: [47510] i2cat. Modificar API para envío de los nombres de usuario
- v2.4.4: [47515] Pop up citas y videoconferencia. Homologar etiquetas
Backlog:
- v2.4.4: [47513] Espacio en nombre de sesión
- v2.4.4: [47514] Etiqueta al finalizar sesión
- v2.4.4: [47516] Pop up crear video. No funciona check para seleccionar todos los usuarios.
- v2.4.4: [47518] Quitar espacios en columnas de videoconferencia paciente
- v2.4.4: estabilizar
- v2.5.1.0: [44004] OTG-AUTHN-007 Prueba sobre la política de contraseñas
- v2.5.1.0: [45213] GDPR - Al introducir 3 veces una contraseña errónea debe bloquear el usuario 
- Requisitos de Auditoria de Seguridad
- Responsive completo de remote
- Formación tecnica de Argentina (Renombrar videos)
Reply:
    Avance:
-----------------------------------
- v2.4.4: [47510] i2cat. Modificar API para envío de los nombres de usuario
- v2.4.4: [47515] Pop up citas y videoconferencia. Homologar etiquetas
- v2.4.4: [47513] Espacio en nombre de sesión
- v2.4.4: [47516] Pop up crear video. No funciona check para seleccionar todos los usuarios.
- v2.4.4: [47514] Etiqueta al finalizar sesión
- v2.4.4: [44006] OTG-BUSLOGIC-001 Pruebas de Validación de Datos en la Lógica de Negocio
&gt; revisando scripts </t>
      </text>
    </comment>
    <comment ref="BB10" authorId="133" shapeId="0" xr:uid="{00000000-0006-0000-0200-000096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v2.4.4 &gt; devuelta: [47515] Pop up citas y videoconferencia. Homologar etiquetas
- v2.4.4: [47518] Quitar espacios en columnas de videoconferencia paciente
Backlog:
- v2.4.4: estabilizar
- v2.5.1.0: [44004] OTG-AUTHN-007 Prueba sobre la política de contraseñas
- v2.5.1.0: [45213] GDPR - Al introducir 3 veces una contraseña errónea debe bloquear el usuario 
- Requisitos de Auditoria de Seguridad
- Responsive completo de remote
- Formación tecnica de Argentina (Renombrar videos)
Reply:
    Avance:
-----------------------------------
- v2.4.4: [47518] Quitar espacios en columnas de videoconferencia paciente
- v2.4.4 &gt; devuelta: [47515] Pop up citas y videoconferencia. Homologar etiquetas
</t>
      </text>
    </comment>
    <comment ref="BC10" authorId="134" shapeId="0" xr:uid="{00000000-0006-0000-0200-00009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v2.5.0.0 &gt; devuelta: [46315] MARCADO CE: Incluir logo marcado CE en portada
- v2.5.0.0 &gt; devuelta: [44006] OTG-BUSLOGIC-001 Pruebas de Validación de Datos en la Lógica de Negocio
- v2.5.1.0: [45213] GDPR - Al introducir 3 veces una contraseña errónea debe bloquear el usuario
Backlog:
- v2.5.1.0: [44004] OTG-AUTHN-007 Prueba sobre la política de contraseñas
- Requisitos de Auditoria de Seguridad
- Responsive completo de remote
- Formación tecnica de Argentina (Renombrar videos)
Reply:
    Avance:
-----------------------------------
- v2.5.0.0 &gt; devuelta: [46315] MARCADO CE: Incluir logo marcado CE en portada
- v2.5.0.0 &gt; devuelta: [44006] OTG-BUSLOGIC-001 Pruebas de Validación de Datos en la Lógica de Negocio</t>
      </text>
    </comment>
    <comment ref="BF10" authorId="135" shapeId="0" xr:uid="{00000000-0006-0000-0200-00009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[45213] GDPR - Al introducir 3 veces una contraseña errónea debe bloquear el usuario
- v2.5.1.0: [44480] Cambiar el nombre de Gamificación
Backlog:
- v2.5.1.0: [44004] OTG-AUTHN-007 Prueba sobre la política de contraseñas
- Requisitos de Auditoria de Seguridad
- Responsive completo de remote
- Formación tecnica de Argentina (Renombrar videos)
Reply:
    Avance:
-----------------------------------
- v2.5.1.0: [44480] Cambiar el nombre de Gamificación
&gt; terminada, pendiente de un ajuste de grecia
- v2.5.1.0: [45213] GDPR - Al introducir 3 veces una contraseña errónea debe bloquear el usuario
&gt; avanzando, termina hoy</t>
      </text>
    </comment>
    <comment ref="BG10" authorId="136" shapeId="0" xr:uid="{00000000-0006-0000-0200-00009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[45213] GDPR - Al introducir 3 veces una contraseña errónea debe bloquear el usuario
- v2.5.1.0: [44480] Cambiar el nombre de Gamificación
Backlog:
- v2.5.1.0: [44004] OTG-AUTHN-007 Prueba sobre la política de contraseñas
- Requisitos de Auditoria de Seguridad
- Responsive completo de remote
- Formación tecnica de Argentina (Renombrar videos)
Reply:
    Avance:
-----------------------------------
- v2.5.1.0: [44480] Cambiar el nombre de Gamificación
&gt; realizado
- v2.5.1.0: [45213] GDPR - Al introducir 3 veces una contraseña errónea debe bloquear el usuario
&gt; finalizando la tarea</t>
      </text>
    </comment>
    <comment ref="BH10" authorId="137" shapeId="0" xr:uid="{00000000-0006-0000-0200-00009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[45213] GDPR - Al introducir 3 veces una contraseña errónea debe bloquear el usuario
- Revisar script 007 - EHCOSPROD-46993.sql faltan textos en catalan y se necesita where con locale
Backlog:
- v2.5.1.0: [44004] OTG-AUTHN-007 Prueba sobre la política de contraseñas
- Requisitos de Auditoria de Seguridad
- Responsive completo de remote
- Formación tecnica de Argentina (Renombrar videos)
Reply:
    Avance:
-----------------------------------
- v2.5.1.0: [45213] GDPR - Al introducir 3 veces una contraseña errónea debe bloquear el usuario
&gt; casi finalizada, con dudas</t>
      </text>
    </comment>
    <comment ref="BI10" authorId="138" shapeId="0" xr:uid="{00000000-0006-0000-0200-00009B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[45213] GDPR - Al introducir 3 veces una contraseña errónea debe bloquear el usuario
- Revisar script 007 - EHCOSPROD-46993.sql faltan textos en catalan y se necesita where con locale
Backlog:
- v2.5.1.0: [44004] OTG-AUTHN-007 Prueba sobre la política de contraseñas
- Requisitos de Auditoria de Seguridad
- Responsive completo de remote
- Formación tecnica de Argentina (Renombrar videos)
Reply:
    Avance:
-----------------------------------
- v2.5.1.0: [4480] Cambiar el nombre de Gamificación
</t>
      </text>
    </comment>
    <comment ref="BJ10" authorId="139" shapeId="0" xr:uid="{00000000-0006-0000-0200-00009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Festivo en chile</t>
      </text>
    </comment>
    <comment ref="BM10" authorId="140" shapeId="0" xr:uid="{00000000-0006-0000-0200-00009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Revisar script 007 - EHCOSPROD-46993.sql faltan textos en catalan y se necesita where con locale &gt; avisar cuando este en svn
- v2.5.0.2: [48003] Ajustes en i18n Catalan para biomedidas
- v2.5.0.2: [47887] Ponderaciones de cuestionarios
- v2.5.0.2: [47354] Error horario de la cita en el mail de notificacion
Backlog:
- v2.5.1.0: [45213] GDPR - Al introducir 3 veces una contraseña errónea debe bloquear el usuario
- v2.5.1.0: [44004] OTG-AUTHN-007 Prueba sobre la política de contraseñas
- v2.5.1.0: [47926] Error al modificar el contexto de una entidad por idioma
- Requisitos de Auditoria de Seguridad
- Responsive completo de remote
- Formación tecnica de Argentina (Renombrar videos)
Reply:
    Avance:
-----------------------------------
- v2.5.0.2: [48003] Ajustes en i18n Catalan para biomedidas
- v2.5.0.2: [47354] Error horario de la cita en el mail de notificacion</t>
      </text>
    </comment>
    <comment ref="BN10" authorId="141" shapeId="0" xr:uid="{00000000-0006-0000-0200-00009E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&gt; Despliegue en PRE con explicación Emilio
- v2.5.1.0: [45213] GDPR - Al introducir 3 veces una contraseña errónea debe bloquear el usuario
Backlog:
- v2.5.1.0: [44004] OTG-AUTHN-007 Prueba sobre la política de contraseñas
- v2.5.1.0: [47926] Error al modificar el contexto de una entidad por idioma
- v2.5.1.0: [44810] No visualizar decimales en según que datos vitales
- Requisitos de Auditoria de Seguridad
- Responsive completo de remote
- Formación tecnica de Argentina (Renombrar videos)
Reply:
    Avance:
-----------------------------------
- Despliegue en PRE
- v2.5.1.0: [45213] GDPR - Al introducir 3 veces una contraseña errónea debe bloquear el usuario
- v2.5.1.0: [44004] OTG-AUTHN-007 Prueba sobre la política de contraseñas
&gt; empezando
</t>
      </text>
    </comment>
    <comment ref="BO10" authorId="142" shapeId="0" xr:uid="{00000000-0006-0000-0200-00009F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&gt; revisar scripts para moverlos a la carpeta correcta
- Despliegue en QA y ejecucion de scrips pendientes
- v2.5.1.0: [44004] OTG-AUTHN-007 Prueba sobre la política de contraseñas
Backlog:
- v2.5.1.0: [47926] Error al modificar el contexto de una entidad por idioma
- v2.5.1.0: [44810] No visualizar decimales en según que datos vitales &gt; falta estimar
- Requisitos de Auditoria de Seguridad
- Responsive completo de remote
- Formación tecnica de Argentina (Renombrar videos)
Reply:
    Avance:
-----------------------------------
&gt; revisar scripts para moverlos a la carpeta correcta
- Despliegue en QA y ejecucion de scrips pendientes
- v2.5.1.0: [44004] OTG-AUTHN-007 Prueba sobre la política de contraseñas
&gt; terminando 
</t>
      </text>
    </comment>
    <comment ref="BP10" authorId="143" shapeId="0" xr:uid="{00000000-0006-0000-0200-0000A0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[44004] OTG-AUTHN-007 Prueba sobre la política de contraseñas
- v2.5.1.0: [47926] Error al modificar el contexto de una entidad por idioma
Backlog:
- v2.5.1.0: [44810] No visualizar decimales en según que datos vitales &gt; falta estimar
- Requisitos de Auditoria de Seguridad
- Responsive completo de remote
- Formación tecnica de Argentina (Renombrar videos)
Reply:
    Avance:
-----------------------------------
- v2.5.1.0: [44004] OTG-AUTHN-007 Prueba sobre la política de contraseñas
&gt; terminando hoy
</t>
      </text>
    </comment>
    <comment ref="BQ10" authorId="144" shapeId="0" xr:uid="{00000000-0006-0000-0200-0000A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[44004] OTG-AUTHN-007 Prueba sobre la política de contraseñas
- v2.5.1.0: [47926] Error al modificar el contexto de una entidad por idioma
Backlog:
- v2.5.1.0: [44810] No visualizar decimales en según que datos vitales &gt; falta estimar
- Requisitos de Auditoria de Seguridad
- Responsive completo de remote
- Formación tecnica de Argentina (Renombrar videos)
Reply:
    Avance:
-----------------------------------
- v2.5.1.0: [44004] OTG-AUTHN-007 Prueba sobre la política de contraseñas
&gt; avanzando despues de bloqueo para terminar hoy.
- v2.5.1.0: [47926] Error al modificar el contexto de una entidad por idioma
&gt; avanzando</t>
      </text>
    </comment>
    <comment ref="BT10" authorId="145" shapeId="0" xr:uid="{00000000-0006-0000-0200-0000A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[44004] OTG-AUTHN-007 Prueba sobre la política de contraseñas
- v2.5.1.0: [47926] Error al modificar el contexto de una entidad por idioma
Backlog:
- v2.5.1.0: [44810] No visualizar decimales en según que datos vitales &gt; falta estimar
- Requisitos de Auditoria de Seguridad
- Responsive completo de remote
Reply:
    Avance:
-----------------------------------
- v2.5.1.0: [47926] Error al modificar el contexto de una entidad por idioma
&gt; realizado
- v2.5.1.0: [44004] OTG-AUTHN-007 Prueba sobre la política de contraseñas
&gt; casi terminada solucionando bloqueos.
</t>
      </text>
    </comment>
    <comment ref="BU10" authorId="146" shapeId="0" xr:uid="{00000000-0006-0000-0200-0000A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[44004] OTG-AUTHN-007 Prueba sobre la política de contraseñas
- v2.5.1.0: [44810] No visualizar decimales en según que datos vitales 
Backlog:
- v2.5.1.0: [47976] Falta traducción de calendario de citas en JS
- Requisitos de Auditoria de Seguridad
- Responsive completo de remote
Reply:
    Avance:
-----------------------------------
- v2.5.1.0: [44810] No visualizar decimales en según que datos vitales 
&gt; realizada
- v2.5.1.0: [44004] OTG-AUTHN-007 Prueba sobre la política de contraseñas
&gt; finalizando con ultimas pruebas.</t>
      </text>
    </comment>
    <comment ref="BV10" authorId="147" shapeId="0" xr:uid="{00000000-0006-0000-0200-0000A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[44004] OTG-AUTHN-007 Prueba sobre la política de contraseñas
- v2.5.1.0: [47976] Falta traducción de calendario de citas en JS
Backlog:
- Requisitos de Auditoria de Seguridad
- Responsive completo de remote
Reply:
    Avance:
-----------------------------------
- v2.5.1.0: [44004] OTG-AUTHN-007 Prueba sobre la política de contraseñas
&gt; con pruebas finales</t>
      </text>
    </comment>
    <comment ref="BW10" authorId="148" shapeId="0" xr:uid="{00000000-0006-0000-0200-0000A5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[44004] OTG-AUTHN-007 Prueba sobre la política de contraseñas
Backlog:
- v2.5.1.0: [48556] Regex. Permitir espacios en calle
- v2.5.1.0: [48551] Trivia salud. Los filtros no funcionan
- Requisitos de Auditoria de Seguridad
- Responsive completo de remote
Reply:
    Avance:
-----------------------------------
- v2.5.1.0: [48556] Regex. Permitir espacios en calle
&gt; terminada
- v2.5.1.0: [44004] OTG-AUTHN-007 Prueba sobre la política de contraseñas
&gt; terminada
</t>
      </text>
    </comment>
    <comment ref="BX10" authorId="149" shapeId="0" xr:uid="{00000000-0006-0000-0200-0000A6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 
Tareas planificadas:
- v2.5.1.0: [44004] OTG-AUTHN-007 Prueba sobre la política de contraseñas
- v2.5.1.0: [48556] Regex. Permitir espacios en calle
- v2.5.1.0: [48551] Trivia salud. Los filtros no funcionan
Backlog
- Requisitos de Auditoria de Seguridad - Responsive completo de remote
Reply:
    Avance:
-----------------------------------
- v2.5.1.0: [48556] Regex. Permitir espacios en calle
&gt; terminada
- v2.5.1.0: [44004] OTG-AUTHN-007 Prueba sobre la política de contraseñas
&gt; terminada
</t>
      </text>
    </comment>
    <comment ref="CA10" authorId="150" shapeId="0" xr:uid="{00000000-0006-0000-0200-0000A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[48551] Trivia salud. Los filtros no funcionan
Backlog:
- v2.5.1.0: [48431] Modificar servicio gamification/user/section
- Requisitos de Auditoria de Seguridad
- Responsive completo de remote
Reply:
    Avance:
-----------------------------------
- v2.5.1.0: [48551] Trivia salud. Los filtros no funcionan
&gt; realizado
- v2.5.1.0: [48431] Modificar servicio gamification/user/section
&gt; pausada, completando pruebas
- [44810] No visualizar decimales en según que datos vitales
&gt; devuelta y revisandola</t>
      </text>
    </comment>
    <comment ref="CB10" authorId="151" shapeId="0" xr:uid="{00000000-0006-0000-0200-0000A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[44810] No visualizar decimales en según que datos vitales
- v2.5.1.0: [48431] Modificar servicio gamification/user/section
Backlog:
- Requisitos de Auditoria de Seguridad
- Responsive completo de remote
Reply:
    Avance:
-----------------------------------
- v2.5.1.0: [44810] No visualizar decimales en según que datos vitales
&gt; finalizando problemas para quitar del eje y de las graficas
- v2.5.1.0: [48431] Modificar servicio gamification/user/section
&gt; finalizado pendiente de pruebas en postman </t>
      </text>
    </comment>
    <comment ref="CC10" authorId="152" shapeId="0" xr:uid="{00000000-0006-0000-0200-0000A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[44810] No visualizar decimales en según que datos vitales
- v2.5.1.0: [48431] Modificar servicio gamification/user/section
- Traspaso de conocimiento de i2cat con Osvaldo
- Traspaso de conocimiento de i2cat documentar el entorno de desarrollo
Backlog:
- Requisitos de Auditoria de Seguridad
- Responsive completo de remote
Reply:
    Avance:
-----------------------------------
- v2.5.1.0: [44810] No visualizar decimales en según que datos vitales
&gt; terminando con dudas con grecia
- v2.5.1.0: [48431] Modificar servicio gamification/user/section
&gt; terminando</t>
      </text>
    </comment>
    <comment ref="CD10" authorId="153" shapeId="0" xr:uid="{00000000-0006-0000-0200-0000AA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[44810] No visualizar decimales en según que datos vitales
- v2.5.1.0: [48431] Modificar servicio gamification/user/section
- Traspaso de conocimiento de i2cat con Osvaldo
Backlog:
- v2.5.1.0: [46975] Nombre sesión video N:M caracteres extraños
- v2.5.1.0: [48743] Reactivar push gamificaciones
- Requisitos de Auditoria de Seguridad
- Responsive completo de remote
Reply:
    Avance:
-----------------------------------
- v2.5.1.0: [48431] Modificar servicio gamification/user/section
&gt; realizado
- v2.5.1.0: [44810] No visualizar decimales en según que datos vitales
&gt; realizado
- Traspaso de conocimiento de i2cat con Osvaldo
&gt; con problemas
</t>
      </text>
    </comment>
    <comment ref="CE10" authorId="154" shapeId="0" xr:uid="{00000000-0006-0000-0200-0000A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 Tareas planificadas:
 - v2.5.1.0: [48743] Reactivar push gamificaciones
 - v2.5.1.0: [48551] Trivia salud. Los filtros no funcionan
 - Traspaso de conocimiento de i2cat con Osvaldo
Backlog:
 - v2.5.1.0: [46975] Nombre sesión video N:M caracteres extraños
 - Requisitos de Auditoria de Seguridad
 - Responsive completo de remote
Reply:
    Avance:
-----------------------------------
- v2.5.1.0: [48551] Trivia salud. Los filtros no funcionan
&gt; realizado
- v2.5.1.0: [48743] Reactivar push gamificaciones
&gt; avanzando 
- Traspaso de conocimiento de i2cat con Osvaldo
&gt; sin avance por problemas de seguridad con chrome</t>
      </text>
    </comment>
    <comment ref="CH10" authorId="155" shapeId="0" xr:uid="{00000000-0006-0000-0200-0000A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[48743] Reactivar push gamificaciones
- Traspaso de conocimiento de i2cat con Osvaldo
Backlog:
- v2.5.1.0: [46975] Nombre sesión video N:M caracteres extraños
- v2.5.1.1: Correctivos
- Requisitos de Auditoria de Seguridad
- Responsive completo de remote
Reply:
    Avance:
-----------------------------------
- v2.5.1.0: [48743] Reactivar push gamificaciones
&gt; realizado
- v2.5.1.0: [46975] Nombre sesión video N:M caracteres extraños
&gt; empezando</t>
      </text>
    </comment>
    <comment ref="CI10" authorId="156" shapeId="0" xr:uid="{00000000-0006-0000-0200-0000A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 Tareas planificadas:
 - v2.5.1.0: [46975] Nombre sesión video N:M caracteres extraños
 - Traspaso de conocimiento de i2cat con Osvaldo
 - Traspaso de conocimiento de i2cat documentar el entorno de desarrollo en Confluence
Backlog:
 - v2.5.1.0: [48976] Primer registro de usuario - Falla
 - v2.5.1.1: Correctivos
 - Requisitos de Auditoria de Seguridad
 - Responsive completo de remote
Reply:
    Avance:
-----------------------------------
- v2.5.1.0: [46975] Nombre sesión video N:M caracteres extraños
&gt; sin avance
- v2.5.1.0: [48976] Primer registro de usuario - Falla
&gt; sin avance
- Problemas con dependencias de Maven en remote
- Configurar clinic a Javier
&gt; avanzando pero sin terminar
- Traspaso de conocimiento de i2cat con Osvaldo</t>
      </text>
    </comment>
    <comment ref="CJ10" authorId="157" shapeId="0" xr:uid="{00000000-0006-0000-0200-0000AE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[46975] Nombre sesión video N:M caracteres extraños
- Traspaso de conocimiento de i2cat con Osvaldo
Backlog:
- v2.5.1.0: [48976] Primer registro de usuario - Falla
- Traspaso de conocimiento de i2cat documentar el entorno de desarrollo en Confluence
- v2.5.1.1: Correctivos
- Requisitos de Auditoria de Seguridad
- Responsive completo de remote
Reply:
    Avance:
-----------------------------------
- v2.5.1.0: [46975] Nombre sesión video N:M caracteres extraños
- v2.5.1.0: [48976] Primer registro de usuario - Falla
</t>
      </text>
    </comment>
    <comment ref="CK10" authorId="158" shapeId="0" xr:uid="{00000000-0006-0000-0200-0000AF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[44004] OTG-AUTHN-007 Prueba sobre la política de contraseñas
Backlog:
- Traspaso de conocimiento de i2cat documentar el entorno de desarrollo en Confluence
- v2.5.1.1: Correctivos
- Requisitos de Auditoria de Seguridad
- Responsive completo de remote
Reply:
    Avance:
-----------------------------------
- v2.5.1.0: [44004] OTG-AUTHN-007 Prueba sobre la política de contraseñas
&gt; realizado no aplicaba
- Traspaso de conocimiento de i2cat documentar el entorno de desarrollo en Confluence
</t>
      </text>
    </comment>
    <comment ref="CL10" authorId="159" shapeId="0" xr:uid="{00000000-0006-0000-0200-0000B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[48567] Servicio de roomsToday no devuelve sesiones creadas desde la app
- Configurar workspace de informes
Backlog:
- v2.5.1.1: Correctivos
- Requisitos de Auditoria de Seguridad
- Responsive completo de remote
Reply:
    Avance:
-----------------------------------
- v2.5.1.0: [48567] Servicio de roomsToday no devuelve sesiones creadas desde la app
&gt; finalizada</t>
      </text>
    </comment>
    <comment ref="CP10" authorId="160" shapeId="0" xr:uid="{00000000-0006-0000-0200-0000B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[44004] OTG-AUTHN-007 Prueba sobre la política de contraseñas 
&gt; devuelta
- v2.5.1.0: [48743] Reactivar push gamificaciones 
&gt; devuelta
- v2.5.1.0: [48432] Servicio para mostrar resultados de gamificaciones (Trivia salud)
&gt; asignada
Backlog:
- v2.5.1.0: [44480] Cambiar el nombre de Gamificación &gt; DT y DL
- v2.5.1.0: [44810] No visualizar decimales en según que datos vitales &gt; DT y DL
- v2.5.1.0: [48432] Servicio para mostrar resultados de gamificaciones (Trivia salud) &gt; DT y DL
- v2.5.1.1: Correctivos
- Requisitos de Auditoria de Seguridad
- Responsive completo de remote
Reply:
    Avance:
-----------------------------------
- v2.5.1.0: [44004] OTG-AUTHN-007 Prueba sobre la política de contraseñas 
&gt; realizado
- v2.5.1.0: [48743] Reactivar push gamificaciones 
&gt; realizado
- v2.5.1.0: [48432] Servicio para mostrar resultados de gamificaciones (Trivia salud)
&gt; empezando</t>
      </text>
    </comment>
    <comment ref="CQ10" authorId="161" shapeId="0" xr:uid="{00000000-0006-0000-0200-0000B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v2.5.1.0: [49374] No abre pantalla de telecare &gt; devuelta
- v2.5.1.0: [48432] Servicio para mostrar resultados de gamificaciones (Trivia salud)
&gt; evolutivo
Backlog:
- v2.5.1.0: Nuevo JIRA doc api rest gaminificacion, DT y DL ¿?
- v2.5.1.0: [44480] Cambiar el nombre de Gamificación &gt; DT y DL
- v2.5.1.0: [44810] No visualizar decimales en según que datos vitales &gt; DT y DL
- v2.5.1.0: [48432] Servicio para mostrar resultados de gamificaciones (Trivia salud) &gt; DT y DL
- v2.5.1.1: Correctivos
- Requisitos de Auditoria de Seguridad
- Responsive completo de remote
Reply:
    Avance:
-----------------------------------
- v2.5.1.0: [48432] Servicio para mostrar resultados de gamificaciones (Trivia salud)
&gt; empezando, avance 5h
- v2.5.1.0: [49374] No abre pantalla de telecare &gt; devuelta
&gt; revisado por dudas con ricardo
&gt; realizado pero devuelta la continua emilio, puede que fuera un error de despliegue</t>
      </text>
    </comment>
    <comment ref="CR10" authorId="162" shapeId="0" xr:uid="{00000000-0006-0000-0200-0000B3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 Tareas planificadas:
 - v2.5.1.0: [48432] Servicio para mostrar resultados de gamificaciones (Trivia salud)
 &gt; evolutivo
Backlog:
 - v2.5.1.0: [44480] Cambiar el nombre de Gamificación &gt; DT y DL
 - v2.5.1.0: [44810] No visualizar decimales en según que datos vitales &gt; DT y DL
 - v2.5.1.0: [48432] Servicio para mostrar resultados de gamificaciones (Trivia salud) &gt; DT y DL
 - v2.5.1.0: Nuevo JIRA doc api rest gaminificacion, DT y DL ¿?
 - Configurar workspace de informes
 - v2.5.1.1: Correctivos
 - Requisitos de Auditoria de Seguridad
 - Responsive completo de remote
Reply:
    Avance:
-----------------------------------
- v2.5.1.0: [48432] Servicio para mostrar resultados de gamificaciones (Trivia salud)
&gt; desvio por dudas, resueltas por el mismo y espera terminar hoy
&gt; problemas de desconectado por intermitencia de internet
</t>
      </text>
    </comment>
    <comment ref="CS10" authorId="163" shapeId="0" xr:uid="{00000000-0006-0000-0200-0000B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 Tareas planificadas:
 - v2.5.1.0: [48432] Servicio para mostrar resultados de gamificaciones (Trivia salud)
 &gt; evolutivo
 - v2.5.1.0: [49490] Servicio detalle respuestas trae más preguntas
 - Subir todo al SVN, actualizar JIRA
Backlog:
 - v2.5.1.0: [44480] Cambiar el nombre de Gamificación &gt; DT y DL
 - v2.5.1.0: [44810] No visualizar decimales en según que datos vitales &gt; DT y DL
 - v2.5.1.0: [48432] Servicio para mostrar resultados de gamificaciones (Trivia salud) &gt; DT y DL
 - v2.5.1.0: Nuevo JIRA doc api rest gaminificacion, DT y DL ¿?
 - Configurar workspace de informes
 - v2.5.1.1: Correctivos
 - Requisitos de Auditoria de Seguridad
 - Responsive completo de remote
Reply:
    Avance:
-----------------------------------
- v2.5.1.0: [48432] Servicio para mostrar resultados de gamificaciones (Trivia salud)
&gt; Con dudas y bloqueos, sin mucho avance por desconocimiento de servicios rest</t>
      </text>
    </comment>
    <comment ref="CW10" authorId="164" shapeId="0" xr:uid="{00000000-0006-0000-0200-0000B5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Diario: commit y actualizar JIRA / EXCEL
Tareas planificadas:
- v2.5.1.0: [48432] Servicio para mostrar resultados de gamificaciones (Trivia salud)
&gt; evolutivo
- v2.5.1.0: [49490] Servicio detalle respuestas trae más preguntas
Backlog:
- Preguntar a Emilio por explicacion DT y DL
- v2.5.1.0: [44480] Cambiar el nombre de Gamificación &gt; DT y DL
- v2.5.1.0: [44810] No visualizar decimales en según que datos vitales &gt; DT y DL
- v2.5.1.0: [48432] Servicio para mostrar resultados de gamificaciones (Trivia salud) &gt; DT y DL
- v2.5.1.0: Nuevo JIRA doc api rest gaminificacion, DT y DL ¿?
- Configurar workspace de informes
- v2.5.1.1: Correctivos
- Requisitos de Auditoria de Seguridad
- Responsive completo de remote
Reply:
    Avance:
-----------------------------------
- v2.5.1.0: [48432] Servicio para mostrar resultados de gamificaciones (Trivia salud)
&gt; realizado se queda devuelta hasta que se realice el merge en el trunk
</t>
      </text>
    </comment>
    <comment ref="CX10" authorId="165" shapeId="0" xr:uid="{00000000-0006-0000-0200-0000B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 Recordatorio diario: commit y actualizar JIRA / EXCEL (Sino funciona el JIRA dejar comentario con el avance)
Tareas planificadas:
 - v2.5.1.0: [49490] Servicio detalle respuestas trae más preguntas
Backlog:
 - Preguntar a Emilio para explicacion DT y DL
 - v2.5.1.0: [44810] No visualizar decimales en según que datos vitales &gt; DT y DL
 - v2.5.1.0: [44480] Cambiar el nombre de Gamificación &gt; DT y DL
 - v2.5.1.0: [48432] Servicio para mostrar resultados de gamificaciones (Trivia salud) &gt; DT y DL
 - v2.5.1.0: [44797] Back. Añadir gamificaciones en la APP - Paciente &gt; DT y DL y DOC API REST
 - Configurar workspace de informes
- Requisitos de Auditoria de Seguridad
 - Responsive completo de remote
Siguiente:
 - v2.5.1.1: Correctivos
 - Correctivo video descarga archivos y si es posible toggle micro (maximo 2 dias)
 - v2.5.2: Evolutivos
Reply:
    Avance:
-----------------------------------
- v2.5.1.0: [49490] Servicio detalle respuestas trae más preguntas
&gt; realizado
- v2.5.1.0: [48432] Servicio para mostrar resultados de gamificaciones (Trivia salud) &gt; DT y DL
&gt; realizado doc
- Preguntar a Emilio para explicacion DT y DL
&gt; Avanzado en preparar entorno i2cat</t>
      </text>
    </comment>
    <comment ref="CY10" authorId="166" shapeId="0" xr:uid="{00000000-0006-0000-0200-0000B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Recordatorio diario: 
- Actualizar JIRA / EXCEL (Sino funciona el JIRA dejar comentario con el avance)
Tareas planificadas:
- v2.5.1.0: [44797] Back. Añadir gamificaciones en la APP - Paciente &gt; DT y DL y DOC API REST
- v2.5.1.0: [44810] No visualizar decimales en según que datos vitales &gt; DT y DL
- v2.5.1.0: [44480] Cambiar el nombre de Gamificación &gt; DT y DL
- v2.5.1.1: [49403] Si hay un apóstrofe en el chat 1:1 no se visualiza el mensaje (NO SUBIR AL TRUNK)
Siguiente:
- v2.5.1.1: Correctivos
- video v2.17.X: [48719] iOS. Problemas funcionamiento compartir documentos en APP chat i2Cat
- Correctivo video descarga archivos y si es posible toggle micro (maximo 2 dias)
- v2.5.2: Evolutivos
Backlog:
- Configurar workspace de informes
Reply:
    Avance:
-----------------------------------
- v2.5.1.0: [44797] Back. Añadir gamificaciones en la APP - Paciente &gt; DT y DL y DOC API REST
- v2.5.1.0: [44810] No visualizar decimales en según que datos vitales &gt; DT y DL
- v2.5.1.0: [44480] Cambiar el nombre de Gamificación &gt; DT y DL</t>
      </text>
    </comment>
    <comment ref="CZ10" authorId="167" shapeId="0" xr:uid="{00000000-0006-0000-0200-0000B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Recordatorio diario: 
- Actualizar JIRA / EXCEL (Sino funciona el JIRA dejar comentario con el avance)
Tareas planificadas:
- Subir DTs a TEAMS y JIRA
- v2.5.1.0: [44004] OTG-AUTHN-007 Prueba sobre la política de contraseñas &gt; DT y DL
- v2.5.1.1: [49403] Si hay un apóstrofe en el chat 1:1 no se visualiza el mensaje (NO SUBIR AL TRUNK)
Siguiente:
- v2.5.1.1: Correctivos
- video v2.17.X: [48719] iOS. Problemas funcionamiento compartir documentos en APP chat i2Cat
- Correctivo video descarga archivos y si es posible toggle micro (maximo 2 dias)
- v2.5.2: Evolutivos
Backlog:
- Configurar workspace de informes
Reply:
    Avance:
-----------------------------------
- v2.5.1.1: [49403] Si hay un apóstrofe en el chat 1:1 no se visualiza el mensaje (NO SUBIR AL TRUNK)
&gt; avanzando con problemas por bloqueo JSON FIREBASE
- v2.5.1.1: [47878] Tamaño video 1:1 (NO SUBIR AL TRUNK)
&gt; avanzando con problemas por bloqueo JSON FIREBASE
- Subir DTs a TEAMS y JIRA
- v2.5.1.0: [44004] OTG-AUTHN-007 Prueba sobre la política de contraseñas &gt; DT y DL
&gt; realizado</t>
      </text>
    </comment>
    <comment ref="DC10" authorId="168" shapeId="0" xr:uid="{00000000-0006-0000-0200-0000B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Recordatorio diario: 
- Actualizar JIRA / EXCEL 
Tareas planificadas:
- v2.5.1.0: [48432] Servicio para mostrar resultados de gamificaciones (Trivia salud) &gt; actualizar Excel Validaciones Desarrollador
- v2.5.1.0: [44797] Back. Añadir gamificaciones en la APP - Paciente &gt; DOC API REST
- v2.5.1.1: [49403] Si hay un apóstrofe en el chat 1:1 no se visualiza el mensaje (SUBIR A RAMA MANTENIMIENTO)
- v2.5.1.1: [47878] Tamaño video 1:1 (SUBIR A RAMA MANTENIMIENTO)
- SUBIR A RAMA MANTENIMIENTO:
https://umane.everis.com/svn/EHCOSPROD/RemoteHS/versiones_remote/2.5.1/codigo_fuente/remotehs
Siguiente:
- v2.5.1.1: Correctivos
- video v2.17.X: [48719] iOS. Problemas funcionamiento compartir documentos en APP chat i2Cat
- Correctivo video descarga archivos y si es posible toggle micro (maximo 2 dias)
- v2.5.2.0: [48075] [Desarrollo] Control de licencias on-premise &gt; desarrollo
- v2.5.2: Evolutivos
- v2.5.2.0: [45931] Integración Remote - EMPI &gt; desarrollo de pantallas
Backlog:
- Configurar workspace de informes
Reply:
    Avance:
-----------------------------------
- v2.5.1.1: [47878] Tamaño video 1:1 (SUBIR A RAMA MANTENIMIENTO)
&gt; realizado
- v2.5.1.0: [48432] Servicio para mostrar resultados de gamificaciones (Trivia salud) &gt; actualizar Excel Validaciones Desarrollador
&gt; realizado
- v2.5.1.0: [44797] Back. Añadir gamificaciones en la APP - Paciente &gt; DOC API REST
&gt; realizado
- v2.5.1.1: [49403] Si hay un apóstrofe en el chat 1:1 no se visualiza el mensaje (SUBIR A RAMA MANTENIMIENTO)
&gt; dudas por error en comentario de jira</t>
      </text>
    </comment>
    <comment ref="DD10" authorId="169" shapeId="0" xr:uid="{00000000-0006-0000-0200-0000B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Recordatorio diario: 
- Actualizar JIRA / EXCEL 
Tareas planificadas:
- v2.5.1.1: [49403] Si hay un apóstrofe en el chat 1:1 no se visualiza el mensaje (SUBIR A RAMA MANTENIMIENTO)
- v2.5.1.1: [49924] error labels entidades con Informes desactivados (SUBIR A RAMA MANTENIMIENTO)
Siguiente:
- v2.5.1.1: Correctivos
- video v2.17.X: [48719] iOS. Problemas funcionamiento compartir documentos en APP chat i2Cat
- Correctivo video descarga archivos y si es posible toggle micro (maximo 2 dias)
- v2.5.2.0: [48075] [Desarrollo] Control de licencias on-premise &gt; desarrollo
- v2.5.2: Evolutivos
- v2.5.2.0: [45931] Integración Remote - EMPI &gt; desarrollo de pantallas
Backlog:
- Configurar workspace de informes
Reply:
    Avance:
-----------------------------------
- v2.5.1.1: [49403] Si hay un apóstrofe en el chat 1:1 no se visualiza el mensaje (SUBIR A RAMA MANTENIMIENTO)
&gt; realizado
- v2.5.1.1: [49924] error labels entidades con Informes desactivados (SUBIR A RAMA MANTENIMIENTO)
&gt; realizado</t>
      </text>
    </comment>
    <comment ref="DE10" authorId="170" shapeId="0" xr:uid="{00000000-0006-0000-0200-0000B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Recordatorio diario: 
- Actualizar JIRA / EXCEL 
Tareas planificadas:
- video v2.17.X: [48719] iOS. Problemas funcionamiento compartir documentos en APP chat i2Cat
Siguiente:
- v2.5.1.1: Correctivos
- Correctivo video descarga archivos y si es posible toggle micro (maximo 2 dias)
- v2.5.2: Evolutivos
- v2.5.2.0: [45931] Integración Remote - EMPI &gt; desarrollo de pantallas
Backlog:
- Configurar workspace de informes
Reply:
    Avance:
-----------------------------------
- video v2.17.X: [48719] iOS. Problemas funcionamiento compartir documentos en APP chat i2Cat
&gt; empezando con problema en local para el envio de mensajes en local.
&gt; ausencia: mañana por renovar dni</t>
      </text>
    </comment>
    <comment ref="DF10" authorId="171" shapeId="0" xr:uid="{00000000-0006-0000-0200-0000BC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
Recordatorio diario: 
- Actualizar JIRA / EXCEL 
Tareas planificadas:
- video v2.17.X: [48719] iOS. Problemas funcionamiento compartir documentos en APP chat i2Cat
- Revisar videos de formacion de i2cat
Dudas:
- Preguntar a referente de angular
- Curso de angular
Siguiente:
- v2.5.1.1: Correctivos
- Correctivo video descarga archivos y si es posible toggle micro (maximo 2 dias)
- v2.5.2: Evolutivos
- v2.5.2.0: [45931] Integración Remote - EMPI &gt; desarrollo de pantallas
Backlog:
- Configurar workspace de informes
Reply:
    Avance:
-----------------------------------
- video v2.17.X: [48719] iOS. Problemas funcionamiento compartir documentos en APP chat i2Cat
&gt; Bloqueado con problemas en local con el chat
- Preguntar a referente de angular
- Revisar videos de formacion de i2cat &gt; https://everisgroup.sharepoint.com/:f:/s/ehCOSPRM/EtKzy6_xLNRAsrm0Y0pcDWsBHd6a00LbrcUJZ8UpgkMUWA?e=pSDYWZ
</t>
      </text>
    </comment>
    <comment ref="DG10" authorId="172" shapeId="0" xr:uid="{00000000-0006-0000-0200-0000B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Recordatorio diario: 
- Actualizar JIRA / EXCEL 
Tareas planificadas:
- video v2.17.X: [48719] iOS. Problemas funcionamiento compartir documentos en APP chat i2Cat &gt; realizar cambios a ciegas
- v2.5.2.0: [45931] Integración Remote - EMPI &gt; desarrollo de pantallas busqueda de creacion / modificacion
Dudas:
- Curso de angular
Siguiente:
Backlog:
- v2.5.1.1: Correctivos
- v2.5.2: Evolutivos
- Configurar workspace de informes
Reply:
    Avance:
-----------------------------------
- v2.5.1.1: Correctivos &gt; realizados por cambio de prioridad
- v2.5.1.1: [47878] Tamaño video 1:1
- v2.5.1.1: [49924] error labels entidades con Informes desactivados</t>
      </text>
    </comment>
    <comment ref="DJ10" authorId="173" shapeId="0" xr:uid="{00000000-0006-0000-0200-0000B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Recordatorio diario: 
- Actualizar JIRA / EXCEL 
Tareas planificadas:
- video v2.17.X: [48719] iOS. Problemas funcionamiento compartir documentos en APP chat i2Cat &gt; realizar cambios a ciegas
- v2.5.2.0: [45931] Integración Remote - EMPI &gt; desarrollo de pantallas busqueda de creacion / modificacion
Dudas:
- Curso de angular
Siguiente:
Backlog:
- v2.5.1.1: Correctivos
- v2.5.2: Evolutivos
- Configurar workspace de informes
Reply:
    Avance:
-----------------------------------
- video v2.17.X: [48719] iOS. Problemas funcionamiento compartir documentos en APP chat i2Cat &gt; realizar cambios a ciegas y desplegar en video PRE
&gt; Se realizo pero no ha funcionado la solucion, se retrocede.
- v2.5.2.0: [45931] Integración Remote - EMPI &gt; desarrollo de pantallas busqueda de creacion / modificacion
&gt; revisando dt y df
- Soporte nuevos compañeros </t>
      </text>
    </comment>
    <comment ref="DK10" authorId="174" shapeId="0" xr:uid="{00000000-0006-0000-0200-0000B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Recordatorio diario: 
- Actualizar JIRA / EXCEL 
Tareas planificadas:
&gt; desplegar en PRE VIDEO sin cambios
- v2.5.2.0: [50223] UI para búsqueda de pacientes en EMPI (creación/modificación de pacientes)
Siguiente:
Backlog:
- v2.5.1.1: Correctivos
- v2.5.2: Evolutivos
- Configurar workspace de informes
- Curso de angular
Reply:
    Avance:
-----------------------------------
&gt; desplegar en PRE VIDEO retrocediendo version
- v2.5.2.0: [50223] UI para búsqueda de pacientes en EMPI (creación/modificación de pacientes)
&gt; avanzando 
- Soporte a los compañeros</t>
      </text>
    </comment>
    <comment ref="DL10" authorId="175" shapeId="0" xr:uid="{00000000-0006-0000-0200-0000C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Recordatorio diario: 
- Actualizar JIRA / EXCEL 
Tareas planificadas:
&gt; desplegar en PRE VIDEO sin cambios
- v2.5.2.0: [50223] UI para búsqueda de pacientes en EMPI (creación/modificación de pacientes)
Siguiente:
Backlog:
- v2.5.1.1: Correctivos
- v2.5.2: Evolutivos
- Configurar workspace de informes
- Curso de angular
Reply:
Avance:
-----------------------------------
- v2.5.2.0: [50223] UI para búsqueda de pacientes en EMPI (creación/modificación de pacientes)
&gt; cambiada de estado a en progreso y actualizado restante en JIRA
- Soporte a los compañeros</t>
      </text>
    </comment>
    <comment ref="DM10" authorId="176" shapeId="0" xr:uid="{00000000-0006-0000-0200-0000C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Recordatorio diario: 
- Actualizar JIRA / EXCEL 
Tareas planificadas:
- v2.5.2.0: [50223] UI para búsqueda de pacientes en EMPI (creación/modificación de pacientes)
- Preguntar dudas a Hector Peris Gimeno 
Siguiente:
- v2.5.2.0: [50225] UI desarrollo en Perfil 360 para que muestre aviso a los pacientes sin acceso
- v2.5.2.0: [50226] UI Gestión de entidades (EMPI activo/inactivo, etc.)
Backlog:
- v2.5.1.1: Correctivos
- v2.5.2: Evolutivos
- Configurar workspace de informes
- Curso de angular</t>
      </text>
    </comment>
    <comment ref="DQ10" authorId="177" shapeId="0" xr:uid="{00000000-0006-0000-0200-0000C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v2.5.2.0: [50223] UI para búsqueda de pacientes en EMPI (creación/modificación de pacientes)
Siguiente:
- [50617]: Error nullpointer al generar video
- [49618]: pendiente de análisis. Iniciar desarrollo el miércoles 21/07
Backlog:
- Configurar workspace de informes
- Curso de angular</t>
      </text>
    </comment>
    <comment ref="DR10" authorId="178" shapeId="0" xr:uid="{00000000-0006-0000-0200-0000C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v2.5.2.0: [50223] UI para búsqueda de pacientes en EMPI (creación/modificación de pacientes)
Siguiente:
- [50617]: Error nullpointer al generar video
- [49618]: pendiente de análisis. Iniciar desarrollo el miércoles 21/07
Backlog:
- Configurar workspace de informes
- Curso de angular</t>
      </text>
    </comment>
    <comment ref="DS10" authorId="179" shapeId="0" xr:uid="{00000000-0006-0000-0200-0000C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v2.5.2.0: [50223] UI para búsqueda de pacientes en EMPI (creación/modificación de pacientes)
Siguiente:
- [50617]: Error nullpointer al generar video
- [49618]: pendiente de análisis. Iniciar desarrollo el miércoles 21/07
Backlog:
- Configurar workspace de informes
- Curso de angular
Reply:
    Avance:
-----------------------------------
- v2.5.2.0: [50223] UI para búsqueda de pacientes en EMPI (creación/modificación de pacientes)
&gt; bloqueado por desarrollo relacionado pendiente
- v2.5.2.0: [50603] Agregar validación perfil paciente
- v2.5.2.0: [50226] UI Gestión de entidades (EMPI activo/inactivo, etc.) &gt; se desestima</t>
      </text>
    </comment>
    <comment ref="DT10" authorId="180" shapeId="0" xr:uid="{00000000-0006-0000-0200-0000C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v2.5.2.0: [50223] UI para búsqueda de pacientes en EMPI (creación/modificación de pacientes)
Siguiente:
- [50617]: Error nullpointer al generar video
- [49618]: pendiente de análisis. Iniciar desarrollo el miércoles 21/07
Backlog:
- Configurar workspace de informes
- Curso de angular
Reply:
    Avance:
-----------------------------------
- v2.5.2.0: [50223] UI para búsqueda de pacientes en EMPI (creación/modificación de pacientes)
&gt; bloquedado en espera de una reunion para la busqueda de empi
- v2.5.2.0: [50617]: Error nullpointer al generar video
&gt; realizada
&gt; Soporte a compañeros</t>
      </text>
    </comment>
    <comment ref="DU10" authorId="181" shapeId="0" xr:uid="{00000000-0006-0000-0200-0000C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v2.5.2.0: [50223] UI para búsqueda de pacientes en EMPI (creación/modificación de pacientes)
Siguiente:
- v2.5.2.0: [49610] Integración EMPI - No permitir modificar datos al paciente
- v2.5.2.0: [49618] Error chat web-web en grupos &gt; revisada en espera de DF
Backlog:
- Configurar workspace de informes
- Curso de angular
Reply:
    Avance:
-----------------------------------
- v2.5.2.0: [50223] UI para búsqueda de pacientes en EMPI (creación/modificación de pacientes)
&gt; reunion con hector para demo de busqueda y problemas con la configuracion de EMPI QA
&gt; problemas con eclipse para las dependencias de jrebel
&gt; termina hoy</t>
      </text>
    </comment>
    <comment ref="DX10" authorId="182" shapeId="0" xr:uid="{00000000-0006-0000-0200-0000C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v2.5.2.0: [50223] UI para búsqueda de pacientes en EMPI (creación/modificación de pacientes)
Siguiente:
- v2.5.2.0: [49610] Integración EMPI - No permitir modificar datos al paciente
- v2.5.2.0: [49618] Error chat web-web en grupos &gt; revisada en espera de DF
Backlog:
- Configurar workspace de informes
- Curso de angular
Reply:
    Avance:
-----------------------------------
- v2.5.2.0: [50223] UI para búsqueda de pacientes en EMPI (creación/modificación de pacientes) &gt; fin:26/07
&gt; bloqueado por empi apagado, consultado dudas con hector
- v2.5.2.0: [50717] UI. Botón Añadir
&gt; realizado
- v2.5.2.0: [49610] Integración EMPI - No permitir modificar datos al paciente
&gt; avanzando</t>
      </text>
    </comment>
    <comment ref="DY10" authorId="183" shapeId="0" xr:uid="{00000000-0006-0000-0200-0000C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v2.5.2.0: [49610] Integración EMPI - No permitir modificar datos al paciente
Siguiente:
- v2.5.2.0: [50223] UI para búsqueda de pacientes en EMPI (creación/modificación de pacientes) &gt; fin:26/07
Backlog:
- Configurar workspace de informes
- Curso de angular
Reply:
    Avance:
-----------------------------------
- v2.5.2.0: [49610] Integración EMPI - No permitir modificar datos al paciente
&gt; realizado
- v2.5.2.0: [50223] UI para búsqueda de pacientes en EMPI (creación/modificación de pacientes) &gt; fin:26/07
&gt; avanzando con la busqueda</t>
      </text>
    </comment>
    <comment ref="DZ10" authorId="184" shapeId="0" xr:uid="{00000000-0006-0000-0200-0000C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
Tareas planificadas:
- v2.5.2.0: [50223] UI para búsqueda de pacientes en EMPI (creación/modificación de pacientes) &gt; fin:26/07
Siguiente:
- v2.5.2.0: [50803] UI Filtros búsqueda
- v2.5.2.0: [50799] UI acción Sincronizar si el paciente no existe en EMPI
- v2.5.2.0: [50800] UI acción Eliminar si el paciente existe en EMPI
Backlog:
- Configurar workspace de informes
- Curso de angular
Reply:
    Avance:
-----------------------------------
- v2.5.2.0: [50223] UI para búsqueda de pacientes en EMPI (creación/modificación de pacientes)
&gt; bloqueado, se revisaran las dudas para terminar hoy
- v2.5.2.0: [50803] UI Filtros búsqueda
&gt; avanzando
&gt; Problemas con el pc
&gt; Soporte compañeros</t>
      </text>
    </comment>
    <comment ref="EA10" authorId="185" shapeId="0" xr:uid="{00000000-0006-0000-0200-0000C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v2.5.2.0: [50223] UI para búsqueda de pacientes en EMPI (creación/modificación de pacientes)
Siguiente:
- v2.5.2.0: [50803] UI Filtros búsqueda
- v2.5.2.0: [50799] UI acción Sincronizar si el paciente no existe en EMPI
Backlog:
- Configurar workspace de informes
- Curso de angular</t>
      </text>
    </comment>
    <comment ref="EB10" authorId="186" shapeId="0" xr:uid="{00000000-0006-0000-0200-0000C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v2.5.2.0: [50223] UI para búsqueda de pacientes en EMPI (creación/modificación de pacientes) &gt; fin:02/08
Siguiente:
- v2.5.2.0: [50803] UI Filtros búsqueda
- v2.5.2.0: [50799] UI acción Sincronizar si el paciente no existe en EMPI
Backlog:
- Configurar workspace de informes
- Curso de angular
Reply:
    Avance:
-----------------------------------
- v2.5.2.0: [50223] UI para búsqueda de pacientes en EMPI (creación/modificación de pacientes) &gt; fin:02/08
&gt; realizado en los campos obligatorios para empi, avanzando crear paciente en remote
Reply:
    Avance:
-----------------------------------
- v2.5.2.0: [50223] UI para búsqueda de pacientes en EMPI (creación/modificación de pacientes) &gt; fin:02/08
&gt; casi terminado a falta de pruebas por falta de OID
&gt; falta la busqueda solo funciona por DNI</t>
      </text>
    </comment>
    <comment ref="EE10" authorId="187" shapeId="0" xr:uid="{00000000-0006-0000-0200-0000CC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v2.5.2.0: [50223] UI para búsqueda de pacientes en EMPI (creación/modificación de pacientes) &gt; fin:02/08
Siguiente:
- v2.5.2.0: [50799] UI acción Sincronizar si el paciente no existe en EMPI
- v2.5.2.0: [50905] Completar servicio para notificaciones de EMPI
Backlog:
- v2.5.2.1: [50803] UI Filtros búsqueda
- v2.5.3: Evolutivos Planes de contacto asignacion de cuestionarios
- Configurar workspace de informes
- Curso de angular
Reply:
    Avance:
-----------------------------------
- v2.5.2.0: [50223] UI para búsqueda de pacientes en EMPI (creación/modificación de pacientes) &gt; fin:02/08
&gt; terminada
- v2.5.2.0: [50799] UI acción Sincronizar si el paciente no existe en EMPI
&gt; Avanzando con dudas esperando correo con solucion de hector.
- v2.5.2.0: [50905] Completar servicio para notificaciones de EMPI
&gt; Avanzando
</t>
      </text>
    </comment>
    <comment ref="EF10" authorId="188" shapeId="0" xr:uid="{00000000-0006-0000-0200-0000CD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v2.5.2.0: [50799] UI acción Sincronizar si el paciente no existe en EMPI
Siguiente:
- v2.5.2.0: [50905] Completar servicio para notificaciones de EMPI
Backlog:
- v2.5.2.1: [50803] UI Filtros búsqueda
- v2.5.3: Evolutivos Planes de contacto asignacion de cuestionarios
- Configurar workspace de informes
- Curso de angular
Reply:
    Avance:
-----------------------------------
- v2.5.2.0: [50799] UI acción Sincronizar si el paciente no existe en EMPI
&gt; Se avanzo parcialmente, reunio con hector para desplegar en QA, pero hubo bloqueos con un servicio de hector que no compilaba.
&gt; ¿se esta realizando un sobreesfuerzo se podra compensar?
</t>
      </text>
    </comment>
    <comment ref="EG10" authorId="189" shapeId="0" xr:uid="{00000000-0006-0000-0200-0000C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v2.5.2.0: [50799] UI acción Sincronizar si el paciente no existe en EMPI
Siguiente:
- v2.5.2.0: [50905] Completar servicio para notificaciones de EMPI
- v2.5.2.0: [50994] Errores en el evolutivo - Integración Remote - EMPI
Backlog:
- v2.5.2.1: [50803] UI Filtros búsqueda
- v2.5.3: Evolutivos Planes de contacto asignacion de cuestionarios
- Configurar workspace de informes
- Curso de angular
Reply:
    Avance:
-----------------------------------
- v2.5.2.0: [50799] UI acción Sincronizar si el paciente no existe en EMPI
&gt; realizado y comiteado
- v2.5.2.0: [50905] Completar servicio para notificaciones de EMPI
&gt; avanzando y casi terminada</t>
      </text>
    </comment>
    <comment ref="EH10" authorId="190" shapeId="0" xr:uid="{00000000-0006-0000-0200-0000C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v2.5.2.0: [50905] Completar servicio para notificaciones de EMPI
&gt; merge al trunk y despliegue en QA avisar a Ricardo
Siguiente:
- v2.5.2.0: [50994] Errores en el evolutivo - Integración Remote - EMPI
- [50905] DT y DL
Backlog:
- v2.5.2.1: [50803] UI Filtros búsqueda
- v2.5.3: Evolutivos Planes de contacto asignacion de cuestionarios
- Configurar workspace de informes
- Curso de angular
Reply:
    Avance:
-----------------------------------
- v2.5.2.0: [50905] Completar servicio para notificaciones de EMPI
&gt; realizada
- v2.5.2.0: [50994] Errores en el evolutivo - Integración Remote - EMPI
&gt; avanzando
&gt; Soporte a Jose para explicarle EMPI
&gt; Soporte a Carlos con su jira</t>
      </text>
    </comment>
    <comment ref="EI10" authorId="191" shapeId="0" xr:uid="{00000000-0006-0000-0200-0000D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v2.5.2.0: [50905] Completar servicio para notificaciones de EMPI
&gt; merge al trunk y despliegue en QA avisar a Ricardo
&gt; revisar comentarios y ajustes
- Revisar script: Covid_2.5.2\01_schema\006 - EHCOSPROD-50223.sql
- Revisar script: Covid_2.5.2\01_schema\009 - EHCOSPROD-50779.sql
Siguiente:
- v2.5.2.0: [50994] Errores en el evolutivo - Integración Remote - EMPI
- [50905] DT y DL
Backlog:
- v2.5.2.1: [50803] UI Filtros búsqueda
- v2.5.3: Evolutivos Planes de contacto asignacion de cuestionarios
- Configurar workspace de informes
- Curso de angular
Reply:
    Avance:
-----------------------------------
- v2.5.2.0: [50905] Completar servicio para notificaciones de EMPI
&gt; realizado sin completar merge por problemas
- Revisar script: Covid_2.5.2\01_schema\006 - EHCOSPROD-50223.sql
&gt; realizado
- Revisar script: Covid_2.5.2\01_schema\009 - EHCOSPROD-50779.sql
&gt; realizado
&gt; Soporte a Jose</t>
      </text>
    </comment>
    <comment ref="EL10" authorId="192" shapeId="0" xr:uid="{00000000-0006-0000-0200-0000D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v2.5.2.0: [51114] Incidencias EMPI
- v2.5.2.0: [51115] Correctivos EMPI
Siguiente:
- [50905] DT y DL
Backlog:
- v2.5.2.1: [50803] UI Filtros búsqueda
- v2.5.3: Evolutivos Planes de contacto asignacion de cuestionarios
- Configurar workspace de informes
- Curso de angular
Reply:
    Avance:
-----------------------------------
- v2.5.2.0: [51114] Incidencias EMPI
&gt; avanzado
&gt; Problemas con las dependencias del TRUNK
&gt; Soporte a CARLOS.</t>
      </text>
    </comment>
    <comment ref="EM10" authorId="193" shapeId="0" xr:uid="{00000000-0006-0000-0200-0000D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v2.5.2.0: [51114] Incidencias EMPI
- v2.5.2.0: [51115] Correctivos EMPI
- v2.5.2.0: [51172] Sincronizar con EMPI
Siguiente:
- [50905] DT y DL
Backlog:
- v2.5.2.1: [50803] UI Filtros búsqueda
- v2.5.3: Evolutivos Planes de contacto asignacion de cuestionarios
- Configurar workspace de informes
- Curso de angular
Reply:
    Avance:
-----------------------------------
- v2.5.2.0: [51114] Incidencias EMPI
&gt; avanzando casi terminado
- v2.5.2.0: [51115] Correctivos EMPI
&gt; avanzando casi terminado
- v2.5.2.0: [51172] Sincronizar con EMPI
&gt; avanzando
&gt; Soporte a Jose y Carlos</t>
      </text>
    </comment>
    <comment ref="EN10" authorId="194" shapeId="0" xr:uid="{00000000-0006-0000-0200-0000D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v2.5.2.0: [51114] Incidencias EMPI
- v2.5.2.0: [51115] Correctivos EMPI
- v2.5.2.0: [51172] Sincronizar con EMPI
Siguiente:
- [50905] DT y DL
Backlog:
- v2.5.2.1: [50803] UI Filtros búsqueda
- v2.5.3: Evolutivos Planes de contacto asignacion de cuestionarios
- Configurar workspace de informes
- Curso de angular
Reply:
    Avance:
-----------------------------------
- v2.5.2.0: [51114] Incidencias EMPI
&gt; realizado
- v2.5.2.0: [51115] Correctivos EMPI
&gt; realizado, pero devuelto puntos 1 y 2
- v2.5.2.0: [51172] Sincronizar con EMPI
&gt; realizado, pero devuelto punto 5 
&gt; Soporte a Jose</t>
      </text>
    </comment>
    <comment ref="EO10" authorId="195" shapeId="0" xr:uid="{00000000-0006-0000-0200-0000D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v2.5.2.0: [51115] Correctivos EMPI &gt; Devuelto puntos 1 y 2
- v2.5.2.0: [51172] Sincronizar con EMPI &gt; Punto 5 se devuelve
Siguiente:
- [50905] DT y DL
Backlog:
- v2.5.2.1: [50803] UI Filtros búsqueda
- v2.5.3: Evolutivos Planes de contacto asignacion de cuestionarios
- Configurar workspace de informes
- Curso de angular
Reply:
    Avance:
-----------------------------------
- v2.5.2.0: [51115] Correctivos EMPI 
&gt; realizado
- v2.5.2.0: [51172] Sincronizar con EMPI &gt; Punto 5 se devuelve
&gt; realizado
- v2.5.2.0: [51264] Incidencias EMPI
&gt; casi terminado
- v2.5.2.0: [51265] Búsqueda en EMPI. Error</t>
      </text>
    </comment>
    <comment ref="EP10" authorId="196" shapeId="0" xr:uid="{00000000-0006-0000-0200-0000D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v2.5.2.0: [51264] Incidencias EMPI
- v2.5.2.0: [51265] Búsqueda en EMPI. Error
- v2.5.2.0: [51346] Modificar ficha de usuario
Siguiente:
- [50905] DT y DL
Backlog:
- v2.5.2.1: [50803] UI Filtros búsqueda
- v2.5.3: Evolutivos Planes de contacto asignacion de cuestionarios
- Configurar workspace de informes
- Curso de angular
Reply:
    Avance:
-----------------------------------
- v2.5.2.0: [51264] Incidencias EMPI
&gt; realizada
- v2.5.2.0: [51265] Búsqueda en EMPI. Error
&gt; realizada</t>
      </text>
    </comment>
    <comment ref="EZ10" authorId="197" shapeId="0" xr:uid="{00000000-0006-0000-0200-0000D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descanso por sobresfuerzo en estabilizar versión</t>
      </text>
    </comment>
    <comment ref="FA10" authorId="198" shapeId="0" xr:uid="{00000000-0006-0000-0200-0000D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[50905] DT y DL
Siguiente:
- v2.5.3.0: Evolutivo CDAs
Backlog:
- v2.5.3.0: Evolutivo Citas y Profesionales &gt; Emilio y Javier
- Configurar mirth en local
- Configurar workspace de informes
- Curso de angular
Reply:
    Avance:
-----------------------------------
- v2.5.2.0: [45931] Integración Remote - EMPI &gt; DT y DL
&gt; realizado</t>
      </text>
    </comment>
    <comment ref="FB10" authorId="199" shapeId="0" xr:uid="{00000000-0006-0000-0200-0000D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v2.5.3.0: [46510] Integración Remote - Perfil 360 (CDA)
Siguiente:
- v2.5.3.0: Evolutivo Citas y Profesionales &gt; Emilio y Javier
Backlog:
- Configurar mirth en local
- Configurar workspace de informes
- Curso de angular
Reply:
    Avance:
-----------------------------------
&gt; Problemas con el pc
- v2.5.3.0: [46510] Integración Remote - Perfil 360 (CDA) [fin:10/09/2021]
&gt; revision tecnica</t>
      </text>
    </comment>
    <comment ref="FC10" authorId="200" shapeId="0" xr:uid="{00000000-0006-0000-0200-0000D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Configurando el pc personal para desarrollo
- v2.5.3.0: [46510] Integración Remote - Perfil 360 (CDA) [fin:10/09/2021]
Siguiente:
- v2.5.3.0: Evolutivo Citas y Profesionales &gt; Emilio y Javier
Backlog:
- Configurar mirth en local
- Configurar workspace de informes
- Curso de angular
Reply:
    Avance:
-----------------------------------
- Configurando el pc personal para desarrollo
&gt; Sin avance 
&gt; Soporte a Carlos y Jose
- v2.5.3.0: [46510] Integración Remote - Perfil 360 (CDA) [¿fin?:10/09/2021]
&gt; Sin avance por problemas en pc, *retraso*</t>
      </text>
    </comment>
    <comment ref="FD10" authorId="201" shapeId="0" xr:uid="{00000000-0006-0000-0200-0000D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Configurando el nuevo pc para desarrollo
- v2.5.3.0: [46510] Integración Remote - Perfil 360 (CDA) [¿fin?:10/09/2021]
Siguiente:
- v2.5.3.0: Evolutivo Citas y Profesionales &gt; Emilio y Javier
Backlog:
- Configurar mirth en local
- Configurar workspace de informes
- Curso de angular
Reply:
    Avance:
-----------------------------------
- Configurando el nuevo pc para desarrollo
&gt; realizado
&gt; Dando soporte a compañeros</t>
      </text>
    </comment>
    <comment ref="FG10" authorId="202" shapeId="0" xr:uid="{00000000-0006-0000-0200-0000D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v2.5.3.0: [46510] Integración Remote - Perfil 360 (CDA) [fin:14/09/2021]
Siguiente:
- v2.5.3.0: Evolutivo Citas y Profesionales &gt; Emilio y Javier
Backlog:
- Configurar mirth en local
- Configurar workspace de informes
- Curso de angular
Reply:
    Avance:
-----------------------------------
&gt; Posible ausencia por dentista.
- Configurando el nuevo pc para desarrollo
&gt; Problemas con librerias y vpn de azure
&gt; Soporte a Carlos y Jose
- v2.5.3.0: [46510] Integración Remote - Perfil 360 (CDA) [fin:14/09/2021]
&gt; empezando</t>
      </text>
    </comment>
    <comment ref="FH10" authorId="203" shapeId="0" xr:uid="{00000000-0006-0000-0200-0000D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v2.5.3.0: [46510] Integración Remote - Perfil 360 (CDA) [fin:14/09/2021]
Siguiente:
- v2.5.3.0: Evolutivo Citas y Profesionales &gt; Emilio y Javier
Backlog:
- Configurar mirth en local
- Configurar workspace de informes
- Curso de angular
Reply:
    Avance:
-----------------------------------
- v2.5.3.0: [46510] Integración Remote - Perfil 360 (CDA) [fin:10/09/2021]
&gt; avanzando, realizado test argentina
&gt; Soporte a Carlos y Jose
&gt; Ausencia el lunes 6 por un examen medico.</t>
      </text>
    </comment>
    <comment ref="FI10" authorId="204" shapeId="0" xr:uid="{00000000-0006-0000-0200-0000DD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v2.5.3.0: [46510] Integración Remote - Perfil 360 (CDA) [fin:10/09/2021]
Siguiente:
- v2.5.3.0: Evolutivo Citas y Profesionales &gt; Emilio y Javier
Backlog:
- Configurar mirth en local
- Configurar workspace de informes
- Curso de angular
Reply:
    Avance:
-----------------------------------
- v2.5.3.0: [46510] Integración Remote - Perfil 360 (CDA) [fin:10/09/2021]
&gt; avanzando con problemas de dependencias
&gt; Soporte a Jose
</t>
      </text>
    </comment>
    <comment ref="FJ10" authorId="205" shapeId="0" xr:uid="{00000000-0006-0000-0200-0000D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v2.5.3.0: [46510] Integración Remote - Perfil 360 (CDA) [fin:10/09/2021]
Siguiente:
- v2.5.3.0: Evolutivo Citas y Profesionales &gt; Emilio y Javier
Backlog:
- Configurar mirth en local
- Configurar workspace de informes
- Curso de angular</t>
      </text>
    </comment>
    <comment ref="FK10" authorId="206" shapeId="0" xr:uid="{00000000-0006-0000-0200-0000D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EHCOSPROD-51896: Perfil 360 CDA -&gt; se desbloqueo, finalizaría el lunes si no hay más dudas
Avance:
EHCOSPROD-51896: Perfil 360 CDA -&gt; se desbloqueo, finalizaría el lunes si no hay más dudas</t>
      </text>
    </comment>
    <comment ref="FN10" authorId="207" shapeId="0" xr:uid="{00000000-0006-0000-0200-0000E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Javier
2.5.3.0: [51896 -&gt; desarrollo 46510] Perfil 360 CDA: parte identificación del paciente con los datos recibidos del CDA. Comenzar a trabajar estructura del CDA para Antecedentes
[subida al trunk:14/09/2021]
- Ausencia en la tarde por asistir a pruebas médicas
Reply:
    La ausencia será por medio día, pero será recuperada en el transcurso de la semana</t>
      </text>
    </comment>
    <comment ref="FO10" authorId="208" shapeId="0" xr:uid="{00000000-0006-0000-0200-0000E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Javier
2.5.3.0: [51896 -&gt; desarrollo 46510] Perfil 360 CDA: Comenzar con la sincronización de los cambios subidos por parte de Hector al branchy validar que no hay ningún error o problema (documentación en EHCOSPROD-45942). Continuar con la parte de identificación del paciente con los datos recibidos del CDA y tratamiento del CDA para obtener datos de Antecedentes. [subida al trunk:14/09/2021]. Pendiente commit en la rama y registro de horas y avance del lunes (la parte que trabajó)</t>
      </text>
    </comment>
    <comment ref="FP10" authorId="209" shapeId="0" xr:uid="{00000000-0006-0000-0200-0000E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Javier
2.5.3.0: [51859 -&gt; desarrollo 48021] Asignar cuestionario en plan de contacto: desarrollo junto a Emilio y Jose. Preparar entorno, leer documentación funcional y revisar análisis técnico. Scripts para usuario ficticio. Desarrollo del controlador asociado al formulario de configuración de la acción al incluirla en el plan. Commit en la rama [subida al trunk:15/09/2021].
2.5.3.0: [51896 -&gt; desarrollo 46510] Perfil 360 CDA: Pospuesto para otra versión</t>
      </text>
    </comment>
    <comment ref="FQ10" authorId="210" shapeId="0" xr:uid="{00000000-0006-0000-0200-0000E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Javier
2.5.3.0: [51859 -&gt; desarrollo 48021] Asignar cuestionario en plan de contacto: desarrollo junto a Emilio y Jose. Desarrollo del controlador asociado al formulario de configuración de la acción al incluirla en el plan. Commit en la rama [subida al trunk:15/09/2021].
2.5.3.0: [51896 -&gt; desarrollo 46510] Perfil 360 CDA: Pospuesto para otra versión</t>
      </text>
    </comment>
    <comment ref="FR10" authorId="211" shapeId="0" xr:uid="{00000000-0006-0000-0200-0000E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Javier
2.5.3.0: [51859 -&gt; desarrollo 48021] Asignar cuestionario en plan de contacto. Desarrollo del controlador asociado al formulario de configuración y edición de la acción en el plan. Búsqueda con filtros para cargar listado de cuestionarios, validaciones antes de guardar. Documentación y pruebas. Commit en la rama [subida al trunk:15/09/2021].
2.5.3.0: [51896 -&gt; desarrollo 46510] Perfil 360 CDA: Pospuesto para otra versión</t>
      </text>
    </comment>
    <comment ref="FU10" authorId="212" shapeId="0" xr:uid="{00000000-0006-0000-0200-0000E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v2.5.3.0: [51859] [Desarrollo] Asignar cuestionario en plan de contacto [fin:15/09/2021] &gt; completar ajustes y responsable Merge al trunk y scripts
Siguiente:
- v2.5.3.1: [46510] Integración Remote - Perfil 360 (CDA) [fin:10/09/2021] &gt; se necesitara una nueva rama desde la v2.5.3.1
- v2.5.4.0: Evolutivo Citas y Profesionales &gt; Emilio y Javier
Backlog:
- Configurar mirth en local
- Configurar workspace de informes
- Curso de angular
Reply:
    Avance:
-----------------------------------
- v2.5.3.0: [51859] [Desarrollo] Asignar cuestionario en plan de contacto [fin:15/09/2021] 
&gt; avanzando con la logica de validar y guardar</t>
      </text>
    </comment>
    <comment ref="FV10" authorId="213" shapeId="0" xr:uid="{00000000-0006-0000-0200-0000E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v2.5.3.0: [51859] [Desarrollo] Asignar cuestionario en plan de contacto [fin:15/09/2021] &gt; completar ajustes y responsable Merge al trunk y scripts
Siguiente:
- v2.5.3.1: [46510] Integración Remote - Perfil 360 (CDA) [fin:10/09/2021] &gt; se necesitara una nueva rama desde la v2.5.3.1
- v2.5.4.0: Evolutivo Citas y Profesionales &gt; Emilio y Javier
Backlog:
- Configurar mirth en local
- Configurar workspace de informes
- Curso de angular
Reply:
    Avance:
-----------------------------------
- v2.5.3.0: [51859] [Desarrollo] Asignar cuestionario en plan de contacto [fin:15/09/2021] &gt; completar ajustes y responsable Merge al trunk y scripts 
&gt; completado validaciones y merge al trunk</t>
      </text>
    </comment>
    <comment ref="FW10" authorId="214" shapeId="0" xr:uid="{00000000-0006-0000-0200-0000E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v2.5.3.0: [51859] [Desarrollo] Asignar cuestionario en plan de contacto [fin:15/09/2021] &gt; completar DT/DL
Siguiente:
- v2.5.3.1: [46510] Integración Remote - Perfil 360 (CDA) [fin:10/09/2021] &gt; se necesitara una nueva rama desde la v2.5.3.1 y se necesitara una nueva version de empi jar
Backlog:
- Configurar mirth en local
- Configurar workspace de informes
- Curso de angular
Reply:
    Avance:
-----------------------------------
- v2.5.3.1: [46510] Integración Remote - Perfil 360 (CDA) [fin:10/09/2021] 
&gt; Avanzando con el parseo se pospone la busqueda del paciente por dependencia de empi.
- v2.5.3.0: [51859] [Desarrollo] Asignar cuestionario en plan de contacto [fin:15/09/2021] &gt; completar DT/DL</t>
      </text>
    </comment>
    <comment ref="FX10" authorId="215" shapeId="0" xr:uid="{00000000-0006-0000-0200-0000E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Javier [~jparedma]
Tareas planificadas:
- v2.5.3.1: [46510] Integración Remote - Perfil 360 (CDA) [fin:10/09/2021] &gt; se necesitara una nueva rama desde la v2.5.3.1 y se necesitara una nueva version de empi jar
Siguiente:
- v2.5.4.0: [52965] Integración Remote - Perfil 360 (EMPI en API Citas)
Backlog:
- Configurar mirth en local
- Configurar workspace de informes
- Curso de angular</t>
      </text>
    </comment>
    <comment ref="EB11" authorId="216" shapeId="0" xr:uid="{00000000-0006-0000-0200-0000E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Primeras semanas:
-----------------------------------
&gt; 4 meses en la empresa con conocimiento de java y levantar servidores (SJ4)
- Revisando los videos de formación Java8 y boostrap
- vistos los videos del 1 al 5 + bootstrap + imputacion de horas jira
- Formación JAVA
- Píldoras formativas
- Documentación Funcional
&gt; Soporte de Javier para solicitar contraseña admin
- Preparación de entorno y workspace con codigo_fuente 2.5.1.X
&gt; configurado svn con credenciales de Javier
&gt; configurado maven con repositorio local
&gt; configurado eclipse
&gt; configurado BD y arrancar aplicación remotehs
&gt; Subir al confluence como configurar el entorno
- Documentación Técnica (Sessiones de Argentina)</t>
      </text>
    </comment>
    <comment ref="EE11" authorId="217" shapeId="0" xr:uid="{00000000-0006-0000-0200-0000E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v2.5.2.1: [48653] API perfil 360: guardar datos para usuarios inactivos
Reply:
    Avance:
-----------------------------------
- v2.5.2.1: [48653] API perfil 360: guardar datos para usuarios inactivos
&gt; configurando el entorno</t>
      </text>
    </comment>
    <comment ref="EF11" authorId="218" shapeId="0" xr:uid="{00000000-0006-0000-0200-0000E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v2.5.2.1: [48653] API perfil 360: guardar datos para usuarios inactivos
Reply:
    Avance:
-----------------------------------
- v2.5.2.1: [48653] API perfil 360: guardar datos para usuarios inactivos
&gt; realizado, terminando pruebas.</t>
      </text>
    </comment>
    <comment ref="EG11" authorId="219" shapeId="0" xr:uid="{00000000-0006-0000-0200-0000E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v2.5.2.1: [48653] API perfil 360: guardar datos para usuarios inactivos
Reply:
    Avance:
-----------------------------------
- v2.5.2.1: [48653] API perfil 360: guardar datos para usuarios inactivos
&gt; terminado, pendiente de pruebas de episodios, citas y intervenciones</t>
      </text>
    </comment>
    <comment ref="EH11" authorId="220" shapeId="0" xr:uid="{00000000-0006-0000-0200-0000ED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v2.5.2.0: [50994] Errores en el evolutivo - Integración Remote - EMPI
Siguiente:
- [51045] Fallas en servicios de biomedidas
Reply:
    Avance:
-----------------------------------
- v2.5.2.0: [50994] Errores en el evolutivo - Integración Remote - EMPI
&gt; configurando nuevo entorno y explicado por Javier como funciona EMPI.
</t>
      </text>
    </comment>
    <comment ref="EI11" authorId="221" shapeId="0" xr:uid="{00000000-0006-0000-0200-0000E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v2.5.2.0: [50994] Errores en el evolutivo - Integración Remote - EMPI
Siguiente:
- [51045] Fallas en servicios de biomedidas
Reply:
    Avance:
-----------------------------------
- v2.5.2.0: [50994] Errores en el evolutivo - Integración Remote - EMPI
&gt; casi terminado</t>
      </text>
    </comment>
    <comment ref="EL11" authorId="222" shapeId="0" xr:uid="{00000000-0006-0000-0200-0000E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v2.5.2.0: [50994] Errores en el evolutivo - Integración Remote - EMPI
Siguiente:
- [51045] Fallas en servicios de biomedidas
Reply:
    Avance:
-----------------------------------
- v2.5.2.0: [50994] Errores en el evolutivo - Integración Remote - EMPI
&gt; Problemas con dependencias en el trunk, su commit lo realiza Javier</t>
      </text>
    </comment>
    <comment ref="EM11" authorId="223" shapeId="0" xr:uid="{00000000-0006-0000-0200-0000F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v2.5.2.0: [50994] Errores en el evolutivo - Integración Remote - EMPI
Siguiente:
- [51045] Fallas en servicios de biomedidas
Reply:
    Avance:
-----------------------------------
- v2.5.2.0: [50994] Errores en el evolutivo - Integración Remote - EMPI
&gt; Sin avance por problemas con dependencia HDK, se soluciona con una copia del repositorio.
&gt; Faltan dos puntos para completar la tarea.</t>
      </text>
    </comment>
    <comment ref="EN11" authorId="224" shapeId="0" xr:uid="{00000000-0006-0000-0200-0000F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v2.5.2.0: [50994] Errores en el evolutivo - Integración Remote - EMPI
Siguiente:
- [51045] Fallas en servicios de biomedidas
Reply:
    Avance:
-----------------------------------
- v2.5.2.0: [50994] Errores en el evolutivo - Integración Remote - EMPI &gt; Puntos 3 y 4 se devuelven</t>
      </text>
    </comment>
    <comment ref="EO11" authorId="225" shapeId="0" xr:uid="{00000000-0006-0000-0200-0000F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v2.5.2.0: [50994] Errores en el evolutivo - Integración Remote - EMPI &gt; Puntos 3 y 4 se devuelven
Siguiente:
- [51045] Fallas en servicios de biomedidas
Reply:
    Avance:
-----------------------------------
- v2.5.2.0: [50994] Errores en el evolutivo - Integración Remote - EMPI &gt; Puntos 3 y 4 se devuelven
&gt; casi terminado</t>
      </text>
    </comment>
    <comment ref="EP11" authorId="226" shapeId="0" xr:uid="{00000000-0006-0000-0200-0000F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v2.5.2.0: [50994] Errores en el evolutivo - Integración Remote - EMPI
Reply:
    Avance:
-----------------------------------
- v2.5.2.0: [50994] Errores en el evolutivo - Integración Remote - EMPI
&gt; realizado</t>
      </text>
    </comment>
    <comment ref="ES11" authorId="227" shapeId="0" xr:uid="{00000000-0006-0000-0200-0000F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descanso por sobresfuerzo en estabilizar versión</t>
      </text>
    </comment>
    <comment ref="ET11" authorId="228" shapeId="0" xr:uid="{00000000-0006-0000-0200-0000F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v2.5.2.1: [47552] Filtros usuarios videoconferencia.
Siguiente: 
- v2.5.3.0: [50448] Integración con Binah.ai 
- v2.5.3: Evolutivos Planes de contacto asignacion de cuestionarios
- 49315, 47886
Reply:
    Avance:
-----------------------------------
- v2.5.2.1: [47552] Filtros usuarios videoconferencia. [fin:19/08]
&gt; Avanzado según estimación, faltarian las pruebas.</t>
      </text>
    </comment>
    <comment ref="EU11" authorId="229" shapeId="0" xr:uid="{00000000-0006-0000-0200-0000F6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Actualizar JIRAS
- Merge al trunk de ramas de la v2.5.2.1
- v2.5.2.1: [47552] Filtros usuarios videoconferencia. [fin:19/08]
Siguiente: 
- v2.5.3.0: [50448] Integración con Binah.ai 
- v2.5.3: Evolutivos Planes de contacto asignacion de cuestionarios
- 49315, 47886
Reply:
    Avance:
-----------------------------------
- v2.5.2.1: [47552] Filtros usuarios videoconferencia. [fin:19/08]
&gt; finalizando con ayuda de emilio, pendiente de validar con grecia
</t>
      </text>
    </comment>
    <comment ref="EV11" authorId="230" shapeId="0" xr:uid="{00000000-0006-0000-0200-0000F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Actualizar JIRAS y EXCEL
- Merge al trunk de ramas de la v2.5.2.1 &gt; 48653, 49608
- v2.5.2.1: [47552] Filtros usuarios videoconferencia. [fin:19/08]
Siguiente: 
- v2.5.3.0: [47886] Modificación pregunta cuestionario
- v2.5.3.0: [50448] Integración con Binah.ai 
- v2.5.3.0: Evolutivos Planes de contacto asignacion de cuestionarios
Backlog:
- v2.5.3.0: [51488] Mejora de rendimiento con nuevas vistas
- 49315, 47886
Reply:
    Avance:
-----------------------------------
- Merge al trunk de ramas de la v2.5.2.1 &gt; 48653, 49608
&gt; realizado
- v2.5.2.1: [47552] Filtros usuarios videoconferencia. [fin:19/08] &gt; PAUSADA
&gt; realizado y pausado por merges de otros jiras.</t>
      </text>
    </comment>
    <comment ref="EW11" authorId="231" shapeId="0" xr:uid="{00000000-0006-0000-0200-0000F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Actualizar JIRAS y EXCEL
- v2.5.3.0: [47886] Modificación pregunta cuestionario
Siguiente: 
- v2.5.3.0: [50448] Integración con Binah.ai 
- v2.5.3.0: Evolutivos Planes de contacto asignacion de cuestionarios
Backlog:
- v2.5.3.0: [51488] Mejora de rendimiento con nuevas vistas
- 49315, 47886
Reply:
    Avance:
-----------------------------------
- v2.5.2.1: [47552] Filtros usuarios videoconferencia. [fin:19/08] &gt; PAUSADA
&gt; realizado
&gt; Revisado una devuelta con Carlos
- v2.5.3.0: [47886] Modificación pregunta cuestionario
&gt; preparando rama
- v2.5.2.1: [47552] Filtros usuarios videoconferencia. &gt; DT y DL
&gt; realizado</t>
      </text>
    </comment>
    <comment ref="EZ11" authorId="232" shapeId="0" xr:uid="{00000000-0006-0000-0200-0000F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 Tareas planificadas:
 - Actualizar JIRAS y EXCEL
 - [47552] Revisar hoja de Validaciones desarrollador
 - v2.5.3.0: [47886] Modificación pregunta cuestionario
Siguiente: 
 - v2.5.3.0: [45726] Incluir el perfil 360 vista paciente para el profesional
Backlog:
 - v2.5.3.0: Evolutivos Planes de contacto asignacion de cuestionarios
 - v2.5.3.0: [50448] Integración con Binah.ai &gt; en espera de SDK
 - v2.5.3.0: [51488] Mejora de rendimiento con nuevas vistas 
Reply:
    Avance:
-----------------------------------
- v2.5.2.1: [47552] Filtros usuarios videoconferencia. [fin:19/08] &gt; PAUSADA
&gt; realizado
&gt; Revisado una devuelta con Carlos
- v2.5.3.0: [47886] Modificación pregunta cuestionario
&gt; preparando rama
Reply:
    Avance:
-----------------------------------
- Actualizar JIRAS y EXCEL
&gt; realizado
- [47552] Revisar hoja de Validaciones desarrollador
&gt; realizado
- v2.5.3.0: [47886] Modificación pregunta cuestionario
&gt; avanzando</t>
      </text>
    </comment>
    <comment ref="FA11" authorId="233" shapeId="0" xr:uid="{00000000-0006-0000-0200-0000F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v2.5.3.0: [47886] Modificación pregunta cuestionario
Siguiente: 
- v2.5.3.0: [45726] Incluir el perfil 360 vista paciente para el profesional &gt; esperar estimación
Backlog:
- v2.5.3.0: Evolutivos Planes de contacto asignacion de cuestionarios
- v2.5.3.0: [50448] Integración con Binah.ai &gt; en espera de SDK
Reply:
    Avance:
-----------------------------------
- v2.5.3.0: [47886] Modificación pregunta cuestionario
&gt; avanzando con dudas tecnicas.</t>
      </text>
    </comment>
    <comment ref="FB11" authorId="234" shapeId="0" xr:uid="{00000000-0006-0000-0200-0000F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v2.5.2.1: [48653] API perfil 360: guardar datos para usuarios inactivos &gt; DT y DL
- v2.5.3.0: [47886] Modificación pregunta cuestionario
Siguiente: 
- v2.5.3.0: [45726] Incluir el perfil 360 vista paciente para el profesional &gt; esperar estimación
Backlog:
- v2.5.3.0: Evolutivos Planes de contacto asignacion de cuestionarios
- v2.5.3.0: [50448] Integración con Binah.ai &gt; en espera de SDK
Reply:
    Avance:
-----------------------------------
- v2.5.2.1: [48653] API perfil 360: guardar datos para usuarios inactivos &gt; DT y DL 
&gt; realizado
- v2.5.3.0: [47886] Modificación pregunta cuestionario
&gt; avanzando</t>
      </text>
    </comment>
    <comment ref="FC11" authorId="235" shapeId="0" xr:uid="{00000000-0006-0000-0200-0000F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IMPORTANTE falta actualizar la excel con avance
- v2.5.3.0: [47886] Modificación pregunta cuestionario [fin:30/08/2021]
Siguiente: 
- v2.5.3.0: [45726] Incluir el perfil 360 vista paciente para el profesional &gt; esperar estimación
Backlog:
- v2.5.3.0: Evolutivos Planes de contacto asignacion de cuestionarios
- v2.5.3.0: [50448] Integración con Binah.ai &gt; en espera de SDK
Reply:
    Avance:
-----------------------------------
- v2.5.3.0: [47886] Modificación pregunta cuestionario [¿fin?:30/08/2021]
&gt; bloqueo con dudas tecnicas, *retraso*</t>
      </text>
    </comment>
    <comment ref="FD11" authorId="236" shapeId="0" xr:uid="{00000000-0006-0000-0200-0000F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IMPORTANTE revisar EXCEL 3h vs JIRA 30h
- v2.5.3.0: [47886] Modificación pregunta cuestionario [¿fin?:30/08/2021]
Siguiente: 
- v2.5.3.0: [45726] Incluir el perfil 360 vista paciente para el profesional &gt; esperar estimación
Backlog:
- v2.5.3.0: Evolutivos Planes de contacto asignacion de cuestionarios
- v2.5.3.0: [50448] Integración con Binah.ai &gt; en espera de SDK
Reply:
    Avance:
-----------------------------------
- v2.5.3.0: [47886] Modificación pregunta cuestionario [fin:01/09/2021]
&gt; Avance despues de reu tec, Revisando pruebas de rest con cecilia.
- IMPORTANTE revisar EXCEL 3h vs JIRA 30h
&gt; Aclarado</t>
      </text>
    </comment>
    <comment ref="FG11" authorId="237" shapeId="0" xr:uid="{00000000-0006-0000-0200-0000FE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v2.5.3.0: [47886] Modificación pregunta cuestionario [fin:01/09/2021]
Siguiente: 
- v2.5.3.0: Evolutivos Planes de contacto asignacion de cuestionarios &gt; pendiente de estimar
Backlog:
- v2.5.3.0: [50448] Integración con Binah.ai &gt; en espera de SDK
Reply:
    Avance:
-----------------------------------
- v2.5.3.0: [47886] Modificación pregunta cuestionario [fin:01/09/2021]
&gt; realizado con DT y DL
</t>
      </text>
    </comment>
    <comment ref="FH11" authorId="238" shapeId="0" xr:uid="{00000000-0006-0000-0200-0000F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Merges al trunk pendientes 47886
- v2.5.3.0: [45726] Incluir el perfil 360 vista paciente para el profesional &gt; esperar estimación
Siguiente: 
- v2.5.3.0: Evolutivos Planes de contacto asignacion de cuestionarios &gt; pendiente de estimar
Backlog:
- v2.5.3.0: [50448] Integración con Binah.ai &gt; en espera de SDK
Reply:
    Avance:
-----------------------------------
- Merges al trunk pendientes 47886
&gt; realizado
- v2.5.3.0: [45726] Incluir el perfil 360 vista paciente para el profesional [fin:02/09/2021]
&gt; avanzando segun planif</t>
      </text>
    </comment>
    <comment ref="FI11" authorId="239" shapeId="0" xr:uid="{00000000-0006-0000-0200-00000001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v2.5.3.0: [45726] Incluir el perfil 360 vista paciente para el profesional [fin:02/09/2021]
Siguiente: 
- v2.5.3.0: Evolutivos Planes de contacto asignacion de cuestionarios &gt; pendiente de estimar
Backlog:
- v2.5.3.0: [50448] Integración con Binah.ai &gt; en espera de SDK
- v2.5.3.0: [51488] Mejora de rendimiento con nuevas vistas
Reply:
    Avance:
-----------------------------------
- v2.5.3.0: [45726] Incluir el perfil 360 vista paciente para el profesional [fin:02/09/2021]
&gt; realizada, con dudas de como validar
</t>
      </text>
    </comment>
    <comment ref="FJ11" authorId="240" shapeId="0" xr:uid="{00000000-0006-0000-0200-000001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v2.5.3.0: [45726] Incluir el perfil 360 vista paciente para el profesional [fin:02/09/2021] &gt; Falta DT y DL
- v2.5.3.0: [52462] Incidencias cuestionario-escala [fin:03/09/2021]
Siguiente: 
- v2.5.3.0: [51859] [Desarrollo] Asignar cuestionario en plan de contacto - Jose [fin:15/09/2021]
Backlog:
- v2.5.3.0: [50448] Integración con Binah.ai &gt; en espera de SDK
- v2.5.3.0: [51488] Mejora de rendimiento con nuevas vistas </t>
      </text>
    </comment>
    <comment ref="FK11" authorId="241" shapeId="0" xr:uid="{00000000-0006-0000-0200-000002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Tareas planificadas:
EHCOSPROD-51780: Devolución evolutivo de cuestionarios
Se resolverá bloqueo con Javier P.
Avance:
EHCOSPROD-45726: Creación de scripts, finalizada y subida a SVN
EHCOSPROD-51780: Devolución evolutivo de cuestionarios -&gt; con bloqueo</t>
      </text>
    </comment>
    <comment ref="FN11" authorId="242" shapeId="0" xr:uid="{00000000-0006-0000-0200-000003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Jose Mellado
2.5.3.0: [EHCOSPROD-47886]: estabilización del desarrollo (EHCOSPROD-52462, cambiar estado Jira) y merge al trunk [subida al trunk: 07/09/2021]
2.5.3.0: [51859 -&gt; desarrollo 48021] Asignar cuestionario en plan de contacto: desarrollo junto a Emilio. Parte de configuración de la acción al incluirla en el plan [subida al trunk:15/09/2021]</t>
      </text>
    </comment>
    <comment ref="FO11" authorId="243" shapeId="0" xr:uid="{00000000-0006-0000-0200-000004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Jose Mellado
2.5.3.0: [51859 -&gt; desarrollo 48021] Asignar cuestionario en plan de contacto: desarrollo junto a Emilio. Formulario de configuración de la acción al incluirla en el plan [subida al trunk:15/09/2021]</t>
      </text>
    </comment>
    <comment ref="FP11" authorId="244" shapeId="0" xr:uid="{00000000-0006-0000-0200-000005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Jose Mellado
2.5.3.0: [51859 -&gt; desarrollo 48021] Asignar cuestionario en plan de contacto: desarrollo junto a Emilio y Javier. Formulario de configuración de la acción al incluirla en el plan. Commit en la rama [subida al trunk:15/09/2021]</t>
      </text>
    </comment>
    <comment ref="FQ11" authorId="245" shapeId="0" xr:uid="{00000000-0006-0000-0200-000006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Jose Mellado
2.5.3.0: [51859 -&gt; desarrollo 48021] Asignar cuestionario en plan de contacto: desarrollo junto a Emilio y Javier. Formulario de configuración de la acción al incluirla en el plan. Commit en la rama [subida al trunk:15/09/2021]</t>
      </text>
    </comment>
    <comment ref="FR11" authorId="246" shapeId="0" xr:uid="{00000000-0006-0000-0200-000007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2.5.3.0: [51859 -&gt; desarrollo 48021] Asignar cuestionario en plan de contacto. Traducciones para labels pendiente realizar. Completar en el formulario para que aparezca el nombre del profesional configurado en el cfg 'ehrs.patjourney_form_fictitious user.value'. Documentación y pruebas. Commit en la rama [subida al trunk:15/09/2021]</t>
      </text>
    </comment>
    <comment ref="FU11" authorId="247" shapeId="0" xr:uid="{00000000-0006-0000-0200-000008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v2.5.3.0: [51859] [Desarrollo] Asignar cuestionario en plan de contacto [fin:15/09/2021] &gt; completar ajustes y revisar
&gt; Revisar en WIKI la metodologia de scirpts al menos falta:
- traducciones test
- label opcionales en test
&gt; revisar scripts de [EHCOSPROD-48021] Planes de contacto: incluir acciones (asignar cuestionario)
&gt; revisar scripts de [EHCOSPROD-45726] Incluir el perfil 360 vista paciente para el profesional:
Siguiente: 
- v2.5.3.0: [45726] Incluir el perfil 360 vista paciente para el profesional [fin:02/09/2021] &gt; Falta DT y DL
- v2.5.3.0: [52462] Incidencias cuestionario-escala [fin:03/09/2021]
Backlog:
- v2.5.X.0: [50448] Integración con Binah.ai &gt; en espera de SDK
- v2.5.X.0: [51488] Mejora de rendimiento con nuevas vistas
Reply:
    Avance:
-----------------------------------
- v2.5.3.0: [51859] [Desarrollo] Asignar cuestionario en plan de contacto [fin:15/09/2021]
&gt; avanzado con el label del usuario ficticio, el combo de perfiles y scripts de traducciones</t>
      </text>
    </comment>
    <comment ref="FV11" authorId="248" shapeId="0" xr:uid="{00000000-0006-0000-0200-000009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v2.5.3.0: [51859] [Desarrollo] Asignar cuestionario en plan de contacto [fin:15/09/2021] &gt; completar ajustes y revisar
&gt; Revisar en WIKI la metodologia de scirpts al menos falta:
- traducciones test
- label opcionales en test
&gt; revisar scripts de [EHCOSPROD-48021] Planes de contacto: incluir acciones (asignar cuestionario)
&gt; revisar scripts de [EHCOSPROD-45726] Incluir el perfil 360 vista paciente para el profesional:
Siguiente: 
- v2.5.3.0: [45726] Incluir el perfil 360 vista paciente para el profesional [fin:02/09/2021] &gt; Falta DT y DL
- v2.5.3.0: [52462] Incidencias cuestionario-escala [fin:03/09/2021]
Backlog:
- v2.5.X.0: [50448] Integración con Binah.ai &gt; en espera de SDK
- v2.5.X.0: [51488] Mejora de rendimiento con nuevas vistas
Reply:
    Avance:
-----------------------------------
- v2.5.3.0: [51859] [Desarrollo] Asignar cuestionario en plan de contacto [fin:15/09/2021] &gt; completar ajustes y revisar &gt; completados ajustes</t>
      </text>
    </comment>
    <comment ref="FW11" authorId="249" shapeId="0" xr:uid="{00000000-0006-0000-0200-00000A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v2.5.3.0: [51859] [Desarrollo] Asignar cuestionario en plan de contacto [fin:15/09/2021] &gt; completar DT/DL
&gt; Revisar en WIKI la metodologia de scirpts al menos falta:
- traducciones test
- label opcionales en test
&gt; revisar scripts de [EHCOSPROD-48021] Planes de contacto: incluir acciones (asignar cuestionario)
&gt; revisar scripts de [EHCOSPROD-45726] Incluir el perfil 360 vista paciente para el profesional:
Siguiente: 
- v2.5.3.0: [52620] Nombre volante de citas &gt; revisar con grecia la etiqueta
- v2.5.3.0: [52462] Incidencias cuestionario-escala [fin:03/09/2021]
- v2.5.3.0: [45726] Incluir el perfil 360 vista paciente para el profesional [fin:02/09/2021] &gt; Falta DT y DL
Backlog:
- v2.5.X.0: [50448] Integración con Binah.ai &gt; en espera de SDK
- v2.5.X.0: [51488] Mejora de rendimiento con nuevas vistas 
Reply:
    Avance:
-----------------------------------
- v2.5.3.0: [51859] [Desarrollo] Asignar cuestionario en plan de contacto [fin:15/09/2021] &gt; completar DT/DL
&gt; realizado
&gt; Revisados scripts
- v2.5.3.0: [52620] Nombre volante de citas &gt; revisar con grecia la etiqueta
&gt; realizado</t>
      </text>
    </comment>
    <comment ref="FX11" authorId="250" shapeId="0" xr:uid="{00000000-0006-0000-0200-00000B01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## Jose Mellado Hinojosa [~jmelladh]
Tareas planificadas:
- v2.5.3.0: [52462] Incidencias cuestionario-escala [fin:03/09/2021]
Siguiente: 
- v2.5.3.0: [45726] Incluir el perfil 360 vista paciente para el profesional [fin:02/09/2021] &gt; Falta DT y DL
Backlog:
- v2.5.4.0: [50448] Integración con Binah.ai
- v2.5.X.0: [51488] Mejora de rendimiento con nuevas vistas 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Roberto Galvan Mena</author>
    <author>Marcela Alejandra Alvarado Jara</author>
    <author>tc={A5C12395-4F9E-4237-A644-7968CF7A74F3}</author>
    <author>Mario Orlando Valladares Ferreira</author>
    <author>tc={5A3D544D-A7B6-4729-B33B-90E2A53AC007}</author>
    <author>tc={070E3D54-1D9C-48C6-8F27-16D3DF60D319}</author>
    <author>tc={CCA1BEDD-DF94-4123-B5CA-E3CB40F0DCA2}</author>
  </authors>
  <commentList>
    <comment ref="Y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Festivo en Valencia</t>
        </r>
      </text>
    </comment>
    <comment ref="Z8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Festivo en Temuco, Valencia y Lisboa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8" authorId="0" shapeId="0" xr:uid="{00000000-0006-0000-0300-000003000000}">
      <text>
        <r>
          <rPr>
            <sz val="11"/>
            <color rgb="FF000000"/>
            <rFont val="Calibri"/>
            <family val="2"/>
          </rPr>
          <t xml:space="preserve">Festivo en Valencia 
</t>
        </r>
      </text>
    </comment>
    <comment ref="AJ8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Festivo en Valencia y  Lisboa</t>
        </r>
      </text>
    </comment>
    <comment ref="AQ8" authorId="2" shapeId="0" xr:uid="{00000000-0006-0000-03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Festivo ZGZ</t>
      </text>
    </comment>
    <comment ref="CO8" authorId="1" shapeId="0" xr:uid="{00000000-0006-0000-0300-000006000000}">
      <text>
        <r>
          <rPr>
            <sz val="11"/>
            <color rgb="FF000000"/>
            <rFont val="Calibri"/>
            <family val="2"/>
          </rPr>
          <t>Festivo en Temuco
Pero el equipo de
Clinic trabajara
este dia y tendra
libre el viernes 24</t>
        </r>
      </text>
    </comment>
    <comment ref="CR8" authorId="0" shapeId="0" xr:uid="{00000000-0006-0000-0300-000007000000}">
      <text>
        <r>
          <rPr>
            <sz val="11"/>
            <color rgb="FF000000"/>
            <rFont val="Calibri"/>
            <family val="2"/>
          </rPr>
          <t xml:space="preserve">Festivo en Valencia
Clinic tambien tendra libre
</t>
        </r>
      </text>
    </comment>
    <comment ref="CU8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Festivo en Temuco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R8" authorId="1" shapeId="0" xr:uid="{00000000-0006-0000-0300-000009000000}">
      <text>
        <r>
          <rPr>
            <b/>
            <sz val="9"/>
            <color indexed="81"/>
            <rFont val="Tahoma"/>
            <family val="2"/>
          </rPr>
          <t>Festivo en Temuco y Valencia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X8" authorId="3" shapeId="0" xr:uid="{E1716FF9-4293-4D43-8080-93C70A955680}">
      <text>
        <r>
          <rPr>
            <sz val="11"/>
            <color rgb="FF000000"/>
            <rFont val="Calibri"/>
            <family val="2"/>
          </rPr>
          <t>Mario Orlando Valladares Ferreira:
Festivo Temuco</t>
        </r>
      </text>
    </comment>
    <comment ref="GA8" authorId="1" shapeId="0" xr:uid="{00000000-0006-0000-0300-00000A000000}">
      <text>
        <r>
          <rPr>
            <b/>
            <sz val="9"/>
            <color indexed="81"/>
            <rFont val="Tahoma"/>
            <family val="2"/>
          </rPr>
          <t>Festivo en Temuco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V8" authorId="1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Festivo en Temuco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X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Festivo en valencia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Q8" authorId="1" shapeId="0" xr:uid="{00000000-0006-0000-0300-00000D000000}">
      <text>
        <r>
          <rPr>
            <b/>
            <sz val="9"/>
            <color indexed="81"/>
            <rFont val="Tahoma"/>
            <family val="2"/>
          </rPr>
          <t>Festivo en Temuco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R8" authorId="1" shapeId="0" xr:uid="{00000000-0006-0000-0300-00000E000000}">
      <text>
        <r>
          <rPr>
            <b/>
            <sz val="9"/>
            <color indexed="81"/>
            <rFont val="Tahoma"/>
            <family val="2"/>
          </rPr>
          <t>Festivo en Temuco</t>
        </r>
        <r>
          <rPr>
            <sz val="9"/>
            <color indexed="81"/>
            <rFont val="Tahoma"/>
            <family val="2"/>
          </rPr>
          <t xml:space="preserve"> y españa</t>
        </r>
      </text>
    </comment>
    <comment ref="JA8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 xml:space="preserve">Festivo en España
</t>
        </r>
      </text>
    </comment>
    <comment ref="JC8" authorId="1" shapeId="0" xr:uid="{00000000-0006-0000-0300-000010000000}">
      <text>
        <r>
          <rPr>
            <b/>
            <sz val="9"/>
            <color indexed="81"/>
            <rFont val="Tahoma"/>
            <family val="2"/>
          </rPr>
          <t>Festivo en Temuco y España</t>
        </r>
      </text>
    </comment>
    <comment ref="KB8" authorId="1" shapeId="0" xr:uid="{0CCBEBDD-71D4-40F1-B5F1-1A84FA6A8C90}">
      <text>
        <r>
          <rPr>
            <sz val="11"/>
            <color rgb="FF000000"/>
            <rFont val="Calibri"/>
            <family val="2"/>
          </rPr>
          <t xml:space="preserve">Festivo en Temuco
</t>
        </r>
      </text>
    </comment>
    <comment ref="E9" authorId="0" shapeId="0" xr:uid="{00000000-0006-0000-0300-000011000000}">
      <text>
        <r>
          <rPr>
            <b/>
            <sz val="8"/>
            <color indexed="81"/>
            <rFont val="Tahoma"/>
            <family val="2"/>
          </rPr>
          <t>Pendiente ajustar con el resultado del año 2020, por si alguien ya consumió dias del 2021 en los primeros meses</t>
        </r>
      </text>
    </comment>
    <comment ref="AQ19" authorId="4" shapeId="0" xr:uid="{00000000-0006-0000-03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Festivo en ZGZ, pero se trabajo para cambiarlo en un futuro dia de vacaciones</t>
      </text>
    </comment>
    <comment ref="BE26" authorId="5" shapeId="0" xr:uid="{00000000-0006-0000-03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Ausencia dolor de muelas</t>
      </text>
    </comment>
    <comment ref="BE27" authorId="6" shapeId="0" xr:uid="{00000000-0006-0000-03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Mudanza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tc={DD3A1804-A8D7-4D9D-A6E7-CAB760B379E5}</author>
    <author>tc={34D99E9F-D279-4076-B063-0E2A6D7667FE}</author>
    <author>Luis Roberto Galvan Mena</author>
  </authors>
  <commentList>
    <comment ref="JQ8" authorId="0" shapeId="0" xr:uid="{DD3A1804-A8D7-4D9D-A6E7-CAB760B379E5}">
      <text>
        <t>[Threaded comment]
Your version of Excel allows you to read this threaded comment; however, any edits to it will get removed if the file is opened in a newer version of Excel. Learn more: https://go.microsoft.com/fwlink/?linkid=870924
Comment:
    En Temuco se trabaja medio día</t>
      </text>
    </comment>
    <comment ref="JX8" authorId="1" shapeId="0" xr:uid="{34D99E9F-D279-4076-B063-0E2A6D7667FE}">
      <text>
        <t>[Threaded comment]
Your version of Excel allows you to read this threaded comment; however, any edits to it will get removed if the file is opened in a newer version of Excel. Learn more: https://go.microsoft.com/fwlink/?linkid=870924
Comment:
    En Temuco se trabaja medio día</t>
      </text>
    </comment>
    <comment ref="E9" authorId="2" shapeId="0" xr:uid="{B2F75841-9C62-40EA-A910-DC95908CA7BD}">
      <text>
        <r>
          <rPr>
            <b/>
            <sz val="8"/>
            <color indexed="81"/>
            <rFont val="Tahoma"/>
            <family val="2"/>
          </rPr>
          <t>Pendiente ajustar con el resultado del año 2020, por si alguien ya consumió dias del 2021 en los primeros meses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tc={36805068-0784-407F-B698-99768EEDBFBA}</author>
    <author>tc={2297FE7A-871F-43B4-90B9-798568EA6F2B}</author>
    <author>Luis Roberto Galvan Mena</author>
  </authors>
  <commentList>
    <comment ref="JQ8" authorId="0" shapeId="0" xr:uid="{36805068-0784-407F-B698-99768EEDBFBA}">
      <text>
        <t>[Threaded comment]
Your version of Excel allows you to read this threaded comment; however, any edits to it will get removed if the file is opened in a newer version of Excel. Learn more: https://go.microsoft.com/fwlink/?linkid=870924
Comment:
    En Temuco se trabaja medio día</t>
      </text>
    </comment>
    <comment ref="JX8" authorId="1" shapeId="0" xr:uid="{2297FE7A-871F-43B4-90B9-798568EA6F2B}">
      <text>
        <t>[Threaded comment]
Your version of Excel allows you to read this threaded comment; however, any edits to it will get removed if the file is opened in a newer version of Excel. Learn more: https://go.microsoft.com/fwlink/?linkid=870924
Comment:
    En Temuco se trabaja medio día</t>
      </text>
    </comment>
    <comment ref="E9" authorId="2" shapeId="0" xr:uid="{49C05A6C-2CDB-4BE5-AF42-28B3C0F70F95}">
      <text>
        <r>
          <rPr>
            <b/>
            <sz val="8"/>
            <color indexed="81"/>
            <rFont val="Tahoma"/>
            <family val="2"/>
          </rPr>
          <t>Pendiente ajustar con el resultado del año 2020, por si alguien ya consumió dias del 2021 en los primeros meses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Roberto Galvan Mena</author>
  </authors>
  <commentList>
    <comment ref="E9" authorId="0" shapeId="0" xr:uid="{91C64B81-43F7-4D52-9029-B30164894CA2}">
      <text>
        <r>
          <rPr>
            <b/>
            <sz val="8"/>
            <color indexed="81"/>
            <rFont val="Tahoma"/>
            <family val="2"/>
          </rPr>
          <t>Pendiente ajustar con el resultado del año 2020, por si alguien ya consumió dias del 2021 en los primeros meses</t>
        </r>
      </text>
    </comment>
  </commentList>
</comments>
</file>

<file path=xl/sharedStrings.xml><?xml version="1.0" encoding="utf-8"?>
<sst xmlns="http://schemas.openxmlformats.org/spreadsheetml/2006/main" count="3595" uniqueCount="125">
  <si>
    <t xml:space="preserve">Vacaciones </t>
  </si>
  <si>
    <t>V</t>
  </si>
  <si>
    <t>Libre disposición</t>
  </si>
  <si>
    <t>LD</t>
  </si>
  <si>
    <t>Otros</t>
  </si>
  <si>
    <t>O</t>
  </si>
  <si>
    <t>Baja</t>
  </si>
  <si>
    <t>B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</si>
  <si>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</si>
  <si>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</si>
  <si>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</si>
  <si>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</si>
  <si>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</si>
  <si>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</si>
  <si>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</si>
  <si>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</si>
  <si>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</si>
  <si>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</si>
  <si>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</si>
  <si>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</si>
  <si>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Persona</t>
  </si>
  <si>
    <t>Localización</t>
  </si>
  <si>
    <t>Equipo</t>
  </si>
  <si>
    <t>Dias FY19</t>
  </si>
  <si>
    <t>Dias FY20</t>
  </si>
  <si>
    <t>LD y otros</t>
  </si>
  <si>
    <t>Dias restantes</t>
  </si>
  <si>
    <t>LD restantes</t>
  </si>
  <si>
    <t>Bajas</t>
  </si>
  <si>
    <t>Marcela</t>
  </si>
  <si>
    <t>Temuco</t>
  </si>
  <si>
    <t>Clinic</t>
  </si>
  <si>
    <t>Nicolás</t>
  </si>
  <si>
    <t>Ricardo Villagran</t>
  </si>
  <si>
    <t>Gino</t>
  </si>
  <si>
    <t>Victor</t>
  </si>
  <si>
    <t>Valencia</t>
  </si>
  <si>
    <t>Ricardo Acuña</t>
  </si>
  <si>
    <t>Gestión configuración</t>
  </si>
  <si>
    <t>Gerardo</t>
  </si>
  <si>
    <t>Rodrigo Moncada</t>
  </si>
  <si>
    <t>Javier Hope</t>
  </si>
  <si>
    <t>Luis</t>
  </si>
  <si>
    <t>Gestión</t>
  </si>
  <si>
    <t>Sandra</t>
  </si>
  <si>
    <t>Sara</t>
  </si>
  <si>
    <t>Clinic / UCI</t>
  </si>
  <si>
    <t>Marcos</t>
  </si>
  <si>
    <t>Zaragoza</t>
  </si>
  <si>
    <t>Remote</t>
  </si>
  <si>
    <t>Jordi Almendros</t>
  </si>
  <si>
    <t>Javier Hurtado</t>
  </si>
  <si>
    <t>Hernán</t>
  </si>
  <si>
    <t>Patricio Fitz</t>
  </si>
  <si>
    <t>Osvaldo Leiva</t>
  </si>
  <si>
    <t>Emilio Artigas</t>
  </si>
  <si>
    <t>Alfonso Sandoval</t>
  </si>
  <si>
    <t>Emilio Boscá</t>
  </si>
  <si>
    <t>UCI</t>
  </si>
  <si>
    <t>Mario</t>
  </si>
  <si>
    <t>UCI / Remote</t>
  </si>
  <si>
    <t>Germán</t>
  </si>
  <si>
    <t>Christian Rojas</t>
  </si>
  <si>
    <t>Javier Paredes</t>
  </si>
  <si>
    <t>Victor Soto</t>
  </si>
  <si>
    <t>c</t>
  </si>
  <si>
    <t>Patricio Friz</t>
  </si>
  <si>
    <t>Francisco Riquelme</t>
  </si>
  <si>
    <t>Pablo Escobar</t>
  </si>
  <si>
    <t>Joselyn Valle</t>
  </si>
  <si>
    <t>QA</t>
  </si>
  <si>
    <t>Dias FY21</t>
  </si>
  <si>
    <t xml:space="preserve"> </t>
  </si>
  <si>
    <t>Jose Mellado Hinojosa</t>
  </si>
  <si>
    <t>Emanuel Inostroza Uribe</t>
  </si>
  <si>
    <t>Carlos Bernardo</t>
  </si>
  <si>
    <t>Lisboa</t>
  </si>
  <si>
    <t>Pedro Almeida</t>
  </si>
  <si>
    <t>Juan Barra</t>
  </si>
  <si>
    <t>Ángel Anda</t>
  </si>
  <si>
    <t>Luis García</t>
  </si>
  <si>
    <t>Leslie Aguayo Duran</t>
  </si>
  <si>
    <t>Ezequiel Garces Fernandez</t>
  </si>
  <si>
    <t>Francisco Atenas</t>
  </si>
  <si>
    <t>Carlos Diaz Olivera</t>
  </si>
  <si>
    <t>Festivo</t>
  </si>
  <si>
    <t>Arquitectura</t>
  </si>
  <si>
    <t>Diego Riquelme</t>
  </si>
  <si>
    <t>Leyla Saavedra</t>
  </si>
  <si>
    <t>Victor Fernandez</t>
  </si>
  <si>
    <t>Eduardo silva</t>
  </si>
  <si>
    <t>Luis Galván</t>
  </si>
  <si>
    <t>Victor Monzo Lopez</t>
  </si>
  <si>
    <t>Rodrigo Molina Candia</t>
  </si>
  <si>
    <t>Soporte</t>
  </si>
  <si>
    <t>Cristian Quiroz</t>
  </si>
  <si>
    <t>Triaje</t>
  </si>
  <si>
    <t>Cristobal Astudillo</t>
  </si>
  <si>
    <t>Remote QA</t>
  </si>
  <si>
    <t>Carlos Zárate</t>
  </si>
  <si>
    <t>Luis Uribe</t>
  </si>
  <si>
    <t>Luis Martines</t>
  </si>
  <si>
    <t>Manuel Chavez</t>
  </si>
  <si>
    <t>Jehiel Muñoz</t>
  </si>
  <si>
    <t>John Ortiz</t>
  </si>
  <si>
    <t>Angela Lemonao</t>
  </si>
  <si>
    <t>Clinic QA</t>
  </si>
  <si>
    <t>Andrés Ulloa</t>
  </si>
  <si>
    <t>Jimmy Cuevas</t>
  </si>
  <si>
    <t>Dias FY23</t>
  </si>
  <si>
    <t>Dias FY24</t>
  </si>
  <si>
    <t>Fabian Leonard</t>
  </si>
  <si>
    <t>Edgardo Fuentealba</t>
  </si>
  <si>
    <t>Estefani Pinto</t>
  </si>
  <si>
    <t>Victoria Martinez Paredez</t>
  </si>
  <si>
    <t>Isaac Barrera Vidal</t>
  </si>
  <si>
    <t>Javier Escobar</t>
  </si>
  <si>
    <t>David Izquierdo Escuer</t>
  </si>
  <si>
    <t>España</t>
  </si>
  <si>
    <t>Juan Mateo Decurgez</t>
  </si>
  <si>
    <t>Fernando Belsue Fernandez</t>
  </si>
  <si>
    <t>Dias FY25</t>
  </si>
  <si>
    <t>EHR</t>
  </si>
  <si>
    <t>VC QA</t>
  </si>
  <si>
    <t>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</si>
</sst>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;@"/>
  </numFmts>
  <fonts count="18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FFFFFF"/>
      <name val="Calibri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u/>
      <sz val="8"/>
      <color indexed="81"/>
      <name val="Tahoma"/>
      <family val="2"/>
    </font>
    <font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theme="0" tint="-0.249977111117893"/>
      <name val="Calibri"/>
      <family val="2"/>
    </font>
    <font>
      <sz val="12"/>
      <color rgb="FF00000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92D050"/>
        <bgColor rgb="FF92D050"/>
      </patternFill>
    </fill>
    <fill>
      <patternFill patternType="solid">
        <fgColor rgb="FFED7D31"/>
        <bgColor rgb="FFED7D31"/>
      </patternFill>
    </fill>
    <fill>
      <patternFill patternType="solid">
        <fgColor rgb="FFACB9CA"/>
        <bgColor rgb="FFACB9CA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rgb="FFD9D9D9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D9D9D9"/>
      </patternFill>
    </fill>
    <fill>
      <patternFill patternType="solid">
        <fgColor theme="1"/>
        <bgColor rgb="FF92D050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92D050"/>
      </patternFill>
    </fill>
    <fill>
      <patternFill patternType="solid">
        <fgColor theme="1"/>
        <bgColor rgb="FFED7D31"/>
      </patternFill>
    </fill>
  </fills>
  <borders count="1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1" fillId="0" borderId="0" applyNumberFormat="0" applyFont="0" applyBorder="0" applyProtection="0"/>
  </cellStyleXfs>
  <cellXfs count="370">
    <xf numFmtId="0" fontId="0" fillId="0" borderId="0" xfId="0"/>
    <xf numFmtId="0" fontId="1" fillId="0" borderId="0" xfId="3" applyFont="1"/>
    <xf numFmtId="0" fontId="3" fillId="0" borderId="0" xfId="3" applyFont="1"/>
    <xf numFmtId="164" fontId="1" fillId="0" borderId="0" xfId="3" applyNumberFormat="1" applyFont="1"/>
    <xf numFmtId="0" fontId="5" fillId="6" borderId="2" xfId="3" applyFont="1" applyFill="1" applyBorder="1"/>
    <xf numFmtId="1" fontId="4" fillId="0" borderId="1" xfId="3" applyNumberFormat="1" applyFont="1" applyBorder="1" applyAlignment="1">
      <alignment horizontal="center"/>
    </xf>
    <xf numFmtId="1" fontId="4" fillId="0" borderId="3" xfId="3" applyNumberFormat="1" applyFont="1" applyBorder="1" applyAlignment="1">
      <alignment horizontal="center"/>
    </xf>
    <xf numFmtId="0" fontId="1" fillId="7" borderId="9" xfId="3" applyFont="1" applyFill="1" applyBorder="1" applyAlignment="1">
      <alignment horizontal="center" vertical="center"/>
    </xf>
    <xf numFmtId="0" fontId="1" fillId="0" borderId="9" xfId="3" applyFont="1" applyBorder="1" applyAlignment="1">
      <alignment horizontal="center" vertical="center"/>
    </xf>
    <xf numFmtId="0" fontId="5" fillId="5" borderId="9" xfId="3" applyFont="1" applyFill="1" applyBorder="1" applyAlignment="1">
      <alignment horizontal="center" vertical="center"/>
    </xf>
    <xf numFmtId="0" fontId="0" fillId="7" borderId="9" xfId="3" applyFont="1" applyFill="1" applyBorder="1" applyAlignment="1">
      <alignment horizontal="center" vertical="center"/>
    </xf>
    <xf numFmtId="0" fontId="0" fillId="0" borderId="9" xfId="3" applyFont="1" applyBorder="1" applyAlignment="1">
      <alignment horizontal="center" vertical="center"/>
    </xf>
    <xf numFmtId="0" fontId="4" fillId="0" borderId="9" xfId="3" applyFont="1" applyBorder="1" applyAlignment="1">
      <alignment horizontal="right"/>
    </xf>
    <xf numFmtId="0" fontId="4" fillId="0" borderId="13" xfId="3" applyFont="1" applyBorder="1" applyAlignment="1">
      <alignment horizontal="right"/>
    </xf>
    <xf numFmtId="0" fontId="4" fillId="0" borderId="14" xfId="3" applyFont="1" applyBorder="1" applyAlignment="1">
      <alignment horizontal="right"/>
    </xf>
    <xf numFmtId="0" fontId="4" fillId="3" borderId="15" xfId="3" applyFont="1" applyFill="1" applyBorder="1" applyAlignment="1">
      <alignment horizontal="center" vertical="center"/>
    </xf>
    <xf numFmtId="0" fontId="4" fillId="0" borderId="16" xfId="3" applyFont="1" applyBorder="1" applyAlignment="1">
      <alignment horizontal="right"/>
    </xf>
    <xf numFmtId="0" fontId="4" fillId="3" borderId="17" xfId="3" applyFont="1" applyFill="1" applyBorder="1" applyAlignment="1">
      <alignment horizontal="center" vertical="center"/>
    </xf>
    <xf numFmtId="0" fontId="4" fillId="9" borderId="17" xfId="3" applyFont="1" applyFill="1" applyBorder="1" applyAlignment="1">
      <alignment horizontal="center" vertical="center"/>
    </xf>
    <xf numFmtId="0" fontId="4" fillId="0" borderId="18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4" fillId="4" borderId="20" xfId="3" applyFont="1" applyFill="1" applyBorder="1" applyAlignment="1">
      <alignment horizontal="center" vertical="center"/>
    </xf>
    <xf numFmtId="0" fontId="4" fillId="0" borderId="21" xfId="3" applyFont="1" applyBorder="1" applyAlignment="1">
      <alignment horizontal="right"/>
    </xf>
    <xf numFmtId="0" fontId="4" fillId="0" borderId="12" xfId="3" applyFont="1" applyBorder="1" applyAlignment="1">
      <alignment horizontal="right"/>
    </xf>
    <xf numFmtId="0" fontId="4" fillId="0" borderId="22" xfId="3" applyFont="1" applyBorder="1" applyAlignment="1">
      <alignment horizontal="right"/>
    </xf>
    <xf numFmtId="0" fontId="1" fillId="10" borderId="9" xfId="3" applyFont="1" applyFill="1" applyBorder="1" applyAlignment="1">
      <alignment horizontal="center" vertical="center"/>
    </xf>
    <xf numFmtId="0" fontId="1" fillId="11" borderId="9" xfId="3" applyFont="1" applyFill="1" applyBorder="1" applyAlignment="1">
      <alignment horizontal="center" vertical="center"/>
    </xf>
    <xf numFmtId="0" fontId="1" fillId="0" borderId="23" xfId="3" applyFont="1" applyBorder="1" applyAlignment="1">
      <alignment horizontal="center" vertical="center"/>
    </xf>
    <xf numFmtId="0" fontId="1" fillId="0" borderId="12" xfId="3" applyFont="1" applyBorder="1" applyAlignment="1">
      <alignment horizontal="center" vertical="center"/>
    </xf>
    <xf numFmtId="0" fontId="4" fillId="0" borderId="9" xfId="3" applyFont="1" applyBorder="1"/>
    <xf numFmtId="0" fontId="4" fillId="0" borderId="12" xfId="3" applyFont="1" applyBorder="1"/>
    <xf numFmtId="0" fontId="5" fillId="5" borderId="9" xfId="3" applyFont="1" applyFill="1" applyBorder="1"/>
    <xf numFmtId="0" fontId="1" fillId="12" borderId="9" xfId="3" applyFont="1" applyFill="1" applyBorder="1" applyAlignment="1">
      <alignment horizontal="center" vertical="center"/>
    </xf>
    <xf numFmtId="0" fontId="0" fillId="12" borderId="9" xfId="3" applyFont="1" applyFill="1" applyBorder="1" applyAlignment="1">
      <alignment horizontal="center" vertical="center"/>
    </xf>
    <xf numFmtId="0" fontId="1" fillId="13" borderId="9" xfId="3" applyFont="1" applyFill="1" applyBorder="1" applyAlignment="1">
      <alignment horizontal="center" vertical="center"/>
    </xf>
    <xf numFmtId="0" fontId="4" fillId="14" borderId="15" xfId="3" applyFont="1" applyFill="1" applyBorder="1" applyAlignment="1">
      <alignment horizontal="center" vertical="center"/>
    </xf>
    <xf numFmtId="0" fontId="1" fillId="15" borderId="9" xfId="3" applyFont="1" applyFill="1" applyBorder="1" applyAlignment="1">
      <alignment horizontal="center" vertical="center"/>
    </xf>
    <xf numFmtId="0" fontId="4" fillId="9" borderId="9" xfId="3" applyFont="1" applyFill="1" applyBorder="1"/>
    <xf numFmtId="0" fontId="12" fillId="0" borderId="23" xfId="3" applyFont="1" applyBorder="1" applyAlignment="1">
      <alignment horizontal="center" vertical="center"/>
    </xf>
    <xf numFmtId="0" fontId="0" fillId="0" borderId="0" xfId="3" applyFont="1"/>
    <xf numFmtId="0" fontId="0" fillId="11" borderId="9" xfId="3" applyFont="1" applyFill="1" applyBorder="1" applyAlignment="1">
      <alignment horizontal="center" vertical="center"/>
    </xf>
    <xf numFmtId="0" fontId="0" fillId="0" borderId="12" xfId="3" applyFont="1" applyBorder="1" applyAlignment="1">
      <alignment horizontal="center" vertical="center"/>
    </xf>
    <xf numFmtId="0" fontId="0" fillId="13" borderId="9" xfId="3" applyFont="1" applyFill="1" applyBorder="1" applyAlignment="1">
      <alignment horizontal="center" vertical="center"/>
    </xf>
    <xf numFmtId="0" fontId="0" fillId="0" borderId="23" xfId="3" applyFont="1" applyBorder="1" applyAlignment="1">
      <alignment horizontal="center" vertical="center"/>
    </xf>
    <xf numFmtId="0" fontId="0" fillId="11" borderId="23" xfId="3" applyFont="1" applyFill="1" applyBorder="1" applyAlignment="1">
      <alignment horizontal="center" vertical="center"/>
    </xf>
    <xf numFmtId="0" fontId="0" fillId="16" borderId="9" xfId="3" applyFont="1" applyFill="1" applyBorder="1" applyAlignment="1">
      <alignment horizontal="center" vertical="center"/>
    </xf>
    <xf numFmtId="0" fontId="0" fillId="16" borderId="23" xfId="3" applyFont="1" applyFill="1" applyBorder="1" applyAlignment="1">
      <alignment horizontal="center" vertical="center"/>
    </xf>
    <xf numFmtId="0" fontId="4" fillId="9" borderId="24" xfId="3" applyFont="1" applyFill="1" applyBorder="1" applyAlignment="1">
      <alignment horizontal="center" vertical="center"/>
    </xf>
    <xf numFmtId="0" fontId="0" fillId="0" borderId="25" xfId="3" applyFont="1" applyBorder="1" applyAlignment="1">
      <alignment horizontal="center" vertical="center"/>
    </xf>
    <xf numFmtId="0" fontId="0" fillId="16" borderId="12" xfId="3" applyFont="1" applyFill="1" applyBorder="1" applyAlignment="1">
      <alignment horizontal="center" vertical="center"/>
    </xf>
    <xf numFmtId="0" fontId="12" fillId="16" borderId="23" xfId="3" applyFont="1" applyFill="1" applyBorder="1" applyAlignment="1">
      <alignment horizontal="center" vertical="center"/>
    </xf>
    <xf numFmtId="0" fontId="3" fillId="16" borderId="0" xfId="3" applyFont="1" applyFill="1"/>
    <xf numFmtId="0" fontId="1" fillId="17" borderId="9" xfId="3" applyFont="1" applyFill="1" applyBorder="1" applyAlignment="1">
      <alignment horizontal="center" vertical="center"/>
    </xf>
    <xf numFmtId="0" fontId="1" fillId="16" borderId="9" xfId="3" applyFont="1" applyFill="1" applyBorder="1" applyAlignment="1">
      <alignment horizontal="center" vertical="center"/>
    </xf>
    <xf numFmtId="0" fontId="4" fillId="16" borderId="15" xfId="3" applyFont="1" applyFill="1" applyBorder="1" applyAlignment="1">
      <alignment horizontal="center" vertical="center"/>
    </xf>
    <xf numFmtId="0" fontId="1" fillId="7" borderId="12" xfId="3" applyFont="1" applyFill="1" applyBorder="1" applyAlignment="1">
      <alignment horizontal="center" vertical="center"/>
    </xf>
    <xf numFmtId="0" fontId="1" fillId="11" borderId="26" xfId="3" applyFont="1" applyFill="1" applyBorder="1" applyAlignment="1">
      <alignment horizontal="center" vertical="center"/>
    </xf>
    <xf numFmtId="0" fontId="1" fillId="11" borderId="27" xfId="3" applyFont="1" applyFill="1" applyBorder="1" applyAlignment="1">
      <alignment horizontal="center" vertical="center"/>
    </xf>
    <xf numFmtId="0" fontId="1" fillId="0" borderId="24" xfId="3" applyFont="1" applyBorder="1" applyAlignment="1">
      <alignment horizontal="center" vertical="center"/>
    </xf>
    <xf numFmtId="0" fontId="0" fillId="16" borderId="27" xfId="3" applyFont="1" applyFill="1" applyBorder="1" applyAlignment="1">
      <alignment horizontal="center" vertical="center"/>
    </xf>
    <xf numFmtId="0" fontId="1" fillId="11" borderId="12" xfId="3" applyFont="1" applyFill="1" applyBorder="1" applyAlignment="1">
      <alignment horizontal="center" vertical="center"/>
    </xf>
    <xf numFmtId="0" fontId="1" fillId="0" borderId="27" xfId="3" applyFont="1" applyBorder="1" applyAlignment="1">
      <alignment horizontal="center" vertical="center"/>
    </xf>
    <xf numFmtId="0" fontId="4" fillId="9" borderId="15" xfId="3" applyFont="1" applyFill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0" fontId="1" fillId="16" borderId="26" xfId="3" applyFont="1" applyFill="1" applyBorder="1" applyAlignment="1">
      <alignment horizontal="center" vertical="center"/>
    </xf>
    <xf numFmtId="0" fontId="4" fillId="0" borderId="28" xfId="3" applyFont="1" applyBorder="1" applyAlignment="1">
      <alignment horizontal="right"/>
    </xf>
    <xf numFmtId="0" fontId="4" fillId="3" borderId="28" xfId="3" applyFont="1" applyFill="1" applyBorder="1" applyAlignment="1">
      <alignment horizontal="center" vertical="center"/>
    </xf>
    <xf numFmtId="0" fontId="4" fillId="9" borderId="28" xfId="3" applyFont="1" applyFill="1" applyBorder="1" applyAlignment="1">
      <alignment horizontal="center" vertical="center"/>
    </xf>
    <xf numFmtId="0" fontId="4" fillId="4" borderId="28" xfId="3" applyFont="1" applyFill="1" applyBorder="1" applyAlignment="1">
      <alignment horizontal="center" vertical="center"/>
    </xf>
    <xf numFmtId="0" fontId="1" fillId="11" borderId="28" xfId="3" applyFont="1" applyFill="1" applyBorder="1" applyAlignment="1">
      <alignment horizontal="center" vertical="center"/>
    </xf>
    <xf numFmtId="0" fontId="5" fillId="5" borderId="24" xfId="3" applyFont="1" applyFill="1" applyBorder="1"/>
    <xf numFmtId="0" fontId="4" fillId="0" borderId="29" xfId="3" applyFont="1" applyBorder="1"/>
    <xf numFmtId="1" fontId="4" fillId="0" borderId="30" xfId="3" applyNumberFormat="1" applyFont="1" applyBorder="1" applyAlignment="1">
      <alignment horizontal="center"/>
    </xf>
    <xf numFmtId="0" fontId="5" fillId="5" borderId="24" xfId="3" applyFont="1" applyFill="1" applyBorder="1" applyAlignment="1">
      <alignment horizontal="center" vertical="center"/>
    </xf>
    <xf numFmtId="0" fontId="4" fillId="3" borderId="31" xfId="3" applyFont="1" applyFill="1" applyBorder="1" applyAlignment="1">
      <alignment horizontal="center" vertical="center"/>
    </xf>
    <xf numFmtId="1" fontId="4" fillId="0" borderId="32" xfId="3" applyNumberFormat="1" applyFont="1" applyBorder="1" applyAlignment="1">
      <alignment horizontal="center"/>
    </xf>
    <xf numFmtId="0" fontId="5" fillId="5" borderId="33" xfId="3" applyFont="1" applyFill="1" applyBorder="1" applyAlignment="1">
      <alignment horizontal="center" vertical="center"/>
    </xf>
    <xf numFmtId="0" fontId="5" fillId="5" borderId="34" xfId="3" applyFont="1" applyFill="1" applyBorder="1" applyAlignment="1">
      <alignment horizontal="center" vertical="center"/>
    </xf>
    <xf numFmtId="0" fontId="1" fillId="0" borderId="33" xfId="3" applyFont="1" applyBorder="1" applyAlignment="1">
      <alignment horizontal="center" vertical="center"/>
    </xf>
    <xf numFmtId="0" fontId="1" fillId="0" borderId="35" xfId="3" applyFont="1" applyBorder="1" applyAlignment="1">
      <alignment horizontal="center" vertical="center"/>
    </xf>
    <xf numFmtId="0" fontId="1" fillId="7" borderId="36" xfId="3" applyFont="1" applyFill="1" applyBorder="1" applyAlignment="1">
      <alignment horizontal="center" vertical="center"/>
    </xf>
    <xf numFmtId="0" fontId="1" fillId="0" borderId="36" xfId="3" applyFont="1" applyBorder="1" applyAlignment="1">
      <alignment horizontal="center" vertical="center"/>
    </xf>
    <xf numFmtId="0" fontId="1" fillId="11" borderId="36" xfId="3" applyFont="1" applyFill="1" applyBorder="1" applyAlignment="1">
      <alignment horizontal="center" vertical="center"/>
    </xf>
    <xf numFmtId="0" fontId="1" fillId="7" borderId="33" xfId="3" applyFont="1" applyFill="1" applyBorder="1" applyAlignment="1">
      <alignment horizontal="center" vertical="center"/>
    </xf>
    <xf numFmtId="0" fontId="1" fillId="0" borderId="34" xfId="3" applyFont="1" applyBorder="1" applyAlignment="1">
      <alignment horizontal="center" vertical="center"/>
    </xf>
    <xf numFmtId="0" fontId="1" fillId="7" borderId="35" xfId="3" applyFont="1" applyFill="1" applyBorder="1" applyAlignment="1">
      <alignment horizontal="center" vertical="center"/>
    </xf>
    <xf numFmtId="0" fontId="1" fillId="0" borderId="37" xfId="3" applyFont="1" applyBorder="1" applyAlignment="1">
      <alignment horizontal="center" vertical="center"/>
    </xf>
    <xf numFmtId="0" fontId="1" fillId="7" borderId="24" xfId="3" applyFont="1" applyFill="1" applyBorder="1" applyAlignment="1">
      <alignment horizontal="center" vertical="center"/>
    </xf>
    <xf numFmtId="0" fontId="1" fillId="7" borderId="38" xfId="3" applyFont="1" applyFill="1" applyBorder="1" applyAlignment="1">
      <alignment horizontal="center" vertical="center"/>
    </xf>
    <xf numFmtId="1" fontId="4" fillId="0" borderId="41" xfId="3" applyNumberFormat="1" applyFont="1" applyBorder="1" applyAlignment="1">
      <alignment horizontal="center"/>
    </xf>
    <xf numFmtId="1" fontId="4" fillId="0" borderId="42" xfId="3" applyNumberFormat="1" applyFont="1" applyBorder="1" applyAlignment="1">
      <alignment horizontal="center"/>
    </xf>
    <xf numFmtId="0" fontId="3" fillId="0" borderId="0" xfId="3" applyFont="1" applyBorder="1"/>
    <xf numFmtId="0" fontId="1" fillId="0" borderId="38" xfId="3" applyFont="1" applyBorder="1" applyAlignment="1">
      <alignment horizontal="center" vertical="center"/>
    </xf>
    <xf numFmtId="0" fontId="1" fillId="16" borderId="33" xfId="3" applyFont="1" applyFill="1" applyBorder="1" applyAlignment="1">
      <alignment horizontal="center" vertical="center"/>
    </xf>
    <xf numFmtId="0" fontId="1" fillId="16" borderId="34" xfId="3" applyFont="1" applyFill="1" applyBorder="1" applyAlignment="1">
      <alignment horizontal="center" vertical="center"/>
    </xf>
    <xf numFmtId="0" fontId="4" fillId="3" borderId="43" xfId="3" applyFont="1" applyFill="1" applyBorder="1" applyAlignment="1">
      <alignment horizontal="center" vertical="center"/>
    </xf>
    <xf numFmtId="1" fontId="4" fillId="0" borderId="44" xfId="3" applyNumberFormat="1" applyFont="1" applyBorder="1" applyAlignment="1">
      <alignment horizontal="center"/>
    </xf>
    <xf numFmtId="0" fontId="4" fillId="3" borderId="45" xfId="3" applyFont="1" applyFill="1" applyBorder="1" applyAlignment="1">
      <alignment horizontal="center" vertical="center"/>
    </xf>
    <xf numFmtId="0" fontId="0" fillId="16" borderId="33" xfId="3" applyFont="1" applyFill="1" applyBorder="1" applyAlignment="1">
      <alignment horizontal="center" vertical="center"/>
    </xf>
    <xf numFmtId="0" fontId="0" fillId="16" borderId="34" xfId="3" applyFont="1" applyFill="1" applyBorder="1" applyAlignment="1">
      <alignment horizontal="center" vertical="center"/>
    </xf>
    <xf numFmtId="0" fontId="1" fillId="16" borderId="24" xfId="3" applyFont="1" applyFill="1" applyBorder="1" applyAlignment="1">
      <alignment horizontal="center" vertical="center"/>
    </xf>
    <xf numFmtId="0" fontId="0" fillId="16" borderId="24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16" borderId="31" xfId="3" applyFont="1" applyFill="1" applyBorder="1" applyAlignment="1">
      <alignment horizontal="center" vertical="center"/>
    </xf>
    <xf numFmtId="0" fontId="1" fillId="11" borderId="33" xfId="3" applyFont="1" applyFill="1" applyBorder="1" applyAlignment="1">
      <alignment horizontal="center" vertical="center"/>
    </xf>
    <xf numFmtId="0" fontId="1" fillId="11" borderId="35" xfId="3" applyFont="1" applyFill="1" applyBorder="1" applyAlignment="1">
      <alignment horizontal="center" vertical="center"/>
    </xf>
    <xf numFmtId="0" fontId="1" fillId="11" borderId="24" xfId="3" applyFont="1" applyFill="1" applyBorder="1" applyAlignment="1">
      <alignment horizontal="center" vertical="center"/>
    </xf>
    <xf numFmtId="0" fontId="1" fillId="11" borderId="38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51" xfId="3" applyFont="1" applyFill="1" applyBorder="1" applyAlignment="1">
      <alignment horizontal="center" vertical="center"/>
    </xf>
    <xf numFmtId="0" fontId="4" fillId="3" borderId="52" xfId="3" applyFont="1" applyFill="1" applyBorder="1" applyAlignment="1">
      <alignment horizontal="center" vertical="center"/>
    </xf>
    <xf numFmtId="0" fontId="4" fillId="3" borderId="24" xfId="3" applyFont="1" applyFill="1" applyBorder="1" applyAlignment="1">
      <alignment horizontal="center" vertical="center"/>
    </xf>
    <xf numFmtId="0" fontId="4" fillId="3" borderId="53" xfId="3" applyFont="1" applyFill="1" applyBorder="1" applyAlignment="1">
      <alignment horizontal="center" vertical="center"/>
    </xf>
    <xf numFmtId="0" fontId="4" fillId="3" borderId="54" xfId="3" applyFont="1" applyFill="1" applyBorder="1" applyAlignment="1">
      <alignment horizontal="center" vertical="center"/>
    </xf>
    <xf numFmtId="0" fontId="1" fillId="0" borderId="26" xfId="3" applyFont="1" applyBorder="1" applyAlignment="1">
      <alignment horizontal="center" vertical="center"/>
    </xf>
    <xf numFmtId="0" fontId="1" fillId="7" borderId="26" xfId="3" applyFont="1" applyFill="1" applyBorder="1" applyAlignment="1">
      <alignment horizontal="center" vertical="center"/>
    </xf>
    <xf numFmtId="0" fontId="4" fillId="3" borderId="55" xfId="3" applyFont="1" applyFill="1" applyBorder="1" applyAlignment="1">
      <alignment horizontal="center" vertical="center"/>
    </xf>
    <xf numFmtId="0" fontId="1" fillId="0" borderId="56" xfId="3" applyFont="1" applyBorder="1" applyAlignment="1">
      <alignment horizontal="center" vertical="center"/>
    </xf>
    <xf numFmtId="0" fontId="5" fillId="5" borderId="12" xfId="3" applyFont="1" applyFill="1" applyBorder="1" applyAlignment="1">
      <alignment horizontal="center" vertical="center"/>
    </xf>
    <xf numFmtId="1" fontId="4" fillId="0" borderId="58" xfId="3" applyNumberFormat="1" applyFont="1" applyBorder="1" applyAlignment="1">
      <alignment horizontal="center"/>
    </xf>
    <xf numFmtId="0" fontId="1" fillId="0" borderId="57" xfId="3" applyFont="1" applyBorder="1" applyAlignment="1">
      <alignment horizontal="center" vertical="center"/>
    </xf>
    <xf numFmtId="0" fontId="1" fillId="0" borderId="59" xfId="3" applyFont="1" applyBorder="1" applyAlignment="1">
      <alignment horizontal="center" vertical="center"/>
    </xf>
    <xf numFmtId="0" fontId="1" fillId="16" borderId="12" xfId="3" applyFont="1" applyFill="1" applyBorder="1" applyAlignment="1">
      <alignment horizontal="center" vertical="center"/>
    </xf>
    <xf numFmtId="0" fontId="1" fillId="16" borderId="59" xfId="3" applyFont="1" applyFill="1" applyBorder="1" applyAlignment="1">
      <alignment horizontal="center" vertical="center"/>
    </xf>
    <xf numFmtId="0" fontId="1" fillId="16" borderId="56" xfId="3" applyFont="1" applyFill="1" applyBorder="1" applyAlignment="1">
      <alignment horizontal="center" vertical="center"/>
    </xf>
    <xf numFmtId="0" fontId="1" fillId="16" borderId="25" xfId="3" applyFont="1" applyFill="1" applyBorder="1" applyAlignment="1">
      <alignment horizontal="center" vertical="center"/>
    </xf>
    <xf numFmtId="0" fontId="4" fillId="3" borderId="60" xfId="3" applyFont="1" applyFill="1" applyBorder="1" applyAlignment="1">
      <alignment horizontal="center" vertical="center"/>
    </xf>
    <xf numFmtId="0" fontId="1" fillId="0" borderId="61" xfId="3" applyFont="1" applyBorder="1" applyAlignment="1">
      <alignment horizontal="center" vertical="center"/>
    </xf>
    <xf numFmtId="0" fontId="1" fillId="0" borderId="62" xfId="3" applyFont="1" applyBorder="1" applyAlignment="1">
      <alignment horizontal="center" vertical="center"/>
    </xf>
    <xf numFmtId="0" fontId="1" fillId="7" borderId="62" xfId="3" applyFont="1" applyFill="1" applyBorder="1" applyAlignment="1">
      <alignment horizontal="center" vertical="center"/>
    </xf>
    <xf numFmtId="0" fontId="1" fillId="0" borderId="63" xfId="3" applyFont="1" applyBorder="1" applyAlignment="1">
      <alignment horizontal="center" vertical="center"/>
    </xf>
    <xf numFmtId="0" fontId="1" fillId="16" borderId="61" xfId="3" applyFont="1" applyFill="1" applyBorder="1" applyAlignment="1">
      <alignment horizontal="center" vertical="center"/>
    </xf>
    <xf numFmtId="0" fontId="1" fillId="16" borderId="62" xfId="3" applyFont="1" applyFill="1" applyBorder="1" applyAlignment="1">
      <alignment horizontal="center" vertical="center"/>
    </xf>
    <xf numFmtId="0" fontId="1" fillId="16" borderId="63" xfId="3" applyFont="1" applyFill="1" applyBorder="1" applyAlignment="1">
      <alignment horizontal="center" vertical="center"/>
    </xf>
    <xf numFmtId="0" fontId="1" fillId="0" borderId="64" xfId="3" applyFont="1" applyBorder="1" applyAlignment="1">
      <alignment horizontal="center" vertical="center"/>
    </xf>
    <xf numFmtId="0" fontId="1" fillId="7" borderId="27" xfId="3" applyFont="1" applyFill="1" applyBorder="1" applyAlignment="1">
      <alignment horizontal="center" vertical="center"/>
    </xf>
    <xf numFmtId="0" fontId="4" fillId="3" borderId="65" xfId="3" applyFont="1" applyFill="1" applyBorder="1" applyAlignment="1">
      <alignment horizontal="center" vertical="center"/>
    </xf>
    <xf numFmtId="0" fontId="4" fillId="3" borderId="66" xfId="3" applyFont="1" applyFill="1" applyBorder="1" applyAlignment="1">
      <alignment horizontal="center" vertical="center"/>
    </xf>
    <xf numFmtId="1" fontId="4" fillId="0" borderId="70" xfId="3" applyNumberFormat="1" applyFont="1" applyBorder="1" applyAlignment="1">
      <alignment horizontal="center"/>
    </xf>
    <xf numFmtId="1" fontId="4" fillId="0" borderId="71" xfId="3" applyNumberFormat="1" applyFont="1" applyBorder="1" applyAlignment="1">
      <alignment horizontal="center"/>
    </xf>
    <xf numFmtId="0" fontId="5" fillId="5" borderId="18" xfId="3" applyFont="1" applyFill="1" applyBorder="1" applyAlignment="1">
      <alignment horizontal="center" vertical="center"/>
    </xf>
    <xf numFmtId="0" fontId="5" fillId="5" borderId="19" xfId="3" applyFont="1" applyFill="1" applyBorder="1" applyAlignment="1">
      <alignment horizontal="center" vertical="center"/>
    </xf>
    <xf numFmtId="0" fontId="5" fillId="5" borderId="20" xfId="3" applyFont="1" applyFill="1" applyBorder="1" applyAlignment="1">
      <alignment horizontal="center" vertical="center"/>
    </xf>
    <xf numFmtId="0" fontId="1" fillId="0" borderId="13" xfId="3" applyFont="1" applyBorder="1" applyAlignment="1">
      <alignment horizontal="center" vertical="center"/>
    </xf>
    <xf numFmtId="0" fontId="1" fillId="0" borderId="14" xfId="3" applyFont="1" applyBorder="1" applyAlignment="1">
      <alignment horizontal="center" vertical="center"/>
    </xf>
    <xf numFmtId="0" fontId="1" fillId="7" borderId="14" xfId="3" applyFont="1" applyFill="1" applyBorder="1" applyAlignment="1">
      <alignment horizontal="center" vertical="center"/>
    </xf>
    <xf numFmtId="0" fontId="1" fillId="0" borderId="15" xfId="3" applyFont="1" applyBorder="1" applyAlignment="1">
      <alignment horizontal="center" vertical="center"/>
    </xf>
    <xf numFmtId="0" fontId="1" fillId="0" borderId="16" xfId="3" applyFont="1" applyBorder="1" applyAlignment="1">
      <alignment horizontal="center" vertical="center"/>
    </xf>
    <xf numFmtId="0" fontId="1" fillId="0" borderId="17" xfId="3" applyFont="1" applyBorder="1" applyAlignment="1">
      <alignment horizontal="center" vertical="center"/>
    </xf>
    <xf numFmtId="0" fontId="1" fillId="0" borderId="18" xfId="3" applyFont="1" applyBorder="1" applyAlignment="1">
      <alignment horizontal="center" vertical="center"/>
    </xf>
    <xf numFmtId="0" fontId="1" fillId="0" borderId="19" xfId="3" applyFont="1" applyBorder="1" applyAlignment="1">
      <alignment horizontal="center" vertical="center"/>
    </xf>
    <xf numFmtId="0" fontId="1" fillId="7" borderId="19" xfId="3" applyFont="1" applyFill="1" applyBorder="1" applyAlignment="1">
      <alignment horizontal="center" vertical="center"/>
    </xf>
    <xf numFmtId="0" fontId="1" fillId="0" borderId="20" xfId="3" applyFont="1" applyBorder="1" applyAlignment="1">
      <alignment horizontal="center" vertical="center"/>
    </xf>
    <xf numFmtId="0" fontId="4" fillId="3" borderId="72" xfId="3" applyFont="1" applyFill="1" applyBorder="1" applyAlignment="1">
      <alignment horizontal="center" vertical="center"/>
    </xf>
    <xf numFmtId="0" fontId="0" fillId="16" borderId="18" xfId="3" applyFont="1" applyFill="1" applyBorder="1" applyAlignment="1">
      <alignment horizontal="center" vertical="center"/>
    </xf>
    <xf numFmtId="0" fontId="0" fillId="16" borderId="19" xfId="3" applyFont="1" applyFill="1" applyBorder="1" applyAlignment="1">
      <alignment horizontal="center" vertical="center"/>
    </xf>
    <xf numFmtId="0" fontId="0" fillId="16" borderId="20" xfId="3" applyFont="1" applyFill="1" applyBorder="1" applyAlignment="1">
      <alignment horizontal="center" vertical="center"/>
    </xf>
    <xf numFmtId="0" fontId="1" fillId="16" borderId="16" xfId="3" applyFont="1" applyFill="1" applyBorder="1" applyAlignment="1">
      <alignment horizontal="center" vertical="center"/>
    </xf>
    <xf numFmtId="0" fontId="1" fillId="16" borderId="17" xfId="3" applyFont="1" applyFill="1" applyBorder="1" applyAlignment="1">
      <alignment horizontal="center" vertical="center"/>
    </xf>
    <xf numFmtId="0" fontId="0" fillId="16" borderId="13" xfId="3" applyFont="1" applyFill="1" applyBorder="1" applyAlignment="1">
      <alignment horizontal="center" vertical="center"/>
    </xf>
    <xf numFmtId="0" fontId="0" fillId="16" borderId="14" xfId="3" applyFont="1" applyFill="1" applyBorder="1" applyAlignment="1">
      <alignment horizontal="center" vertical="center"/>
    </xf>
    <xf numFmtId="0" fontId="0" fillId="16" borderId="15" xfId="3" applyFont="1" applyFill="1" applyBorder="1" applyAlignment="1">
      <alignment horizontal="center" vertical="center"/>
    </xf>
    <xf numFmtId="0" fontId="1" fillId="16" borderId="18" xfId="3" applyFont="1" applyFill="1" applyBorder="1" applyAlignment="1">
      <alignment horizontal="center" vertical="center"/>
    </xf>
    <xf numFmtId="0" fontId="1" fillId="16" borderId="19" xfId="3" applyFont="1" applyFill="1" applyBorder="1" applyAlignment="1">
      <alignment horizontal="center" vertical="center"/>
    </xf>
    <xf numFmtId="0" fontId="1" fillId="16" borderId="20" xfId="3" applyFont="1" applyFill="1" applyBorder="1" applyAlignment="1">
      <alignment horizontal="center" vertical="center"/>
    </xf>
    <xf numFmtId="0" fontId="4" fillId="3" borderId="73" xfId="3" applyFont="1" applyFill="1" applyBorder="1" applyAlignment="1">
      <alignment horizontal="center" vertical="center"/>
    </xf>
    <xf numFmtId="0" fontId="4" fillId="3" borderId="74" xfId="3" applyFont="1" applyFill="1" applyBorder="1" applyAlignment="1">
      <alignment horizontal="center" vertical="center"/>
    </xf>
    <xf numFmtId="0" fontId="0" fillId="16" borderId="16" xfId="3" applyFont="1" applyFill="1" applyBorder="1" applyAlignment="1">
      <alignment horizontal="center" vertical="center"/>
    </xf>
    <xf numFmtId="0" fontId="0" fillId="16" borderId="17" xfId="3" applyFont="1" applyFill="1" applyBorder="1" applyAlignment="1">
      <alignment horizontal="center" vertical="center"/>
    </xf>
    <xf numFmtId="0" fontId="1" fillId="0" borderId="75" xfId="3" applyFont="1" applyBorder="1" applyAlignment="1">
      <alignment horizontal="center" vertical="center"/>
    </xf>
    <xf numFmtId="0" fontId="1" fillId="7" borderId="75" xfId="3" applyFont="1" applyFill="1" applyBorder="1" applyAlignment="1">
      <alignment horizontal="center" vertical="center"/>
    </xf>
    <xf numFmtId="0" fontId="4" fillId="3" borderId="9" xfId="3" applyFont="1" applyFill="1" applyBorder="1" applyAlignment="1">
      <alignment horizontal="center" vertical="center"/>
    </xf>
    <xf numFmtId="0" fontId="4" fillId="3" borderId="76" xfId="3" applyFont="1" applyFill="1" applyBorder="1" applyAlignment="1">
      <alignment horizontal="center" vertical="center"/>
    </xf>
    <xf numFmtId="0" fontId="4" fillId="3" borderId="18" xfId="3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center" vertical="center"/>
    </xf>
    <xf numFmtId="0" fontId="4" fillId="9" borderId="74" xfId="3" applyFont="1" applyFill="1" applyBorder="1" applyAlignment="1">
      <alignment horizontal="center" vertical="center"/>
    </xf>
    <xf numFmtId="0" fontId="4" fillId="3" borderId="14" xfId="3" applyFont="1" applyFill="1" applyBorder="1" applyAlignment="1">
      <alignment horizontal="center" vertical="center"/>
    </xf>
    <xf numFmtId="0" fontId="4" fillId="3" borderId="16" xfId="3" applyFont="1" applyFill="1" applyBorder="1" applyAlignment="1">
      <alignment horizontal="center" vertical="center"/>
    </xf>
    <xf numFmtId="0" fontId="4" fillId="3" borderId="20" xfId="3" applyFont="1" applyFill="1" applyBorder="1" applyAlignment="1">
      <alignment horizontal="center" vertical="center"/>
    </xf>
    <xf numFmtId="1" fontId="4" fillId="0" borderId="77" xfId="3" applyNumberFormat="1" applyFont="1" applyBorder="1" applyAlignment="1">
      <alignment horizontal="center"/>
    </xf>
    <xf numFmtId="1" fontId="4" fillId="0" borderId="80" xfId="3" applyNumberFormat="1" applyFont="1" applyBorder="1" applyAlignment="1">
      <alignment horizontal="center"/>
    </xf>
    <xf numFmtId="0" fontId="5" fillId="5" borderId="16" xfId="3" applyFont="1" applyFill="1" applyBorder="1" applyAlignment="1">
      <alignment horizontal="center" vertical="center"/>
    </xf>
    <xf numFmtId="0" fontId="5" fillId="5" borderId="17" xfId="3" applyFont="1" applyFill="1" applyBorder="1" applyAlignment="1">
      <alignment horizontal="center" vertical="center"/>
    </xf>
    <xf numFmtId="0" fontId="1" fillId="7" borderId="16" xfId="3" applyFont="1" applyFill="1" applyBorder="1" applyAlignment="1">
      <alignment horizontal="center" vertical="center"/>
    </xf>
    <xf numFmtId="0" fontId="1" fillId="7" borderId="17" xfId="3" applyFont="1" applyFill="1" applyBorder="1" applyAlignment="1">
      <alignment horizontal="center" vertical="center"/>
    </xf>
    <xf numFmtId="0" fontId="1" fillId="7" borderId="20" xfId="3" applyFont="1" applyFill="1" applyBorder="1" applyAlignment="1">
      <alignment horizontal="center" vertical="center"/>
    </xf>
    <xf numFmtId="0" fontId="1" fillId="0" borderId="81" xfId="3" applyFont="1" applyBorder="1" applyAlignment="1">
      <alignment horizontal="center" vertical="center"/>
    </xf>
    <xf numFmtId="1" fontId="4" fillId="0" borderId="11" xfId="3" applyNumberFormat="1" applyFont="1" applyBorder="1" applyAlignment="1">
      <alignment horizontal="center"/>
    </xf>
    <xf numFmtId="0" fontId="5" fillId="5" borderId="51" xfId="3" applyFont="1" applyFill="1" applyBorder="1" applyAlignment="1">
      <alignment horizontal="center" vertical="center"/>
    </xf>
    <xf numFmtId="1" fontId="4" fillId="0" borderId="48" xfId="3" applyNumberFormat="1" applyFont="1" applyBorder="1" applyAlignment="1">
      <alignment horizontal="center"/>
    </xf>
    <xf numFmtId="0" fontId="5" fillId="5" borderId="35" xfId="3" applyFont="1" applyFill="1" applyBorder="1" applyAlignment="1">
      <alignment horizontal="center" vertical="center"/>
    </xf>
    <xf numFmtId="0" fontId="5" fillId="5" borderId="36" xfId="3" applyFont="1" applyFill="1" applyBorder="1" applyAlignment="1">
      <alignment horizontal="center" vertical="center"/>
    </xf>
    <xf numFmtId="0" fontId="5" fillId="5" borderId="38" xfId="3" applyFont="1" applyFill="1" applyBorder="1" applyAlignment="1">
      <alignment horizontal="center" vertical="center"/>
    </xf>
    <xf numFmtId="0" fontId="5" fillId="5" borderId="37" xfId="3" applyFont="1" applyFill="1" applyBorder="1" applyAlignment="1">
      <alignment horizontal="center" vertical="center"/>
    </xf>
    <xf numFmtId="0" fontId="1" fillId="11" borderId="84" xfId="3" applyFont="1" applyFill="1" applyBorder="1" applyAlignment="1">
      <alignment horizontal="center" vertical="center"/>
    </xf>
    <xf numFmtId="0" fontId="1" fillId="0" borderId="85" xfId="3" applyFont="1" applyBorder="1" applyAlignment="1">
      <alignment horizontal="center" vertical="center"/>
    </xf>
    <xf numFmtId="0" fontId="1" fillId="7" borderId="85" xfId="3" applyFont="1" applyFill="1" applyBorder="1" applyAlignment="1">
      <alignment horizontal="center" vertical="center"/>
    </xf>
    <xf numFmtId="0" fontId="1" fillId="0" borderId="86" xfId="3" applyFont="1" applyBorder="1" applyAlignment="1">
      <alignment horizontal="center" vertical="center"/>
    </xf>
    <xf numFmtId="0" fontId="1" fillId="11" borderId="87" xfId="3" applyFont="1" applyFill="1" applyBorder="1" applyAlignment="1">
      <alignment horizontal="center" vertical="center"/>
    </xf>
    <xf numFmtId="0" fontId="1" fillId="11" borderId="88" xfId="3" applyFont="1" applyFill="1" applyBorder="1" applyAlignment="1">
      <alignment horizontal="center" vertical="center"/>
    </xf>
    <xf numFmtId="0" fontId="4" fillId="3" borderId="89" xfId="3" applyFont="1" applyFill="1" applyBorder="1" applyAlignment="1">
      <alignment horizontal="center" vertical="center"/>
    </xf>
    <xf numFmtId="0" fontId="4" fillId="3" borderId="90" xfId="3" applyFont="1" applyFill="1" applyBorder="1" applyAlignment="1">
      <alignment horizontal="center" vertical="center"/>
    </xf>
    <xf numFmtId="0" fontId="1" fillId="11" borderId="91" xfId="3" applyFont="1" applyFill="1" applyBorder="1" applyAlignment="1">
      <alignment horizontal="center" vertical="center"/>
    </xf>
    <xf numFmtId="0" fontId="1" fillId="0" borderId="92" xfId="3" applyFont="1" applyBorder="1" applyAlignment="1">
      <alignment horizontal="center" vertical="center"/>
    </xf>
    <xf numFmtId="0" fontId="1" fillId="11" borderId="3" xfId="3" applyFont="1" applyFill="1" applyBorder="1" applyAlignment="1">
      <alignment horizontal="center" vertical="center"/>
    </xf>
    <xf numFmtId="0" fontId="1" fillId="0" borderId="66" xfId="3" applyFont="1" applyBorder="1" applyAlignment="1">
      <alignment horizontal="center" vertical="center"/>
    </xf>
    <xf numFmtId="0" fontId="1" fillId="11" borderId="93" xfId="3" applyFont="1" applyFill="1" applyBorder="1" applyAlignment="1">
      <alignment horizontal="center" vertical="center"/>
    </xf>
    <xf numFmtId="0" fontId="1" fillId="0" borderId="65" xfId="3" applyFont="1" applyBorder="1" applyAlignment="1">
      <alignment horizontal="center" vertical="center"/>
    </xf>
    <xf numFmtId="0" fontId="1" fillId="16" borderId="28" xfId="3" applyFont="1" applyFill="1" applyBorder="1" applyAlignment="1">
      <alignment horizontal="center" vertical="center"/>
    </xf>
    <xf numFmtId="0" fontId="1" fillId="16" borderId="87" xfId="3" applyFont="1" applyFill="1" applyBorder="1" applyAlignment="1">
      <alignment horizontal="center" vertical="center"/>
    </xf>
    <xf numFmtId="0" fontId="1" fillId="16" borderId="81" xfId="3" applyFont="1" applyFill="1" applyBorder="1" applyAlignment="1">
      <alignment horizontal="center" vertical="center"/>
    </xf>
    <xf numFmtId="0" fontId="1" fillId="16" borderId="36" xfId="3" applyFont="1" applyFill="1" applyBorder="1" applyAlignment="1">
      <alignment horizontal="center" vertical="center"/>
    </xf>
    <xf numFmtId="0" fontId="1" fillId="16" borderId="37" xfId="3" applyFont="1" applyFill="1" applyBorder="1" applyAlignment="1">
      <alignment horizontal="center" vertical="center"/>
    </xf>
    <xf numFmtId="0" fontId="1" fillId="16" borderId="92" xfId="3" applyFont="1" applyFill="1" applyBorder="1" applyAlignment="1">
      <alignment horizontal="center" vertical="center"/>
    </xf>
    <xf numFmtId="0" fontId="1" fillId="16" borderId="85" xfId="3" applyFont="1" applyFill="1" applyBorder="1" applyAlignment="1">
      <alignment horizontal="center" vertical="center"/>
    </xf>
    <xf numFmtId="0" fontId="1" fillId="16" borderId="86" xfId="3" applyFont="1" applyFill="1" applyBorder="1" applyAlignment="1">
      <alignment horizontal="center" vertical="center"/>
    </xf>
    <xf numFmtId="0" fontId="3" fillId="0" borderId="28" xfId="3" applyFont="1" applyBorder="1"/>
    <xf numFmtId="0" fontId="3" fillId="16" borderId="28" xfId="3" applyFont="1" applyFill="1" applyBorder="1"/>
    <xf numFmtId="0" fontId="1" fillId="0" borderId="29" xfId="3" applyFont="1" applyBorder="1" applyAlignment="1">
      <alignment horizontal="center" vertical="center"/>
    </xf>
    <xf numFmtId="0" fontId="1" fillId="16" borderId="29" xfId="3" applyFont="1" applyFill="1" applyBorder="1" applyAlignment="1">
      <alignment horizontal="center" vertical="center"/>
    </xf>
    <xf numFmtId="0" fontId="4" fillId="3" borderId="91" xfId="3" applyFont="1" applyFill="1" applyBorder="1" applyAlignment="1">
      <alignment horizontal="center" vertical="center"/>
    </xf>
    <xf numFmtId="0" fontId="1" fillId="0" borderId="94" xfId="3" applyFont="1" applyBorder="1" applyAlignment="1">
      <alignment horizontal="center" vertical="center"/>
    </xf>
    <xf numFmtId="0" fontId="1" fillId="0" borderId="95" xfId="3" applyFont="1" applyBorder="1" applyAlignment="1">
      <alignment horizontal="center" vertical="center"/>
    </xf>
    <xf numFmtId="0" fontId="12" fillId="0" borderId="0" xfId="3" applyFont="1"/>
    <xf numFmtId="0" fontId="13" fillId="0" borderId="9" xfId="3" applyFont="1" applyBorder="1"/>
    <xf numFmtId="0" fontId="13" fillId="9" borderId="9" xfId="3" applyFont="1" applyFill="1" applyBorder="1"/>
    <xf numFmtId="0" fontId="13" fillId="0" borderId="12" xfId="3" applyFont="1" applyBorder="1"/>
    <xf numFmtId="0" fontId="13" fillId="0" borderId="29" xfId="3" applyFont="1" applyBorder="1"/>
    <xf numFmtId="0" fontId="12" fillId="7" borderId="16" xfId="3" applyFont="1" applyFill="1" applyBorder="1" applyAlignment="1">
      <alignment horizontal="center" vertical="center"/>
    </xf>
    <xf numFmtId="0" fontId="12" fillId="7" borderId="9" xfId="3" applyFont="1" applyFill="1" applyBorder="1" applyAlignment="1">
      <alignment horizontal="center" vertical="center"/>
    </xf>
    <xf numFmtId="0" fontId="12" fillId="11" borderId="28" xfId="3" applyFont="1" applyFill="1" applyBorder="1" applyAlignment="1">
      <alignment horizontal="center" vertical="center"/>
    </xf>
    <xf numFmtId="0" fontId="13" fillId="3" borderId="28" xfId="3" applyFont="1" applyFill="1" applyBorder="1" applyAlignment="1">
      <alignment horizontal="center" vertical="center"/>
    </xf>
    <xf numFmtId="0" fontId="12" fillId="7" borderId="24" xfId="3" applyFont="1" applyFill="1" applyBorder="1" applyAlignment="1">
      <alignment horizontal="center" vertical="center"/>
    </xf>
    <xf numFmtId="0" fontId="12" fillId="7" borderId="17" xfId="3" applyFont="1" applyFill="1" applyBorder="1" applyAlignment="1">
      <alignment horizontal="center" vertical="center"/>
    </xf>
    <xf numFmtId="0" fontId="12" fillId="11" borderId="93" xfId="3" applyFont="1" applyFill="1" applyBorder="1" applyAlignment="1">
      <alignment horizontal="center" vertical="center"/>
    </xf>
    <xf numFmtId="0" fontId="12" fillId="0" borderId="27" xfId="3" applyFont="1" applyBorder="1" applyAlignment="1">
      <alignment horizontal="center" vertical="center"/>
    </xf>
    <xf numFmtId="0" fontId="12" fillId="7" borderId="27" xfId="3" applyFont="1" applyFill="1" applyBorder="1" applyAlignment="1">
      <alignment horizontal="center" vertical="center"/>
    </xf>
    <xf numFmtId="0" fontId="12" fillId="0" borderId="65" xfId="3" applyFont="1" applyBorder="1" applyAlignment="1">
      <alignment horizontal="center" vertical="center"/>
    </xf>
    <xf numFmtId="0" fontId="12" fillId="0" borderId="12" xfId="3" applyFont="1" applyBorder="1" applyAlignment="1">
      <alignment horizontal="center" vertical="center"/>
    </xf>
    <xf numFmtId="0" fontId="12" fillId="0" borderId="95" xfId="3" applyFont="1" applyBorder="1" applyAlignment="1">
      <alignment horizontal="center" vertical="center"/>
    </xf>
    <xf numFmtId="0" fontId="12" fillId="0" borderId="81" xfId="3" applyFont="1" applyBorder="1" applyAlignment="1">
      <alignment horizontal="center" vertical="center"/>
    </xf>
    <xf numFmtId="0" fontId="12" fillId="0" borderId="17" xfId="3" applyFont="1" applyBorder="1" applyAlignment="1">
      <alignment horizontal="center" vertical="center"/>
    </xf>
    <xf numFmtId="0" fontId="12" fillId="0" borderId="16" xfId="3" applyFont="1" applyBorder="1" applyAlignment="1">
      <alignment horizontal="center" vertical="center"/>
    </xf>
    <xf numFmtId="0" fontId="12" fillId="0" borderId="0" xfId="0" applyFont="1"/>
    <xf numFmtId="0" fontId="1" fillId="12" borderId="24" xfId="3" applyFont="1" applyFill="1" applyBorder="1" applyAlignment="1">
      <alignment horizontal="center" vertical="center"/>
    </xf>
    <xf numFmtId="0" fontId="1" fillId="12" borderId="17" xfId="3" applyFont="1" applyFill="1" applyBorder="1" applyAlignment="1">
      <alignment horizontal="center" vertical="center"/>
    </xf>
    <xf numFmtId="0" fontId="1" fillId="12" borderId="16" xfId="3" applyFont="1" applyFill="1" applyBorder="1" applyAlignment="1">
      <alignment horizontal="center" vertical="center"/>
    </xf>
    <xf numFmtId="0" fontId="1" fillId="12" borderId="28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1" fillId="11" borderId="0" xfId="3" applyFont="1" applyFill="1" applyBorder="1" applyAlignment="1">
      <alignment horizontal="center" vertical="center"/>
    </xf>
    <xf numFmtId="0" fontId="1" fillId="7" borderId="28" xfId="3" applyFont="1" applyFill="1" applyBorder="1" applyAlignment="1">
      <alignment horizontal="center" vertical="center"/>
    </xf>
    <xf numFmtId="0" fontId="1" fillId="0" borderId="28" xfId="3" applyFont="1" applyBorder="1" applyAlignment="1">
      <alignment horizontal="center" vertical="center"/>
    </xf>
    <xf numFmtId="0" fontId="1" fillId="7" borderId="82" xfId="3" applyFont="1" applyFill="1" applyBorder="1" applyAlignment="1">
      <alignment horizontal="center" vertical="center"/>
    </xf>
    <xf numFmtId="0" fontId="1" fillId="7" borderId="96" xfId="3" applyFont="1" applyFill="1" applyBorder="1" applyAlignment="1">
      <alignment horizontal="center" vertical="center"/>
    </xf>
    <xf numFmtId="0" fontId="1" fillId="7" borderId="25" xfId="3" applyFont="1" applyFill="1" applyBorder="1" applyAlignment="1">
      <alignment horizontal="center" vertical="center"/>
    </xf>
    <xf numFmtId="0" fontId="1" fillId="11" borderId="97" xfId="3" applyFont="1" applyFill="1" applyBorder="1" applyAlignment="1">
      <alignment horizontal="center" vertical="center"/>
    </xf>
    <xf numFmtId="0" fontId="1" fillId="0" borderId="98" xfId="3" applyFont="1" applyBorder="1" applyAlignment="1">
      <alignment horizontal="center" vertical="center"/>
    </xf>
    <xf numFmtId="0" fontId="1" fillId="16" borderId="99" xfId="3" applyFont="1" applyFill="1" applyBorder="1" applyAlignment="1">
      <alignment horizontal="center" vertical="center"/>
    </xf>
    <xf numFmtId="0" fontId="3" fillId="16" borderId="91" xfId="3" applyFont="1" applyFill="1" applyBorder="1"/>
    <xf numFmtId="0" fontId="1" fillId="16" borderId="91" xfId="3" applyFont="1" applyFill="1" applyBorder="1" applyAlignment="1">
      <alignment horizontal="center" vertical="center"/>
    </xf>
    <xf numFmtId="0" fontId="1" fillId="16" borderId="96" xfId="3" applyFont="1" applyFill="1" applyBorder="1" applyAlignment="1">
      <alignment horizontal="center" vertical="center"/>
    </xf>
    <xf numFmtId="0" fontId="1" fillId="7" borderId="100" xfId="3" applyFont="1" applyFill="1" applyBorder="1" applyAlignment="1">
      <alignment horizontal="center" vertical="center"/>
    </xf>
    <xf numFmtId="0" fontId="1" fillId="7" borderId="101" xfId="3" applyFont="1" applyFill="1" applyBorder="1" applyAlignment="1">
      <alignment horizontal="center" vertical="center"/>
    </xf>
    <xf numFmtId="0" fontId="1" fillId="0" borderId="101" xfId="3" applyFont="1" applyBorder="1" applyAlignment="1">
      <alignment horizontal="center" vertical="center"/>
    </xf>
    <xf numFmtId="0" fontId="1" fillId="7" borderId="102" xfId="3" applyFont="1" applyFill="1" applyBorder="1" applyAlignment="1">
      <alignment horizontal="center" vertical="center"/>
    </xf>
    <xf numFmtId="0" fontId="1" fillId="11" borderId="103" xfId="3" applyFont="1" applyFill="1" applyBorder="1" applyAlignment="1">
      <alignment horizontal="center" vertical="center"/>
    </xf>
    <xf numFmtId="0" fontId="1" fillId="0" borderId="104" xfId="3" applyFont="1" applyBorder="1" applyAlignment="1">
      <alignment horizontal="center" vertical="center"/>
    </xf>
    <xf numFmtId="0" fontId="1" fillId="7" borderId="104" xfId="3" applyFont="1" applyFill="1" applyBorder="1" applyAlignment="1">
      <alignment horizontal="center" vertical="center"/>
    </xf>
    <xf numFmtId="0" fontId="1" fillId="0" borderId="105" xfId="3" applyFont="1" applyBorder="1" applyAlignment="1">
      <alignment horizontal="center" vertical="center"/>
    </xf>
    <xf numFmtId="0" fontId="1" fillId="0" borderId="106" xfId="3" applyFont="1" applyBorder="1" applyAlignment="1">
      <alignment horizontal="center" vertical="center"/>
    </xf>
    <xf numFmtId="0" fontId="1" fillId="0" borderId="107" xfId="3" applyFont="1" applyBorder="1" applyAlignment="1">
      <alignment horizontal="center" vertical="center"/>
    </xf>
    <xf numFmtId="0" fontId="3" fillId="0" borderId="93" xfId="3" applyFont="1" applyBorder="1"/>
    <xf numFmtId="0" fontId="1" fillId="0" borderId="108" xfId="3" applyFont="1" applyBorder="1" applyAlignment="1">
      <alignment horizontal="center" vertical="center"/>
    </xf>
    <xf numFmtId="0" fontId="1" fillId="0" borderId="100" xfId="3" applyFont="1" applyBorder="1" applyAlignment="1">
      <alignment horizontal="center" vertical="center"/>
    </xf>
    <xf numFmtId="0" fontId="1" fillId="7" borderId="108" xfId="3" applyFont="1" applyFill="1" applyBorder="1" applyAlignment="1">
      <alignment horizontal="center" vertical="center"/>
    </xf>
    <xf numFmtId="0" fontId="1" fillId="0" borderId="109" xfId="3" applyFont="1" applyBorder="1" applyAlignment="1">
      <alignment horizontal="center" vertical="center"/>
    </xf>
    <xf numFmtId="0" fontId="1" fillId="11" borderId="109" xfId="3" applyFont="1" applyFill="1" applyBorder="1" applyAlignment="1">
      <alignment horizontal="center" vertical="center"/>
    </xf>
    <xf numFmtId="0" fontId="1" fillId="12" borderId="12" xfId="3" applyFont="1" applyFill="1" applyBorder="1" applyAlignment="1">
      <alignment horizontal="center" vertical="center"/>
    </xf>
    <xf numFmtId="0" fontId="14" fillId="0" borderId="9" xfId="3" applyFont="1" applyBorder="1"/>
    <xf numFmtId="0" fontId="4" fillId="3" borderId="0" xfId="3" applyFont="1" applyFill="1" applyBorder="1" applyAlignment="1">
      <alignment horizontal="center" vertical="center"/>
    </xf>
    <xf numFmtId="0" fontId="4" fillId="18" borderId="28" xfId="3" applyFont="1" applyFill="1" applyBorder="1" applyAlignment="1">
      <alignment horizontal="center" vertical="center"/>
    </xf>
    <xf numFmtId="0" fontId="4" fillId="19" borderId="28" xfId="3" applyFont="1" applyFill="1" applyBorder="1" applyAlignment="1">
      <alignment horizontal="center" vertical="center"/>
    </xf>
    <xf numFmtId="0" fontId="1" fillId="12" borderId="0" xfId="3" applyFont="1" applyFill="1" applyBorder="1" applyAlignment="1">
      <alignment horizontal="center" vertical="center"/>
    </xf>
    <xf numFmtId="0" fontId="4" fillId="20" borderId="0" xfId="3" applyFont="1" applyFill="1" applyBorder="1" applyAlignment="1">
      <alignment horizontal="center" vertical="center"/>
    </xf>
    <xf numFmtId="0" fontId="0" fillId="0" borderId="17" xfId="3" applyFont="1" applyBorder="1" applyAlignment="1">
      <alignment horizontal="center" vertical="center"/>
    </xf>
    <xf numFmtId="0" fontId="1" fillId="0" borderId="0" xfId="3" applyFont="1" applyBorder="1" applyAlignment="1">
      <alignment horizontal="center" vertical="center"/>
    </xf>
    <xf numFmtId="0" fontId="4" fillId="18" borderId="0" xfId="3" applyFont="1" applyFill="1" applyBorder="1" applyAlignment="1">
      <alignment horizontal="center" vertical="center"/>
    </xf>
    <xf numFmtId="0" fontId="15" fillId="5" borderId="18" xfId="3" applyFont="1" applyFill="1" applyBorder="1" applyAlignment="1">
      <alignment horizontal="center" vertical="center"/>
    </xf>
    <xf numFmtId="0" fontId="15" fillId="5" borderId="19" xfId="3" applyFont="1" applyFill="1" applyBorder="1" applyAlignment="1">
      <alignment horizontal="center" vertical="center"/>
    </xf>
    <xf numFmtId="0" fontId="15" fillId="5" borderId="51" xfId="3" applyFont="1" applyFill="1" applyBorder="1" applyAlignment="1">
      <alignment horizontal="center" vertical="center"/>
    </xf>
    <xf numFmtId="0" fontId="16" fillId="0" borderId="0" xfId="3" applyFont="1"/>
    <xf numFmtId="0" fontId="1" fillId="7" borderId="95" xfId="3" applyFont="1" applyFill="1" applyBorder="1" applyAlignment="1">
      <alignment horizontal="center" vertical="center"/>
    </xf>
    <xf numFmtId="0" fontId="1" fillId="0" borderId="110" xfId="3" applyFont="1" applyBorder="1" applyAlignment="1">
      <alignment horizontal="center" vertical="center"/>
    </xf>
    <xf numFmtId="0" fontId="1" fillId="0" borderId="111" xfId="3" applyFont="1" applyBorder="1" applyAlignment="1">
      <alignment horizontal="center" vertical="center"/>
    </xf>
    <xf numFmtId="0" fontId="1" fillId="12" borderId="112" xfId="3" applyFont="1" applyFill="1" applyBorder="1" applyAlignment="1">
      <alignment horizontal="center" vertical="center"/>
    </xf>
    <xf numFmtId="0" fontId="1" fillId="12" borderId="18" xfId="3" applyFont="1" applyFill="1" applyBorder="1" applyAlignment="1">
      <alignment horizontal="center" vertical="center"/>
    </xf>
    <xf numFmtId="0" fontId="1" fillId="12" borderId="19" xfId="3" applyFont="1" applyFill="1" applyBorder="1" applyAlignment="1">
      <alignment horizontal="center" vertical="center"/>
    </xf>
    <xf numFmtId="0" fontId="1" fillId="12" borderId="20" xfId="3" applyFont="1" applyFill="1" applyBorder="1" applyAlignment="1">
      <alignment horizontal="center" vertical="center"/>
    </xf>
    <xf numFmtId="1" fontId="4" fillId="0" borderId="0" xfId="3" applyNumberFormat="1" applyFont="1" applyBorder="1" applyAlignment="1">
      <alignment horizontal="center"/>
    </xf>
    <xf numFmtId="0" fontId="15" fillId="5" borderId="20" xfId="3" applyFont="1" applyFill="1" applyBorder="1" applyAlignment="1">
      <alignment horizontal="center" vertical="center"/>
    </xf>
    <xf numFmtId="0" fontId="1" fillId="11" borderId="113" xfId="3" applyFont="1" applyFill="1" applyBorder="1" applyAlignment="1">
      <alignment horizontal="center" vertical="center"/>
    </xf>
    <xf numFmtId="0" fontId="1" fillId="12" borderId="113" xfId="3" applyFont="1" applyFill="1" applyBorder="1" applyAlignment="1">
      <alignment horizontal="center" vertical="center"/>
    </xf>
    <xf numFmtId="0" fontId="1" fillId="7" borderId="65" xfId="3" applyFont="1" applyFill="1" applyBorder="1" applyAlignment="1">
      <alignment horizontal="center" vertical="center"/>
    </xf>
    <xf numFmtId="0" fontId="1" fillId="11" borderId="72" xfId="3" applyFont="1" applyFill="1" applyBorder="1" applyAlignment="1">
      <alignment horizontal="center" vertical="center"/>
    </xf>
    <xf numFmtId="0" fontId="1" fillId="12" borderId="72" xfId="3" applyFont="1" applyFill="1" applyBorder="1" applyAlignment="1">
      <alignment horizontal="center" vertical="center"/>
    </xf>
    <xf numFmtId="0" fontId="4" fillId="3" borderId="93" xfId="3" applyFont="1" applyFill="1" applyBorder="1" applyAlignment="1">
      <alignment horizontal="center" vertical="center"/>
    </xf>
    <xf numFmtId="0" fontId="1" fillId="12" borderId="107" xfId="3" applyFont="1" applyFill="1" applyBorder="1" applyAlignment="1">
      <alignment horizontal="center" vertical="center"/>
    </xf>
    <xf numFmtId="0" fontId="1" fillId="12" borderId="114" xfId="3" applyFont="1" applyFill="1" applyBorder="1" applyAlignment="1">
      <alignment horizontal="center" vertical="center"/>
    </xf>
    <xf numFmtId="0" fontId="4" fillId="20" borderId="10" xfId="3" applyFont="1" applyFill="1" applyBorder="1" applyAlignment="1">
      <alignment horizontal="center" vertical="center"/>
    </xf>
    <xf numFmtId="0" fontId="4" fillId="20" borderId="115" xfId="3" applyFont="1" applyFill="1" applyBorder="1" applyAlignment="1">
      <alignment horizontal="center" vertical="center"/>
    </xf>
    <xf numFmtId="0" fontId="1" fillId="13" borderId="19" xfId="3" applyFont="1" applyFill="1" applyBorder="1" applyAlignment="1">
      <alignment horizontal="center" vertical="center"/>
    </xf>
    <xf numFmtId="0" fontId="1" fillId="13" borderId="16" xfId="3" applyFont="1" applyFill="1" applyBorder="1" applyAlignment="1">
      <alignment horizontal="center" vertical="center"/>
    </xf>
    <xf numFmtId="0" fontId="1" fillId="13" borderId="17" xfId="3" applyFont="1" applyFill="1" applyBorder="1" applyAlignment="1">
      <alignment horizontal="center" vertical="center"/>
    </xf>
    <xf numFmtId="0" fontId="1" fillId="13" borderId="18" xfId="3" applyFont="1" applyFill="1" applyBorder="1" applyAlignment="1">
      <alignment horizontal="center" vertical="center"/>
    </xf>
    <xf numFmtId="0" fontId="4" fillId="20" borderId="107" xfId="3" applyFont="1" applyFill="1" applyBorder="1" applyAlignment="1">
      <alignment horizontal="center" vertical="center"/>
    </xf>
    <xf numFmtId="0" fontId="1" fillId="13" borderId="20" xfId="3" applyFont="1" applyFill="1" applyBorder="1" applyAlignment="1">
      <alignment horizontal="center" vertical="center"/>
    </xf>
    <xf numFmtId="0" fontId="4" fillId="20" borderId="11" xfId="3" applyFont="1" applyFill="1" applyBorder="1" applyAlignment="1">
      <alignment horizontal="center" vertical="center"/>
    </xf>
    <xf numFmtId="0" fontId="1" fillId="12" borderId="116" xfId="3" applyFont="1" applyFill="1" applyBorder="1" applyAlignment="1">
      <alignment horizontal="center" vertical="center"/>
    </xf>
    <xf numFmtId="0" fontId="4" fillId="20" borderId="117" xfId="3" applyFont="1" applyFill="1" applyBorder="1" applyAlignment="1">
      <alignment horizontal="center" vertical="center"/>
    </xf>
    <xf numFmtId="0" fontId="1" fillId="11" borderId="118" xfId="3" applyFont="1" applyFill="1" applyBorder="1" applyAlignment="1">
      <alignment horizontal="center" vertical="center"/>
    </xf>
    <xf numFmtId="1" fontId="4" fillId="0" borderId="119" xfId="3" applyNumberFormat="1" applyFont="1" applyBorder="1" applyAlignment="1">
      <alignment horizontal="center"/>
    </xf>
    <xf numFmtId="1" fontId="4" fillId="0" borderId="120" xfId="3" applyNumberFormat="1" applyFont="1" applyBorder="1" applyAlignment="1">
      <alignment horizontal="center"/>
    </xf>
    <xf numFmtId="1" fontId="4" fillId="0" borderId="121" xfId="3" applyNumberFormat="1" applyFont="1" applyBorder="1" applyAlignment="1">
      <alignment horizontal="center"/>
    </xf>
    <xf numFmtId="1" fontId="4" fillId="0" borderId="122" xfId="3" applyNumberFormat="1" applyFont="1" applyBorder="1" applyAlignment="1">
      <alignment horizontal="center"/>
    </xf>
    <xf numFmtId="1" fontId="4" fillId="0" borderId="69" xfId="3" applyNumberFormat="1" applyFont="1" applyBorder="1" applyAlignment="1">
      <alignment horizontal="center"/>
    </xf>
    <xf numFmtId="1" fontId="4" fillId="0" borderId="123" xfId="3" applyNumberFormat="1" applyFont="1" applyBorder="1" applyAlignment="1">
      <alignment horizontal="center"/>
    </xf>
    <xf numFmtId="0" fontId="1" fillId="12" borderId="26" xfId="3" applyFont="1" applyFill="1" applyBorder="1" applyAlignment="1">
      <alignment horizontal="center" vertical="center"/>
    </xf>
    <xf numFmtId="0" fontId="1" fillId="12" borderId="27" xfId="3" applyFont="1" applyFill="1" applyBorder="1" applyAlignment="1">
      <alignment horizontal="center" vertical="center"/>
    </xf>
    <xf numFmtId="0" fontId="1" fillId="12" borderId="62" xfId="3" applyFont="1" applyFill="1" applyBorder="1" applyAlignment="1">
      <alignment horizontal="center" vertical="center"/>
    </xf>
    <xf numFmtId="0" fontId="1" fillId="7" borderId="18" xfId="3" applyFont="1" applyFill="1" applyBorder="1" applyAlignment="1">
      <alignment horizontal="center" vertical="center"/>
    </xf>
    <xf numFmtId="0" fontId="4" fillId="3" borderId="114" xfId="3" applyFont="1" applyFill="1" applyBorder="1" applyAlignment="1">
      <alignment horizontal="center" vertical="center"/>
    </xf>
    <xf numFmtId="0" fontId="4" fillId="3" borderId="124" xfId="3" applyFont="1" applyFill="1" applyBorder="1" applyAlignment="1">
      <alignment horizontal="center" vertical="center"/>
    </xf>
    <xf numFmtId="0" fontId="1" fillId="7" borderId="125" xfId="3" applyFont="1" applyFill="1" applyBorder="1" applyAlignment="1">
      <alignment horizontal="center" vertical="center"/>
    </xf>
    <xf numFmtId="0" fontId="1" fillId="7" borderId="126" xfId="3" applyFont="1" applyFill="1" applyBorder="1" applyAlignment="1">
      <alignment horizontal="center" vertical="center"/>
    </xf>
    <xf numFmtId="0" fontId="4" fillId="3" borderId="127" xfId="3" applyFont="1" applyFill="1" applyBorder="1" applyAlignment="1">
      <alignment horizontal="center" vertical="center"/>
    </xf>
    <xf numFmtId="0" fontId="1" fillId="0" borderId="126" xfId="3" applyFont="1" applyBorder="1" applyAlignment="1">
      <alignment horizontal="center" vertical="center"/>
    </xf>
    <xf numFmtId="0" fontId="1" fillId="0" borderId="128" xfId="3" applyFont="1" applyBorder="1" applyAlignment="1">
      <alignment horizontal="center" vertical="center"/>
    </xf>
    <xf numFmtId="0" fontId="1" fillId="7" borderId="13" xfId="3" applyFont="1" applyFill="1" applyBorder="1" applyAlignment="1">
      <alignment horizontal="center" vertical="center"/>
    </xf>
    <xf numFmtId="0" fontId="1" fillId="12" borderId="15" xfId="3" applyFont="1" applyFill="1" applyBorder="1" applyAlignment="1">
      <alignment horizontal="center" vertical="center"/>
    </xf>
    <xf numFmtId="0" fontId="4" fillId="18" borderId="114" xfId="3" applyFont="1" applyFill="1" applyBorder="1" applyAlignment="1">
      <alignment horizontal="center" vertical="center"/>
    </xf>
    <xf numFmtId="0" fontId="0" fillId="0" borderId="14" xfId="3" applyFont="1" applyBorder="1" applyAlignment="1">
      <alignment horizontal="center" vertical="center"/>
    </xf>
    <xf numFmtId="0" fontId="0" fillId="0" borderId="15" xfId="3" applyFont="1" applyBorder="1" applyAlignment="1">
      <alignment horizontal="center" vertical="center"/>
    </xf>
    <xf numFmtId="0" fontId="1" fillId="12" borderId="59" xfId="3" applyFont="1" applyFill="1" applyBorder="1" applyAlignment="1">
      <alignment horizontal="center" vertical="center"/>
    </xf>
    <xf numFmtId="0" fontId="1" fillId="12" borderId="92" xfId="3" applyFont="1" applyFill="1" applyBorder="1" applyAlignment="1">
      <alignment horizontal="center" vertical="center"/>
    </xf>
    <xf numFmtId="0" fontId="1" fillId="12" borderId="95" xfId="3" applyFont="1" applyFill="1" applyBorder="1" applyAlignment="1">
      <alignment horizontal="center" vertical="center"/>
    </xf>
    <xf numFmtId="0" fontId="1" fillId="12" borderId="65" xfId="3" applyFont="1" applyFill="1" applyBorder="1" applyAlignment="1">
      <alignment horizontal="center" vertical="center"/>
    </xf>
    <xf numFmtId="0" fontId="1" fillId="12" borderId="94" xfId="3" applyFont="1" applyFill="1" applyBorder="1" applyAlignment="1">
      <alignment horizontal="center" vertical="center"/>
    </xf>
    <xf numFmtId="0" fontId="1" fillId="12" borderId="66" xfId="3" applyFont="1" applyFill="1" applyBorder="1" applyAlignment="1">
      <alignment horizontal="center" vertical="center"/>
    </xf>
    <xf numFmtId="0" fontId="4" fillId="9" borderId="114" xfId="3" applyFont="1" applyFill="1" applyBorder="1" applyAlignment="1">
      <alignment horizontal="center" vertical="center"/>
    </xf>
    <xf numFmtId="0" fontId="1" fillId="12" borderId="14" xfId="3" applyFont="1" applyFill="1" applyBorder="1" applyAlignment="1">
      <alignment horizontal="center" vertical="center"/>
    </xf>
    <xf numFmtId="0" fontId="17" fillId="0" borderId="9" xfId="3" applyFont="1" applyBorder="1"/>
    <xf numFmtId="0" fontId="6" fillId="8" borderId="10" xfId="3" applyFont="1" applyFill="1" applyBorder="1" applyAlignment="1">
      <alignment horizontal="center"/>
    </xf>
    <xf numFmtId="0" fontId="6" fillId="8" borderId="0" xfId="3" applyFont="1" applyFill="1" applyBorder="1" applyAlignment="1">
      <alignment horizontal="center"/>
    </xf>
    <xf numFmtId="0" fontId="6" fillId="8" borderId="5" xfId="3" applyFont="1" applyFill="1" applyBorder="1" applyAlignment="1">
      <alignment horizontal="center"/>
    </xf>
    <xf numFmtId="0" fontId="6" fillId="8" borderId="4" xfId="3" applyFont="1" applyFill="1" applyBorder="1" applyAlignment="1">
      <alignment horizontal="center"/>
    </xf>
    <xf numFmtId="0" fontId="6" fillId="8" borderId="6" xfId="3" applyFont="1" applyFill="1" applyBorder="1" applyAlignment="1">
      <alignment horizontal="center"/>
    </xf>
    <xf numFmtId="0" fontId="6" fillId="8" borderId="7" xfId="3" applyFont="1" applyFill="1" applyBorder="1" applyAlignment="1">
      <alignment horizontal="center"/>
    </xf>
    <xf numFmtId="0" fontId="6" fillId="8" borderId="8" xfId="3" applyFont="1" applyFill="1" applyBorder="1" applyAlignment="1">
      <alignment horizontal="center"/>
    </xf>
    <xf numFmtId="0" fontId="6" fillId="8" borderId="11" xfId="3" applyFont="1" applyFill="1" applyBorder="1" applyAlignment="1">
      <alignment horizontal="center"/>
    </xf>
    <xf numFmtId="0" fontId="6" fillId="8" borderId="47" xfId="3" applyFont="1" applyFill="1" applyBorder="1" applyAlignment="1">
      <alignment horizontal="center"/>
    </xf>
    <xf numFmtId="0" fontId="6" fillId="8" borderId="48" xfId="3" applyFont="1" applyFill="1" applyBorder="1" applyAlignment="1">
      <alignment horizontal="center"/>
    </xf>
    <xf numFmtId="0" fontId="6" fillId="8" borderId="39" xfId="3" applyFont="1" applyFill="1" applyBorder="1" applyAlignment="1">
      <alignment horizontal="center"/>
    </xf>
    <xf numFmtId="0" fontId="6" fillId="8" borderId="40" xfId="3" applyFont="1" applyFill="1" applyBorder="1" applyAlignment="1">
      <alignment horizontal="center"/>
    </xf>
    <xf numFmtId="0" fontId="6" fillId="8" borderId="46" xfId="3" applyFont="1" applyFill="1" applyBorder="1" applyAlignment="1">
      <alignment horizontal="center"/>
    </xf>
    <xf numFmtId="0" fontId="6" fillId="8" borderId="67" xfId="3" applyFont="1" applyFill="1" applyBorder="1" applyAlignment="1">
      <alignment horizontal="center"/>
    </xf>
    <xf numFmtId="0" fontId="6" fillId="8" borderId="68" xfId="3" applyFont="1" applyFill="1" applyBorder="1" applyAlignment="1">
      <alignment horizontal="center"/>
    </xf>
    <xf numFmtId="0" fontId="6" fillId="8" borderId="69" xfId="3" applyFont="1" applyFill="1" applyBorder="1" applyAlignment="1">
      <alignment horizontal="center"/>
    </xf>
    <xf numFmtId="0" fontId="6" fillId="8" borderId="78" xfId="3" applyFont="1" applyFill="1" applyBorder="1" applyAlignment="1">
      <alignment horizontal="center"/>
    </xf>
    <xf numFmtId="0" fontId="6" fillId="8" borderId="79" xfId="3" applyFont="1" applyFill="1" applyBorder="1" applyAlignment="1">
      <alignment horizontal="center"/>
    </xf>
    <xf numFmtId="0" fontId="6" fillId="8" borderId="83" xfId="3" applyFont="1" applyFill="1" applyBorder="1" applyAlignment="1">
      <alignment horizontal="center"/>
    </xf>
  </cellXfs>
  <cellStyles count="4">
    <cellStyle name="cf1" xfId="1" xr:uid="{00000000-0005-0000-0000-000000000000}"/>
    <cellStyle name="cf2" xfId="2" xr:uid="{00000000-0005-0000-0000-000001000000}"/>
    <cellStyle name="Normal" xfId="0" builtinId="0" customBuiltin="1"/>
    <cellStyle name="Normal 2" xfId="3" xr:uid="{00000000-0005-0000-0000-000003000000}"/>
  </cellStyles>
  <dxfs count="57">
    <dxf>
      <fill>
        <patternFill patternType="solid">
          <fgColor auto="1"/>
          <bgColor indexed="6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auto="1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316</xdr:col>
      <xdr:colOff>347382</xdr:colOff>
      <xdr:row>0</xdr:row>
      <xdr:rowOff>44823</xdr:rowOff>
    </xdr:from>
    <xdr:to>
      <xdr:col>345</xdr:col>
      <xdr:colOff>0</xdr:colOff>
      <xdr:row>4</xdr:row>
      <xdr:rowOff>179294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20306353" y="44823"/>
          <a:ext cx="10051676" cy="907677"/>
        </a:xfrm>
        <a:prstGeom prst="rect">
          <a:avLst/>
        </a:prstGeom>
        <a:solidFill>
          <a:schemeClr val="lt1"/>
        </a:solidFill>
        <a:ln w="9525" cmpd="dbl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>
              <a:solidFill>
                <a:srgbClr val="FF0000"/>
              </a:solidFill>
            </a:rPr>
            <a:t>- Versión</a:t>
          </a:r>
          <a:r>
            <a:rPr lang="es-ES" sz="1050" baseline="0">
              <a:solidFill>
                <a:srgbClr val="FF0000"/>
              </a:solidFill>
            </a:rPr>
            <a:t> 5.15. </a:t>
          </a:r>
          <a:r>
            <a:rPr lang="es-ES" sz="1050">
              <a:solidFill>
                <a:srgbClr val="FF0000"/>
              </a:solidFill>
            </a:rPr>
            <a:t>planificación en teams (ehCOS CLINIC - General\02_Gestión\Planificación. F</a:t>
          </a:r>
          <a:r>
            <a:rPr lang="es-ES" sz="1050" baseline="0">
              <a:solidFill>
                <a:srgbClr val="FF0000"/>
              </a:solidFill>
            </a:rPr>
            <a:t>echa de fin de desarrollo 26 de febrero( facturación MC se alargaría hasta el 5 de Marzo)</a:t>
          </a:r>
        </a:p>
        <a:p>
          <a:r>
            <a:rPr lang="es-ES" sz="105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 Indicadores</a:t>
          </a:r>
          <a:r>
            <a:rPr lang="es-ES" sz="105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de Pentaho multicentro a revisar por Emilio (Aida lo confirma con Susana y Vero)</a:t>
          </a:r>
        </a:p>
        <a:p>
          <a:r>
            <a:rPr lang="es-ES" sz="1050" baseline="0">
              <a:solidFill>
                <a:srgbClr val="FF0000"/>
              </a:solidFill>
            </a:rPr>
            <a:t>- Unificar componentes de </a:t>
          </a:r>
          <a:r>
            <a:rPr lang="es-ES" sz="105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Escalas: opción de generar pdf para escalas existentes para modo consulta y quitar el de escalas de clinic .</a:t>
          </a:r>
          <a:r>
            <a:rPr lang="es-ES" sz="105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</a:t>
          </a:r>
          <a:r>
            <a:rPr lang="es-ES" sz="105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igración de escalas de un módulo a otro.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 Panel de escalas  para hoja de enfermería está en UCI: habría que sacarlo al módulo de escalas o similar a drenajes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s-ES" sz="1050">
              <a:solidFill>
                <a:srgbClr val="FF0000"/>
              </a:solidFill>
            </a:rPr>
            <a:t>versionado por componentes posiblemente para la 5.16. Cambios en SVN para los productos, reorganización de los scripts generados para los desarrollos. </a:t>
          </a:r>
        </a:p>
      </xdr:txBody>
    </xdr:sp>
    <xdr:clientData/>
  </xdr:twoCellAnchor>
  <xdr:twoCellAnchor>
    <xdr:from>
      <xdr:col>344</xdr:col>
      <xdr:colOff>354106</xdr:colOff>
      <xdr:row>0</xdr:row>
      <xdr:rowOff>40341</xdr:rowOff>
    </xdr:from>
    <xdr:to>
      <xdr:col>376</xdr:col>
      <xdr:colOff>0</xdr:colOff>
      <xdr:row>4</xdr:row>
      <xdr:rowOff>174812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30353547" y="40341"/>
          <a:ext cx="11120718" cy="907677"/>
        </a:xfrm>
        <a:prstGeom prst="rect">
          <a:avLst/>
        </a:prstGeom>
        <a:solidFill>
          <a:schemeClr val="lt1"/>
        </a:solidFill>
        <a:ln w="9525" cmpd="dbl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>
              <a:solidFill>
                <a:srgbClr val="FF0000"/>
              </a:solidFill>
            </a:rPr>
            <a:t>Desarrollos</a:t>
          </a:r>
          <a:r>
            <a:rPr lang="es-ES" sz="1050" baseline="0">
              <a:solidFill>
                <a:srgbClr val="FF0000"/>
              </a:solidFill>
            </a:rPr>
            <a:t> Portugal: E</a:t>
          </a:r>
          <a:r>
            <a:rPr lang="pt-PT" sz="11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HCOSPROD-38944, EHCOSPROD-38992, EHCOSPROD-39089, </a:t>
          </a:r>
          <a:r>
            <a:rPr lang="pt-PT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EHCOSPROD-39378,</a:t>
          </a:r>
          <a:r>
            <a:rPr lang="pt-PT" sz="11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PT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EHCOSPROD-39410</a:t>
          </a:r>
          <a:r>
            <a:rPr lang="pt-PT" sz="11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E</a:t>
          </a:r>
          <a:r>
            <a:rPr lang="pt-PT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HCOSPROD-39411, </a:t>
          </a:r>
          <a:r>
            <a:rPr lang="pt-PT" sz="11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EHCOSPROD-39451, E</a:t>
          </a:r>
          <a:r>
            <a:rPr lang="pt-PT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HCOSPROD-40516,</a:t>
          </a:r>
          <a:r>
            <a:rPr lang="pt-PT" sz="11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050" b="0" baseline="0">
              <a:solidFill>
                <a:srgbClr val="FF0000"/>
              </a:solidFill>
            </a:rPr>
            <a:t>EHCOSPROD-40878,  </a:t>
          </a:r>
          <a:r>
            <a:rPr lang="pt-PT" sz="11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pt-PT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EHCOSPROD-41702,</a:t>
          </a:r>
          <a:r>
            <a:rPr lang="pt-PT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PT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EHCOSPROD-43395</a:t>
          </a:r>
          <a:endParaRPr lang="es-ES" sz="1050" b="0">
            <a:solidFill>
              <a:srgbClr val="FF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is Roberto Galvan Mena" id="{96C8177D-4DEA-44D2-AA01-3A38ABB12841}" userId="Luis Roberto Galvan Mena" providerId="None"/>
  <person displayName="Luis Roberto Galvan Mena" id="{0A70E7DC-C7E8-4166-9E92-536789E25B82}" userId="S::lgalvanm@everis.com::650ea526-4774-4d17-a13e-3d9bd229e290" providerId="AD"/>
  <person displayName="Marcos Suñen Lajusticia" id="{BD1330D9-4FEF-4715-8C6A-15F4CBFCA3FD}" userId="S::msunenla@everis.com::5bd82ef2-8762-4339-b61a-a9f2c3a46f44" providerId="AD"/>
  <person displayName="Mario Orlando Valladares Ferreira" id="{85375F82-BEAD-4443-8C33-F668B9E3206E}" userId="S::mvallada@everis.com::24a924bd-8071-4f77-91a6-c05cef5cb1b4" providerId="AD"/>
  <person displayName="Marcela Alejandra Alvarado Jara" id="{AFB615D2-4788-4E07-BCAA-9592D2CDFDC2}" userId="S::malvaraj@emeal.nttdata.com::8563baee-42e9-4727-bf3e-2d69f74ddf48" providerId="AD"/>
  <person displayName="Marcos Suñen Lajusticia" id="{131F0503-5C5C-485C-B315-093A9477DF4B}" userId="S::msunenla@emeal.nttdata.com::5bd82ef2-8762-4339-b61a-a9f2c3a46f4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V10" dT="2021-03-16T12:29:12.25" personId="{85375F82-BEAD-4443-8C33-F668B9E3206E}" id="{8904DBF2-FD46-4B3B-854E-0780CE601FD5}">
    <text>Tareas planificadas:
EHCOSPROD-40310: Evolutivo oncología historia clínica (Se pausa está semana) Finalizar parte 1 de evolutivo.
Avance:
EHCOSPROD-40310: Evolutivo oncología historia clínica (Se pausa está semana), ejecución manual
Tareas no contempladas evolutivo
Backlog:</text>
  </threadedComment>
  <threadedComment ref="MW10" dT="2021-03-16T12:29:12.25" personId="{85375F82-BEAD-4443-8C33-F668B9E3206E}" id="{8904DBF2-FD46-4B3C-854E-0780CE601FD5}">
    <text>Tareas planificadas:
EHCOSPROD-40310: Evolutivo oncología historia clínica (Se pausa está semana) Finalizar parte 1 de evolutivo.
Avance:
EHCOSPROD-40310: Evolutivo oncología historia clínica (Se pausa está semana), ejecución manual
Tareas no contempladas evolutivo
Backlog:</text>
  </threadedComment>
  <threadedComment ref="MX10" dT="2021-03-16T12:29:12.25" personId="{85375F82-BEAD-4443-8C33-F668B9E3206E}" id="{8904DBF2-FD46-4B3D-854E-0780CE601FD5}">
    <text>Tareas planificadas:
EHCOSPROD-40310: Evolutivo oncología historia clínica (Se pausa está semana) Finalizar parte 1 de evolutivo.
Avance:
EHCOSPROD-40310: Evolutivo oncología historia clínica (Se pausa está semana), ejecución manual
Tareas no contempladas evolutivo
Backlog:</text>
  </threadedComment>
  <threadedComment ref="MV11" dT="2021-03-16T12:29:29.11" personId="{85375F82-BEAD-4443-8C33-F668B9E3206E}" id="{1A31186D-32E0-403B-B9C1-6C72BC027290}">
    <text>Tareas planificadas:
Resolución de JIRAS
Incidencias de indicadores (validar si se tendrá que revisar por el equipo de Temuco)
Avance:
Respuesta de Aida
Jiras pausados con dudas 
Asignación de Jiras a los chicos
Backlog:</text>
  </threadedComment>
  <threadedComment ref="MW11" dT="2021-03-16T12:29:29.11" personId="{85375F82-BEAD-4443-8C33-F668B9E3206E}" id="{1A31186D-32E0-403C-B9C1-6C72BC027290}">
    <text>Tareas planificadas:
Resolución de JIRAS
Incidencias de indicadores (validar si se tendrá que revisar por el equipo de Temuco)
Avance:
Respuesta de Aida
Jiras pausados con dudas 
Asignación de Jiras a los chicos
Backlog:</text>
  </threadedComment>
  <threadedComment ref="MX11" dT="2021-03-16T12:29:29.11" personId="{85375F82-BEAD-4443-8C33-F668B9E3206E}" id="{1A31186D-32E0-403D-B9C1-6C72BC027290}">
    <text>Tareas planificadas:
Resolución de JIRAS
Incidencias de indicadores (validar si se tendrá que revisar por el equipo de Temuco)
Avance:
Respuesta de Aida
Jiras pausados con dudas 
Asignación de Jiras a los chicos
Backlog:</text>
  </threadedComment>
  <threadedComment ref="MV12" dT="2021-03-16T12:30:25.77" personId="{85375F82-BEAD-4443-8C33-F668B9E3206E}" id="{3486525F-0423-441B-BC83-A3793FEDE421}">
    <text>Tareas planificadas:
Correctivos.
Avance:
Correctivos
EHCOSPROD-4462: Problema calendario de vacunas
44517: Continuación correctivo de patricio
Revisión calidad de código y Feedback
Revisión iwok
45302: Correcciones a Fullname
Backlog:</text>
  </threadedComment>
  <threadedComment ref="MW12" dT="2021-03-16T12:30:25.77" personId="{85375F82-BEAD-4443-8C33-F668B9E3206E}" id="{3486525F-0423-441C-BC83-A3793FEDE421}">
    <text>Tareas planificadas:
Correctivos.
Avance:
Correctivos
EHCOSPROD-4462: Problema calendario de vacunas
44517: Continuación correctivo de patricio
Revisión calidad de código y Feedback
Revisión iwok
45302: Correcciones a Fullname
Backlog:</text>
  </threadedComment>
  <threadedComment ref="MX12" dT="2021-03-16T12:30:25.77" personId="{85375F82-BEAD-4443-8C33-F668B9E3206E}" id="{3486525F-0423-441D-BC83-A3793FEDE421}">
    <text>Tareas planificadas:
Correctivos.
Avance:
Correctivos
EHCOSPROD-4462: Problema calendario de vacunas
44517: Continuación correctivo de patricio
Revisión calidad de código y Feedback
Revisión iwok
45302: Correcciones a Fullname
Backlog:</text>
  </threadedComment>
  <threadedComment ref="MV14" dT="2021-03-16T12:30:45.62" personId="{85375F82-BEAD-4443-8C33-F668B9E3206E}" id="{E941C854-4141-4A21-A529-9A0C19391A10}">
    <text>Tareas planificadas:
Tareas de solicitudes de despliegue
Subida scripts de Remotehs
Avance:
Despliegue trunk de Remotehs, problemas script.
Validación upgrade BBDD a la versión 2.4 de Remotehs 
Entorno 76 multi-producto y la 117 Clinic-uci con Oracle
Proceso obtención de logs para scripts de test.
Entorno 128 no se actualizó con 41024.
Backlog:</text>
  </threadedComment>
  <threadedComment ref="MW14" dT="2021-03-16T12:30:45.62" personId="{85375F82-BEAD-4443-8C33-F668B9E3206E}" id="{E941C854-4141-4A22-A529-9A0C19391A10}">
    <text>Tareas planificadas:
Tareas de solicitudes de despliegue
Subida scripts de Remotehs
Avance:
Despliegue trunk de Remotehs, problemas script.
Validación upgrade BBDD a la versión 2.4 de Remotehs 
Entorno 76 multi-producto y la 117 Clinic-uci con Oracle
Proceso obtención de logs para scripts de test.
Entorno 128 no se actualizó con 41024.
Backlog:</text>
  </threadedComment>
  <threadedComment ref="MX14" dT="2021-03-16T12:30:45.62" personId="{85375F82-BEAD-4443-8C33-F668B9E3206E}" id="{E941C854-4141-4A23-A529-9A0C19391A10}">
    <text>Tareas planificadas:
Tareas de solicitudes de despliegue
Subida scripts de Remotehs
Avance:
Despliegue trunk de Remotehs, problemas script.
Validación upgrade BBDD a la versión 2.4 de Remotehs 
Entorno 76 multi-producto y la 117 Clinic-uci con Oracle
Proceso obtención de logs para scripts de test.
Entorno 128 no se actualizó con 41024.
Backlog:</text>
  </threadedComment>
  <threadedComment ref="MV16" dT="2021-03-16T12:31:01.05" personId="{85375F82-BEAD-4443-8C33-F668B9E3206E}" id="{3620C8E7-AB8C-4C4F-BF16-E883859D032A}">
    <text xml:space="preserve">Tareas planificadas:
EHCOSPROD-41029: Evolutivo gestor solicitudes parte 2 (fines abril).
Avance:
EHCOSPROD-41029: Evolutivo gestor solicitudes parte 2, al 50%.
Backlog:
</text>
  </threadedComment>
  <threadedComment ref="MW16" dT="2021-03-16T12:31:01.05" personId="{85375F82-BEAD-4443-8C33-F668B9E3206E}" id="{3620C8E7-AB8C-4C50-BF16-E883859D032A}">
    <text xml:space="preserve">Tareas planificadas:
EHCOSPROD-41029: Evolutivo gestor solicitudes parte 2 (fines abril).
Avance:
EHCOSPROD-41029: Evolutivo gestor solicitudes parte 2, al 50%.
Backlog:
</text>
  </threadedComment>
  <threadedComment ref="MX16" dT="2021-03-16T12:31:01.05" personId="{85375F82-BEAD-4443-8C33-F668B9E3206E}" id="{3620C8E7-AB8C-4C51-BF16-E883859D032A}">
    <text xml:space="preserve">Tareas planificadas:
EHCOSPROD-41029: Evolutivo gestor solicitudes parte 2 (fines abril).
Avance:
EHCOSPROD-41029: Evolutivo gestor solicitudes parte 2, al 50%.
Backlog:
</text>
  </threadedComment>
  <threadedComment ref="MV17" dT="2021-03-16T12:31:18.07" personId="{85375F82-BEAD-4443-8C33-F668B9E3206E}" id="{F3692B9D-43F5-4EF3-B01A-921575501550}">
    <text>Tareas planificadas:
EHCOSPROD-38631 PP evolutivo facturación y reintegración al tronco.
Avance:
EHCOSPROD-38631 PP evolutivo facturación y actualización de rama
Backlog:</text>
  </threadedComment>
  <threadedComment ref="MW17" dT="2021-03-16T12:31:18.07" personId="{85375F82-BEAD-4443-8C33-F668B9E3206E}" id="{F3692B9D-43F5-4EF4-B01A-921575501550}">
    <text>Tareas planificadas:
EHCOSPROD-38631 PP evolutivo facturación y reintegración al tronco.
Avance:
EHCOSPROD-38631 PP evolutivo facturación y actualización de rama
Backlog:</text>
  </threadedComment>
  <threadedComment ref="MX17" dT="2021-03-16T12:31:18.07" personId="{85375F82-BEAD-4443-8C33-F668B9E3206E}" id="{F3692B9D-43F5-4EF5-B01A-921575501550}">
    <text>Tareas planificadas:
EHCOSPROD-38631 PP evolutivo facturación y reintegración al tronco.
Avance:
EHCOSPROD-38631 PP evolutivo facturación y actualización de rama
Backlog:</text>
  </threadedComment>
  <threadedComment ref="MQ21" dT="2021-03-10T09:12:47.05" personId="{BD1330D9-4FEF-4715-8C6A-15F4CBFCA3FD}" id="{2A20F6A6-F5E9-42C9-9108-E0D5E4918856}">
    <text>## MARCOS
Tareas planificadas:
Remote 2.4:
- [EHCOSPROD-43000] Videoconferencia N:M: ponencia y taller grupal inicio 02/03, fin 12/03
- [EHCOSPROD-42439] Videoconferencia N:M: Gestión de estados en la videoconferencia &gt; estabilización
- [EHCOSPROD-38930] daily. Soporte técnico
Estabilización:
- [EHCOSPROD-45151] Estado de las sesiones &gt; ¿Duda revisar con grecia?
Backlog:
- [EHCOSPROD-45090]	Integración de Remote con Suite CRM: desarrollos Remote
- [EHCOSPROD-45083]	Timeout al cerrar sesión en otra entidad
- [EHCOSPROD-44653] Videoconferencia individual falla
- instalación de postgres11
- [EHCOSPROD-43163] Incluir Exportación de Datos de personas - backoffice (análisis técnico)
- [EHCOSPROD-37551] informes en remote (relacionada con [EHCOSPROD-42371]: embeber pantallas de ehCOS) (desarrollo)
- resolver temas pendientes auditoría (correo RE: Resultados Auditoría Web ehcos)
- [EHCOSPROD-42558] Construir marcos - Perfil profesional/paciente, [EHCOSPROD-41456] Construir marco Remote - Backoffice (análisis técnico)
- [EHCOSPROD-38930]: daily. Soporte técnico
Avance:
- [EHCOSPROD-43000] Videoconferencia N:M: ponencia y taller grupal &gt; asignar pacientes y moderadores
- reuniones - Marcado CE - Privacy Assessment - i2cat
- Problema activacion de remote app en colombia, mexico y chile</text>
  </threadedComment>
  <threadedComment ref="MR21" dT="2021-03-11T09:53:15.25" personId="{BD1330D9-4FEF-4715-8C6A-15F4CBFCA3FD}" id="{213B020D-1E1E-49C3-AC05-AF03D638BC7D}">
    <text>## MARCOS
Tareas planificadas:
- Remote - Planificación DT marzo
- Crear tareas de i2cat para websocket de cerrar video en web y app
- Nueva tarea de Montar una BD con dump de PRE 2.3 para validar todos los scripts y rollback de la version 2.4 (comentar ricardo y sandra)
Remote 2.4:
- [EHCOSPROD-43000] Videoconferencia N:M: ponencia y taller grupal inicio 02/03, fin 12/03
- [EHCOSPROD-42439] Videoconferencia N:M: Gestión de estados en la videoconferencia &gt; estabilización
- [EHCOSPROD-38930] daily. Soporte técnico
Estabilización:
- [EHCOSPROD-45150] Videoconferencias grupales creadas desde app 
- [EHCOSPROD-45239] Videoconferencia grupal i2cat- Usuarios
- [EHCOSPROD-45240] URL sesión i2cat
Backlog:
- [EHCOSPROD-45090]	Integración de Remote con Suite CRM: desarrollos Remote
- [EHCOSPROD-45083]	Timeout al cerrar sesión en otra entidad
- [EHCOSPROD-44653] Videoconferencia individual falla
- instalación de postgres11
- Versión 2.4.1: fecha liberación el 5 de abril - estimaciones
- Versión 2.5: fecha liberación el 3 de mayo
- Integración con informes - logica</text>
  </threadedComment>
  <threadedComment ref="MR21" dT="2021-03-12T09:45:14.00" personId="{BD1330D9-4FEF-4715-8C6A-15F4CBFCA3FD}" id="{FF184CCD-72EC-4665-81CF-43850D91A575}" parentId="{213B020D-1E1E-49C3-AC05-AF03D638BC7D}">
    <text>Avance:
- Videoconferencia N:M: ponencia y taller grupal
- reuniones - Remote - Seguimiento 2.4 y próximas prioridades - Presentacion por producto
- Documento liberacion 2.3.8</text>
  </threadedComment>
  <threadedComment ref="MS21" dT="2021-03-12T09:46:45.94" personId="{BD1330D9-4FEF-4715-8C6A-15F4CBFCA3FD}" id="{B095457F-DD03-45E6-B9BB-29929E15C924}">
    <text>## MARCOS
Tareas planificadas:
Remote 2.4:
- [EHCOSPROD-43000] Videoconferencia N:M: ponencia y taller grupal inicio 02/03, fin 12/03
- [EHCOSPROD-43639] Cambios Servicios videoconferencia inicio 02/03, fin 12/03
- Crear tareas de i2cat para websocket de cerrar video en web y app
Estabilización:
- [EHCOSPROD-45238] Error videoconferencia paciente tutorizado 
- [EHCOSPROD-45150] Videoconferencias grupales creadas desde app 
- [EHCOSPROD-45239] Videoconferencia grupal i2cat- Usuarios
- [EHCOSPROD-44653] Videoconferencia individual falla
Backlog:
- [EHCOSPROD-45090]	Integración de Remote con Suite CRM: desarrollos Remote
- [EHCOSPROD-45083]	Timeout al cerrar sesión en otra entidad
- instalación de postgres11
- Versión 2.4.1: fecha liberación el 5 de abril - estimaciones
- Versión 2.5: fecha liberación el 3 de mayo
- Integración con informes - logica</text>
  </threadedComment>
  <threadedComment ref="MS21" dT="2021-03-15T09:08:12.26" personId="{BD1330D9-4FEF-4715-8C6A-15F4CBFCA3FD}" id="{0CCBEE85-95E1-488C-95B7-4BB9ED54E93C}" parentId="{B095457F-DD03-45E6-B9BB-29929E15C924}">
    <text>Avance:
- [EHCOSPROD-43000] Videoconferencia N:M: ponencia y taller grupal
&gt; terminada
- [EHCOSPROD-45129] Videoconferencia N:M i2cat api 
&gt; terminada
- [EHCOSPROD-43639] Cambios Servicios videoconferencia inicio 02/03, fin 12/03
&gt; terminada</text>
  </threadedComment>
  <threadedComment ref="MV21" dT="2021-03-15T09:17:55.74" personId="{BD1330D9-4FEF-4715-8C6A-15F4CBFCA3FD}" id="{E3DDC50A-0AE4-4C6A-9B2C-C39B269959F6}">
    <text xml:space="preserve">## MARCOS
Tareas planificadas:
Remote 2.4:
- DT tareas de i2cat para websocket de cerrar video en web y app
Estabilización:
- [EHCOSPROD-45239] Videoconferencia grupal i2cat- Usuarios
- [EHCOSPROD-44653] Videoconferencia individual falla
Backlog:
- [EHCOSPROD-45083]	Timeout al cerrar sesión en otra entidad
- instalación de postgres11
- Versión 2.4.1: fecha liberación el 5 de abril - estimaciones
- Versión 2.5: fecha liberación el 3 de mayo
- Integración con informes - logica
</text>
  </threadedComment>
  <threadedComment ref="MV21" dT="2021-03-16T09:54:40.63" personId="{BD1330D9-4FEF-4715-8C6A-15F4CBFCA3FD}" id="{9ADE9833-70BF-4E96-84D8-FF183449FD65}" parentId="{E3DDC50A-0AE4-4C6A-9B2C-C39B269959F6}">
    <text>Avance:
- [EHCOSPROD-43000] Videoconferencia N:M: ponencia y taller grupal
&gt; pruebas y merge
- [EHCOSPROD-45394] Problema de CORS con i2cat
&gt; problema cors con i2cat
- [EHCOSPROD-44653] Videoconferencia individual falla
&gt; incluido firebase background notification</text>
  </threadedComment>
  <threadedComment ref="MW21" dT="2021-03-16T15:49:47.10" personId="{BD1330D9-4FEF-4715-8C6A-15F4CBFCA3FD}" id="{8F70B2C4-7C31-41AF-80DE-8D8241311926}">
    <text>## MARCOS
Estimar:
- [EHCOSPROD-45357] Crear acción websocket para cierre de webview 
- [EHCOSPROD-45356] Backend. Recibir evento de salid de último moderador o cierre de sesión 
- [EHCOSPROD-43163] Exportación datos de personas - DT - fin 18/03/21
Tareas planificadas:
- [EHCOSPROD-43000] Videoconferencia N:M: ponencia y taller grupal 
&gt; Pendiente Rollback, DL
Pendiente v2.4:
- [EHCOSPROD-45239] Videoconferencia grupal i2cat- Usuarios
- [EHCOSPROD-43534] Envío de estados y participantes videoconferencia 
Backlog:
- instalación de postgres11
- Versión 2.4.1: fecha liberación el 5 de abril - estimaciones
- Versión 2.5: fecha liberación el 3 de mayo
- Integración con informes - logica</text>
  </threadedComment>
  <threadedComment ref="MW21" dT="2021-03-17T09:20:32.63" personId="{BD1330D9-4FEF-4715-8C6A-15F4CBFCA3FD}" id="{F55537A0-8576-4F1A-9C5F-CBE6648A9BD5}" parentId="{8F70B2C4-7C31-41AF-80DE-8D8241311926}">
    <text>Avance:
-----------------------------------
- [EHCOSPROD-45356] Backend. Recibir evento de salid de último moderador o cierre de sesión 
&gt; realizado DT
- [EHCOSPROD-43534] Envío de estados y participantes videoconferencia 
&gt; terminado</text>
  </threadedComment>
  <threadedComment ref="MX21" dT="2021-03-17T09:21:04.47" personId="{BD1330D9-4FEF-4715-8C6A-15F4CBFCA3FD}" id="{809E56C4-59A5-4CCD-B56C-9DA486FB96FB}">
    <text>## MARCOS
Devueltas:
- [EHCOSPROD-45425] Programación de citas - ponencia y taller grupal 
- [EHCOSPROD-45426] Video grupal instantánea - sesión y taller grupal 
- [EHCOSPROD-43639] Cambios Servicios videoconferencia 
- [EHCOSPROD-45238] Error videoconferencia paciente tutorizado 
Tareas planificadas:
- [EHCOSPROD-43163] Exportación datos de personas - DT - fin 18/03/21
- Remote - Indicadores de uso
- [EHCOSPROD-43000] Videoconferencia N:M: ponencia y taller grupal 
&gt; Pendiente Rollback, DL
Backlog:
- instalación de postgres11
- Versión 2.4: fecha liberación el 22 de marzo - estimaciones
- Versión 2.4.1: fecha liberación el 5 de abril - estimaciones
- Versión 2.5: fecha liberación el 3 de mayo - estimaciones
- Integración con informes - logica</text>
  </threadedComment>
  <threadedComment ref="MX21" dT="2021-03-18T08:57:25.19" personId="{BD1330D9-4FEF-4715-8C6A-15F4CBFCA3FD}" id="{CE94AF8B-B93F-4083-8BB1-332640DF9999}" parentId="{809E56C4-59A5-4CCD-B56C-9DA486FB96FB}">
    <text>Avance:
-----------------------------------
- [EHCOSPROD-45425] Programación de citas - ponencia y taller grupal 
&gt; terminada
- [EHCOSPROD-45426] Video grupal instantánea - sesión y taller grupal 
&gt; Revisar en reunión, preparado DT y explicado a osvaldo
- [EHCOSPROD-43639] Cambios Servicios videoconferencia 
&gt; terminada</text>
  </threadedComment>
  <threadedComment ref="MY21" dT="2021-03-18T08:57:09.59" personId="{BD1330D9-4FEF-4715-8C6A-15F4CBFCA3FD}" id="{4D3568A2-635F-4EC8-8703-A8B8201E2031}">
    <text xml:space="preserve">## MARCOS
Devueltas:
- [EHCOSPROD-45238] Error videoconferencia paciente tutorizado &gt; en progreso
- [EHCOSPROD-45506] Chat Videoconferencia. Se cae la página
- [EHCOSPROD-45508] Videoconferencia. Falla de websocket &gt; dudas en jira
- [EHCOSPROD-45510] Errores al Reinvitar usuarios &gt; dudas en jira
- [EHCOSPROD-44070] Servicio para recibir notificaciones de i2cat 
- [EHCOSPROD-44486] Notificaciones de inicio video 
Tareas planificadas:
- [EHCOSPROD-43163] Exportación datos de personas - DT - fin 18/03/21
- Remote - Indicadores de uso
- [EHCOSPROD-43000] Videoconferencia N:M: ponencia y taller grupal 
&gt; Pendiente Rollback, DL
Backlog:
- [EHCOSPROD-45441] [merge from 2.3.8 to trunk] Frase del dia (fase 2)
- instalación de postgres11
- Versión 2.4: fecha liberación el 22 de marzo - estimaciones
- Versión 2.4.1: fecha liberación el 5 de abril - estimaciones
- Versión 2.5: fecha liberación el 3 de mayo - estimaciones
- Integración con informes - logica
</text>
  </threadedComment>
  <threadedComment ref="MY21" dT="2021-03-19T17:44:44.17" personId="{BD1330D9-4FEF-4715-8C6A-15F4CBFCA3FD}" id="{BF032995-2490-418E-B748-0F1A29ED9A90}" parentId="{4D3568A2-635F-4EC8-8703-A8B8201E2031}">
    <text>Anterior:
-----------------------------------
- [EHCOSPROD-45238] Error videoconferencia paciente tutorizado &gt; terminado problema con LDAPUser sustituido por RPE
- [EHCOSPROD-45510] Errores al Reinvitar usuarios &gt; dudas en jira, corregido si el origen era la app falla la generacion del link
- [EHCOSPROD-45229] Integracion Wellbeling - Pruebas formato antiguo de vital data &gt; Recuperar servicios antiguos de datos vitales para mantener compatibilidad</text>
  </threadedComment>
  <threadedComment ref="MZ21" dT="2021-03-19T17:47:07.13" personId="{BD1330D9-4FEF-4715-8C6A-15F4CBFCA3FD}" id="{CCF6A328-C88E-4364-B569-43F95F4EFAB1}">
    <text xml:space="preserve">## MARCOS
Tareas planificadas:
- [EHCOSPROD-45442] [merge from 2.3.8 to trunk] Error servicio modificar usuario CSI
Devueltas:
- [EHCOSPROD-40755] Problemas con las sesiones abiertas/cerradas en videoconferencia 
- [EHCOSPROD-45510] Errores al Reinvitar usuarios 
- [EHCOSPROD-44070] Servicio para recibir notificaciones de i2cat 
- [EHCOSPROD-43534] Envío de estados y participantes videoconferencia 
- [EHCOSPROD-45508] Videoconferencia. Falla de websocket 
- [EHCOSPROD-44486] Notificaciones de inicio video 
- [EHCOSPROD-45506] Chat Videoconferencia. Se cae la página 
- [EHCOSPROD-45566] Segmentaciones ya no se envían a crm 
Bloqueadas:
- [EHCOSPROD-43000] Videoconferencia N:M: ponencia y taller grupal 
Backlog:
- [EHCOSPROD-43163] Exportación datos de personas - DT - fin 18/03/21
- Remote - Indicadores de uso
- [EHCOSPROD-43000] Videoconferencia N:M: ponencia y taller grupal 
&gt; Pendiente Rollback, DL
- [EHCOSPROD-45210] Errores creación cuestionarios &gt; PAUSADA Se pierden notificaciones.
- instalación de postgres11
- Versión 2.4: fecha liberación el 22 de marzo - estimaciones
- Versión 2.4.1: fecha liberación el 5 de abril - estimaciones
- Versión 2.5: fecha liberación el 3 de mayo - estimaciones
- Integración con informes - logica
</text>
  </threadedComment>
  <threadedComment ref="MZ21" dT="2021-03-22T09:53:11.52" personId="{BD1330D9-4FEF-4715-8C6A-15F4CBFCA3FD}" id="{A991B9B2-BD75-40E9-BFC6-4BE39D95288A}" parentId="{CCF6A328-C88E-4364-B569-43F95F4EFAB1}">
    <text>Avance:
-----------------------------------
- [EHCOSPROD-45442] [merge from 2.3.8 to trunk] Error servicio modificar usuario CSI
&gt; realizado, se hizo revert del desarrollo de frases que se subira al trunk
- [EHCOSPROD-40755] Problemas con las sesiones abiertas/cerradas en videoconferencia 
&gt; corregido, se borran TODOS los tokens de app de firebase al realizar logout.
- [EHCOSPROD-45510] Errores al Reinvitar usuarios 
&gt; corregido, error en idioma no enviaba correos
- [EHCOSPROD-44070] Servicio para recibir notificaciones de i2cat 
&gt; pausada, se puede validar parcialmente falta evento i2cat
- [EHCOSPROD-43534] Envío de estados y participantes videoconferencia 
&gt; rechazada, se puede validar parcialmente falta evento i2cat
- [EHCOSPROD-45508] Videoconferencia. Falla de websocket 
&gt; corregido, se habia roto el websocket solucionando otra incidencia
- [EHCOSPROD-44486] Notificaciones de inicio video 
&gt; corregido
- [EHCOSPROD-45506] Chat Videoconferencia. Se cae la página 
&gt; corregido</text>
  </threadedComment>
  <threadedComment ref="NC21" dT="2021-03-22T09:53:33.83" personId="{BD1330D9-4FEF-4715-8C6A-15F4CBFCA3FD}" id="{AFF1E177-D6C8-41F3-B762-53B167F8DCD8}">
    <text>## MARCOS
Tareas planificadas:
- [EHCOSPROD-43163] Exportación datos de personas - DT
- [EHCOSPROD-45084] Filtro de videoconferencias paciente - DT 
- Nuevo compañero Javier Andrés Paredes Martínez 
Devueltas:
- [EHCOSPROD-45566] Segmentaciones ya no se envían a crm 
Bloqueadas:
- [EHCOSPROD-43000] Videoconferencia N:M: ponencia y taller grupal 
- [EHCOSPROD-44070] Servicio para recibir notificaciones de i2cat 
Backlog:
- Remote - Indicadores de uso
- [EHCOSPROD-43000] Videoconferencia N:M: ponencia y taller grupal 
&gt; Pendiente Rollback, DL
- [EHCOSPROD-45210] Errores creación cuestionarios &gt; PAUSADA Se pierden notificaciones.
- instalación de postgres11
- Versión 2.4: fecha liberación el 22 de marzo - estimaciones
- Versión 2.4.1: fecha liberación el 5 de abril - estimaciones
- Versión 2.5: fecha liberación el 3 de mayo - estimaciones
- Integración con informes - logica</text>
  </threadedComment>
  <threadedComment ref="NC21" dT="2021-03-23T09:20:22.10" personId="{BD1330D9-4FEF-4715-8C6A-15F4CBFCA3FD}" id="{33B11894-ACDD-4276-AEDB-D4C6531C5D8A}" parentId="{AFF1E177-D6C8-41F3-B762-53B167F8DCD8}">
    <text>Avance:
-----------------------------------
- [EHCOSPROD-43163] Exportación datos de personas - DT
&gt; realizado
- [EHCOSPROD-45626] Videoconferencia indvidual web-app no funciona 
&gt; corregido y devuelta
- [EHCOSPROD-45566] Segmentaciones ya no se envían a crm 
&gt; corregido</text>
  </threadedComment>
  <threadedComment ref="ND21" dT="2021-03-23T09:19:36.35" personId="{BD1330D9-4FEF-4715-8C6A-15F4CBFCA3FD}" id="{5CCBFE41-560D-4BF9-ABEF-69562E9C9B18}">
    <text xml:space="preserve">## MARCOS
Tareas planificadas:
- [EHCOSPROD-45626] Videoconferencia indvidual web-app no funciona &gt; Revisar con grecia y solicitar apk
- [EHCOSPROD-45210] Errores creación cuestionarios &gt; PAUSADA Se pierden notificaciones.
- [EHCOSPROD-43000] Videoconferencia N:M: ponencia y taller grupal 
&gt; Pendiente Rollback, DL
Siguiente:
- [EHCOSPROD-45084] Filtro de videoconferencias paciente - DT 
- [EHCOSPROD-45643] Tipo de target list &gt; revisar por ana
- Matomo Google analitics &gt; Preguntar a Javier
Bloqueadas:
- [EHCOSPROD-43000] Videoconferencia N:M: ponencia y taller grupal 
- [EHCOSPROD-44070] Servicio para recibir notificaciones de i2cat 
Backlog:
- Nuevo compañero Javier Andrés Paredes Martínez 
- instalación de postgres11
- v2.4: fecha liberación el 23 de marzo - estimaciones
- v2.4.1: fecha liberación el 5 de abril - estimaciones
- v2.5: fecha liberación el 3 de mayo - estimaciones
- Integración con informes - logica
</text>
  </threadedComment>
  <threadedComment ref="ND21" dT="2021-03-24T18:00:55.66" personId="{BD1330D9-4FEF-4715-8C6A-15F4CBFCA3FD}" id="{AA7CD48C-7B7C-4235-AF87-4E7AEB6C73D0}" parentId="{5CCBFE41-560D-4BF9-ABEF-69562E9C9B18}">
    <text xml:space="preserve">Avance:
-----------------------------------
- [EHCOSPROD-45084] Filtro de videoconferencias paciente - DT 
&gt; estimado
- [EHCOSPROD-43000] Videoconferencia N:M: ponencia y taller grupal 
&gt; rollbacks
- Revisar formación y configuracion de entorno de remote para nuevo compañero
- [EHCOSPROD-45626] Videoconferencia indvidual web-app no funciona &gt; Revisar con grecia y solicitar apk
&gt; revisado, fallo en android pero no en ios, por los permisos nuevos en android
</text>
  </threadedComment>
  <threadedComment ref="NE21" dT="2021-03-24T18:01:18.08" personId="{BD1330D9-4FEF-4715-8C6A-15F4CBFCA3FD}" id="{EEBE57F8-F3C0-4A31-9058-FBB0127F67A1}">
    <text>## MARCOS
Tareas planificadas:
- [EHCOSPROD-45626] Videoconferencia individual web-app no funciona &gt; Pruebas de grecia
- [EHCOSPROD-45686] Configuración Segmentación y PC en entorno demos
Siguiente:
- [EHCOSPROD-45210] Errores creación cuestionarios &gt; PAUSADA Se pierden notificaciones.
- [EHCOSPROD-45643] Tipo de target list &gt; revisar por ana
- Matomo Google analitics &gt; Preguntar a Javier
Bloqueadas:
- [EHCOSPROD-43000] Videoconferencia N:M: ponencia y taller grupal 
- [EHCOSPROD-44070] Servicio para recibir notificaciones de i2cat 
Backlog:
- instalación de postgres11
- Integración con informes - logica</text>
  </threadedComment>
  <threadedComment ref="NF21" dT="2021-03-25T10:09:13.56" personId="{BD1330D9-4FEF-4715-8C6A-15F4CBFCA3FD}" id="{B044675A-8B82-4A4A-859E-EFDDC06644DB}">
    <text>## MARCOS
Tareas planificadas:
- [EHCOSPROD-45686] Configuración Segmentación y PC en entorno demos
- Pruebas web to android con QA y PRE
- Pruebas pirene web to android con QA y PRE
Siguiente:
- Matomo Google analitics &gt; Preguntar a Javier
Bloqueadas:
- [EHCOSPROD-43000] Videoconferencia N:M: ponencia y taller grupal 
- [EHCOSPROD-44070] Servicio para recibir notificaciones de i2cat 
Backlog:
- instalación de postgres11
- v2.4.1 - [EHCOSPROD-45210] Errores creación cuestionarios &gt; Pospuesta se pierden notificaciones al crear secciones nuevas
- Integración con informes - logica</text>
  </threadedComment>
  <threadedComment ref="NF21" dT="2021-03-26T11:04:20.84" personId="{BD1330D9-4FEF-4715-8C6A-15F4CBFCA3FD}" id="{39A897BD-1C78-4411-B0C3-E381C252E8CB}" parentId="{B044675A-8B82-4A4A-859E-EFDDC06644DB}">
    <text>- [EHCOSPROD-45686] Configuración Segmentación y PC en entorno demosarg
&gt; realizado
- Pruebas de google meet
- Pruebas web to android con QA y PRE
&gt; fix call google meet 1:1 y n:n
&gt; fix show join for patient
&gt; fix connectAsCaller in 1:1
&gt; fix in progress notification from app to web</text>
  </threadedComment>
  <threadedComment ref="NG21" personId="{96C8177D-4DEA-44D2-AA01-3A38ABB12841}" id="{94DE028A-5DEF-4FCD-B9AB-C1829D9C0A35}">
    <text>Marcos lo toma como festivo en lugar del 05/03, que era festivo y trabajó</text>
  </threadedComment>
  <threadedComment ref="NG21" dT="2021-03-26T11:04:07.30" personId="{BD1330D9-4FEF-4715-8C6A-15F4CBFCA3FD}" id="{991CC739-1DD1-40AC-A4EE-D6B7478129DA}" parentId="{94DE028A-5DEF-4FCD-B9AB-C1829D9C0A35}">
    <text>## MARCOS
Tareas planificadas:
- DL para liberacion de 2.4
- Pruebas i2cat (web-app, app-web, 1:1, session, ponencia)
- Pruebas openvidu
- Pruebas googleMeet
Siguiente:
- Matomo Google analitics &gt; Preguntar a Javier
Bloqueadas:
- [EHCOSPROD-43000] Videoconferencia N:M: ponencia y taller grupal 
- [EHCOSPROD-44070] Servicio para recibir notificaciones de i2cat 
Backlog:
- instalación de postgres11
- v2.4.1 - [EHCOSPROD-45210] Errores creación cuestionarios &gt; Pospuesta se pierden notificaciones al crear secciones nuevas
- Integración con informes - logica</text>
  </threadedComment>
  <threadedComment ref="NG21" dT="2021-03-29T08:51:20.32" personId="{BD1330D9-4FEF-4715-8C6A-15F4CBFCA3FD}" id="{FF070305-2E4B-4D8B-AE4F-CD34EE777944}" parentId="{94DE028A-5DEF-4FCD-B9AB-C1829D9C0A35}">
    <text>Avance:
-----------------------------------
- DL para liberacion de 2.4
&gt; realizado
- Pruebas con apk producto i2cat, openvidu, googleMeet (web-app, 1:1, session, ponencia) 
&gt; i2cat: corregido error web-app
&gt; openvidu: OK
&gt; googleMeet: OK n:m, se necesita dar permisos de nueva ventana
&gt; googleMeet: Error 1:1, corregido</text>
  </threadedComment>
  <threadedComment ref="NJ21" dT="2021-03-29T08:52:53.56" personId="{BD1330D9-4FEF-4715-8C6A-15F4CBFCA3FD}" id="{B49EAB25-B61E-41E8-B76C-D0A3167686E9}">
    <text>## MARCOS
Tareas planificadas:
- Revisar subida 2.4 de i2cat en PRO IM y WE
- Remote - Estimación alto nivel proceso carga datos perfil 360
- v2.4.1: EHCOSPROD-45162 Back. Chat 1:1 app &gt; DT
- v2.5: EHCOSPROD-37551 Integración con EHR: elaboración de notas de evolución &gt; DT
Siguiente:
- Matomo Google analitics &gt; Preguntar a Javier
Backlog:
- instalación de postgres11
- v2.4.1: [EHCOSPROD-45210] Errores creación cuestionarios &gt; Pospuesta se pierden notificaciones al crear secciones nuevas
- Integración con informes - logica</text>
  </threadedComment>
  <threadedComment ref="NJ21" dT="2021-03-30T09:09:44.12" personId="{BD1330D9-4FEF-4715-8C6A-15F4CBFCA3FD}" id="{D398F247-805F-44C0-A356-3F3929CFFEDF}" parentId="{B49EAB25-B61E-41E8-B76C-D0A3167686E9}">
    <text>Avance:
-----------------------------------
- [EHCOSPROD-45606] GDPR - Cambiar Google Analytics por Matomo
&gt; Preguntado a Javier, solicitar a ARQ
- Formación técnica de Argentina 
&gt; enviado correo, solicitado a Ezequiel Andrés Crotti  
- Revisar subida 2.4 de i2cat en PRO IM / WE / BCN 
&gt; enviado correo
- Revisar subida 2.4 de CRM en PRO IM y WE
&gt; enviado correo
- Remote - Estimación alto nivel proceso carga datos perfil 360
&gt; realizada
&gt; actualizar tag 2.4 con labels catalan y privilegio nm disable
&gt; conseguido permiso en firebase por roque</text>
  </threadedComment>
  <threadedComment ref="NK21" dT="2021-03-30T08:55:49.55" personId="{BD1330D9-4FEF-4715-8C6A-15F4CBFCA3FD}" id="{C99ED2EE-A9C4-4E3A-98E8-21AAE6CB0332}">
    <text>## MARCOS
Tareas planificadas:
&gt; pendiente con Ana de activar PRE BCN con video-n2n-we-pre.ehcos.com y avisar a ingrid
- Despliegue v2.4 - IM Brasil
- Despliegue v2.4 - West Europe
- v2.4.1: [EHCOSPROD-42838] Remote debe ser responsive en navegador mobile &gt; DT
- Integración con informes - logica
- v2.5: EHCOSPROD-37551 Integración con EHR: elaboración de notas de evolución &gt; DT
Backlog:
- v2.4.1: [EHCOSPROD-45210] Errores creación cuestionarios &gt; Pospuesta se pierden notificaciones al crear secciones nuevas
- Formacion tecnica de Argentina &gt; solicitado a Ezequiel Andrés Crotti  
- Indicadores de uso de Remote BCN &gt; revisar correo de Cecilia
- instalación de postgres11</text>
  </threadedComment>
  <threadedComment ref="NK21" dT="2021-03-31T09:00:38.56" personId="{BD1330D9-4FEF-4715-8C6A-15F4CBFCA3FD}" id="{D383F75F-55CE-4224-9607-A501D54B362B}" parentId="{C99ED2EE-A9C4-4E3A-98E8-21AAE6CB0332}">
    <text xml:space="preserve">Avance:
-----------------------------------
- Despliegue v2.4 - IM Brasil
&gt; realizado
- Despliegue v2.4 - West Europe
&gt; realizado
- v2.4.1: [EHCOSPROD-42838] Remote debe ser responsive en navegador mobile &gt; DT
&gt; terminado
</text>
  </threadedComment>
  <threadedComment ref="NL21" dT="2021-03-31T09:00:16.35" personId="{BD1330D9-4FEF-4715-8C6A-15F4CBFCA3FD}" id="{80DB655C-AE23-4101-A48E-5BA08692712F}">
    <text>## MARCOS
Tareas planificadas:
- Seguimiento: DAILY, JIRA, DT
- Revisar labels en catalan v2.4
- [ehCOS Remote] Req Singapur - estimar
- Estimar 2.4
Siguientes:
- Integración con informes - logica
- v2.5: EHCOSPROD-37551 Integración con EHR: elaboración de notas de evolución &gt; DT
Backlog:
- v2.4.1: [EHCOSPROD-45210] Errores creación cuestionarios &gt; Pospuesta se pierden notificaciones al crear secciones nuevas
- Formacion tecnica de Argentina &gt; solicitado a Ezequiel Andrés Crotti  
- Indicadores de uso de Remote BCN &gt; revisar correo de Cecilia
- instalación de postgres11</text>
  </threadedComment>
  <threadedComment ref="NL21" dT="2021-04-05T07:33:50.36" personId="{BD1330D9-4FEF-4715-8C6A-15F4CBFCA3FD}" id="{58EDE6A2-C5B2-4199-BB00-947797783057}" parentId="{80DB655C-AE23-4101-A48E-5BA08692712F}">
    <text>Avance:
-----------------------------------
- Seguimiento: DAILY, JIRA, DT
&gt; realizado
- Revisar labels en catalan v2.4
&gt; realizado
- Estimar 2.4.1 
&gt; realizado</text>
  </threadedComment>
  <threadedComment ref="KD22" dT="2021-01-06T15:02:28.80" personId="{85375F82-BEAD-4443-8C33-F668B9E3206E}" id="{F7BFFB88-DF8B-48B7-A308-8C3A03F9BEC8}">
    <text>Evolutivos 2.4
EHCOSPROD-42131 (50H)</text>
  </threadedComment>
  <threadedComment ref="KE22" dT="2021-01-06T15:04:04.54" personId="{85375F82-BEAD-4443-8C33-F668B9E3206E}" id="{54F3B4E4-4CFE-4795-8CC0-977AAAEA7329}">
    <text>Evolutivos 2.4
EHCOSPROD-42131 (50H)
Soporte osvaldo</text>
  </threadedComment>
  <threadedComment ref="MQ22" dT="2021-03-10T09:11:45.23" personId="{BD1330D9-4FEF-4715-8C6A-15F4CBFCA3FD}" id="{2EF22309-2F7B-4843-A7AB-DDCA41092C3C}">
    <text xml:space="preserve">## JORDI
Tareas planificadas:
Estabilización:
- [EHCOSPROD-43033] Videoconferencia N:M: notificación inicio video
- [EHCOSPROD-44486] Notificaciones de inicio video
- [EHCOSPROD-44945] No llegan las notificaciones de inicio video
- [EHCOSPROD-43195] Backend, Crear notificación push para videoconferencia NM e individual
Remote 2.4:
- [EHCOSPROD-45129] Videoconferencia N:M i2cat api 
- Presentacion por producto
Backlog:
- [EHCOSPROD-43639] Cambios Servicios videoconferencia (desarrollo junto a Marcos) ; inicio 08/03, fin 12/03
- instalación de postgres11
- [EHCOSPROD-42131] Actividad prevista y timeline Perfil 360 - Recuperar de las tablas de Remote (desarrollo)
- [EHCOSPROD-38932]: daily
Avance:
- [EHCOSPROD-44070] Servicio para recibir notificaciones de i2cat
&gt; terminado y desplegado en QA
- [EHCOSPROD-44486] Notificaciones de inicio video
&gt; Estabilizando notificaciones
</text>
  </threadedComment>
  <threadedComment ref="MR22" dT="2021-03-11T09:51:15.42" personId="{BD1330D9-4FEF-4715-8C6A-15F4CBFCA3FD}" id="{79B4AE52-6D20-493F-8D88-2A89C73F1230}">
    <text>## JORDI
Tareas planificadas:
- Presentacion por producto
Estabilización:
- [EHCOSPROD-43033] Videoconferencia N:M: notificación inicio video
- [EHCOSPROD-44486] Notificaciones de inicio video
- [EHCOSPROD-44945] No llegan las notificaciones de inicio video
- [EHCOSPROD-43195] Backend, Crear notificación push para videoconferencia NM e individual
- [EHCOSPROD-44070] Servicio para recibir notificaciones de i2cat
- [EHCOSPROD-45151] Estado de las sesiones
Remote 2.4:
- [EHCOSPROD-45129] Videoconferencia N:M i2cat api 
Backlog:
- [EHCOSPROD-43639] Cambios Servicios videoconferencia (desarrollo junto a Marcos) ; inicio 08/03, fin 12/03
- instalación de postgres11
- [EHCOSPROD-42131] Actividad prevista y timeline Perfil 360 - Recuperar de las tablas de Remote (desarrollo)
- [EHCOSPROD-38932]: daily</text>
  </threadedComment>
  <threadedComment ref="MR22" dT="2021-03-12T09:44:23.70" personId="{BD1330D9-4FEF-4715-8C6A-15F4CBFCA3FD}" id="{F085FFE1-A3A6-4F77-A99E-EA0BFD0A6067}" parentId="{79B4AE52-6D20-493F-8D88-2A89C73F1230}">
    <text>Avance:
- Presentacion por producto
- [EHCOSPROD-43195] Backend, Crear notificación push para videoconferencia NM e individual
&gt; Terminada</text>
  </threadedComment>
  <threadedComment ref="MS22" dT="2021-03-12T09:46:24.19" personId="{BD1330D9-4FEF-4715-8C6A-15F4CBFCA3FD}" id="{C5F7D6C5-F7A2-4008-8690-3FAB030DB96C}">
    <text>## JORDI
Tareas planificadas:
- [EHCOSPROD-44070] Servicio para recibir notificaciones de i2cat
- [EHCOSPROD-45151] Estado de las sesiones
- [EHCOSPROD-45240] URL sesión i2cat
- [EHCOSPROD-45129] Videoconferencia N:M i2cat api 
Estabilización:
- [EHCOSPROD-43033] Videoconferencia N:M: notificación inicio video
- [EHCOSPROD-44486] Notificaciones de inicio video
- [EHCOSPROD-44945] No llegan las notificaciones de inicio video
Backlog:
- instalación de postgres11
- [EHCOSPROD-42131] Actividad prevista y timeline Perfil 360 - Recuperar de las tablas de Remote (desarrollo)
- [EHCOSPROD-38932]: daily</text>
  </threadedComment>
  <threadedComment ref="MS22" dT="2021-03-15T09:07:23.83" personId="{BD1330D9-4FEF-4715-8C6A-15F4CBFCA3FD}" id="{CD481D8A-DE5A-4DE2-842C-554E07A613E0}" parentId="{C5F7D6C5-F7A2-4008-8690-3FAB030DB96C}">
    <text>Avance:
- [EHCOSPROD-45240] URL sesión i2cat
&gt; terminada
- [EHCOSPROD-44070] Servicio para recibir notificaciones de i2cat
&gt; terminada
- [EHCOSPROD-45151] Estado de las sesiones
&gt; terminada</text>
  </threadedComment>
  <threadedComment ref="MV22" dT="2021-03-15T09:18:11.90" personId="{BD1330D9-4FEF-4715-8C6A-15F4CBFCA3FD}" id="{B58A18B6-233A-4769-A54B-65E6401CD416}">
    <text>## JORDI
Tareas planificadas:
- [EHCOSPROD-45238] Error videoconferencia paciente tutorizado 
- [EHCOSPROD-45356] Backend. Recibir evento de salid de último moderador o cierre de sesión 
- [EHCOSPROD-45357] Crear acción websocket para cierre de webview 
Estabilización:
- [EHCOSPROD-43033] Videoconferencia N:M: notificación inicio video
- [EHCOSPROD-44486] Notificaciones de inicio video
- [EHCOSPROD-44945] No llegan las notificaciones de inicio video
Backlog:
- instalación de postgres11
- [EHCOSPROD-42131] Actividad prevista y timeline Perfil 360 - Recuperar de las tablas de Remote (desarrollo)
- [EHCOSPROD-38932]: daily</text>
  </threadedComment>
  <threadedComment ref="MV22" dT="2021-03-16T09:50:05.41" personId="{BD1330D9-4FEF-4715-8C6A-15F4CBFCA3FD}" id="{86DCDD04-3D2F-4595-9FB8-F0D94832C4FB}" parentId="{B58A18B6-233A-4769-A54B-65E6401CD416}">
    <text>Avance:
- [EHCOSPROD-45238] Error videoconferencia paciente tutorizado 
&gt; terminado
&gt; boton oculto recuperado despues de merge
- [EHCOSPROD-43033] Videoconferencia N:M: notificación inicio video
- [EHCOSPROD-44486] Notificaciones de inicio video
- [EHCOSPROD-44945] No llegan las notificaciones de inicio video
&gt; terminado y realizado pruebas apps</text>
  </threadedComment>
  <threadedComment ref="NC22" dT="2021-03-22T09:54:39.97" personId="{BD1330D9-4FEF-4715-8C6A-15F4CBFCA3FD}" id="{BDF92E37-39FF-494D-ADFE-DF0E4FD91F3A}">
    <text>## JORDI
Tareas planificadas:
- actualizar trunk y bd local
- [EHCOSPROD-44486] Notificaciones de inicio video 
- [EHCOSPROD-45508] Videoconferencia. Falla de websocket 
- [EHCOSPROD-45356] Backend. Recibir evento de salid de último moderador o cierre de sesión 
Bloqueadas:
- [EHCOSPROD-43033] Videoconferencia N:M: notificación inicio video
Backlog:
- instalación de postgres11
- [EHCOSPROD-42131] Actividad prevista y timeline Perfil 360 - Recuperar de las tablas de Remote (desarrollo)
- [EHCOSPROD-38932]: daily</text>
  </threadedComment>
  <threadedComment ref="NC22" dT="2021-03-23T09:19:56.05" personId="{BD1330D9-4FEF-4715-8C6A-15F4CBFCA3FD}" id="{D88C99BF-E6F3-4F06-A252-570A0DE3065B}" parentId="{BDF92E37-39FF-494D-ADFE-DF0E4FD91F3A}">
    <text>Avance:
-----------------------------------
- actualizar trunk y bd local
&gt; realizado
- [EHCOSPROD-44486] Notificaciones de inicio video 
&gt; terminado
- [EHCOSPROD-45508] Videoconferencia. Falla de websocket 
&gt; terminado
- v2.4.1 - [EHCOSPROD-45356] Backend. Recibir evento de salid de último moderador o cierre de sesión - fin 29/03
&gt; iniciada
&gt; Corregido: Mostrar lista de profesionales para los pacientes </text>
  </threadedComment>
  <threadedComment ref="NC22" dT="2021-03-24T18:02:13.97" personId="{BD1330D9-4FEF-4715-8C6A-15F4CBFCA3FD}" id="{E13AB079-08A6-4ADE-B9C0-F7BCF95AF20C}" parentId="{BDF92E37-39FF-494D-ADFE-DF0E4FD91F3A}">
    <text>Avance:
-----------------------------------
&gt; Revisando &gt; Mostrar lista de profesionales para los pacientes 
&gt; Preparar BD de QA con v2.3 y actualizada a 2.4
- v2.4.1 - [EHCOSPROD-45356] Backend. Recibir evento de salida de último moderador o cierre de sesión - fin 29/03
&gt; avanzando</text>
  </threadedComment>
  <threadedComment ref="ND22" dT="2021-03-23T09:18:54.10" personId="{BD1330D9-4FEF-4715-8C6A-15F4CBFCA3FD}" id="{9950C992-98B7-420F-9614-2858AA257264}">
    <text xml:space="preserve">## JORDI
Tareas planificadas:
- [EHCOSPROD-45629] Notificación app-web individual &gt; Revisarlo con grecia
- v2.4.1 - [EHCOSPROD-45356] Backend. Recibir evento de salida de último moderador o cierre de sesión - fin 29/03
Bloqueadas:
- [EHCOSPROD-43033] Videoconferencia N:M: notificación inicio video
Backlog:
- instalación de postgres11
- [EHCOSPROD-42131] Actividad prevista y timeline Perfil 360 - Recuperar de las tablas de Remote (desarrollo)
- [EHCOSPROD-38932]: daily
</text>
  </threadedComment>
  <threadedComment ref="ND22" dT="2021-03-24T18:05:22.95" personId="{BD1330D9-4FEF-4715-8C6A-15F4CBFCA3FD}" id="{3F350578-DEE5-4ED0-ACA7-3C8E5B8CFE11}" parentId="{9950C992-98B7-420F-9614-2858AA257264}">
    <text xml:space="preserve">Avance:
-----------------------------------
- [EHCOSPROD-45629] Notificación app-web individual &gt; Revisarlo con grecia
&gt; pruebas con grecia, se corrigio y se valido con android, en ios no se estaba añadiendo el paciente a la sala.
&gt; Revisando Mostrar lista de profesionales para los pacientes 
</text>
  </threadedComment>
  <threadedComment ref="NE22" dT="2021-03-24T18:03:53.13" personId="{BD1330D9-4FEF-4715-8C6A-15F4CBFCA3FD}" id="{76F14657-FFD8-4223-B935-CE9390F5F45A}">
    <text>## JORDI
Tareas planificadas:
- Crear Dump de PRE para restaurar QA para validar errores de datos vitales 
- Mostrar lista de profesionales para los pacientes
- v2.4.1 - [EHCOSPROD-45356] Backend. Recibir evento de salida de último moderador o cierre de sesión - fin 29/03
Bloqueadas:
- [EHCOSPROD-43033] Videoconferencia N:M: notificación inicio video
Backlog:
- instalación de postgres11
- [EHCOSPROD-42131] Actividad prevista y timeline Perfil 360 - Recuperar de las tablas de Remote (desarrollo)
- [EHCOSPROD-38932]: daily</text>
  </threadedComment>
  <threadedComment ref="NE22" dT="2021-03-25T10:08:04.36" personId="{BD1330D9-4FEF-4715-8C6A-15F4CBFCA3FD}" id="{EB504B4B-38A8-4C9B-A0AD-C6D96A669058}" parentId="{76F14657-FFD8-4223-B935-CE9390F5F45A}">
    <text>Avance:
-----------------------------------
&gt; Revisando &gt; Mostrar lista de profesionales para los pacientes 
&gt; Preparar BD de QA con v2.3 y actualizada con scripts a 2.4
- v2.4.1 - [EHCOSPROD-45356] Backend. Recibir evento de salida de último moderador o cierre de sesión - fin 29/03
&gt; avanzando</text>
  </threadedComment>
  <threadedComment ref="NF22" dT="2021-03-25T10:09:23.68" personId="{BD1330D9-4FEF-4715-8C6A-15F4CBFCA3FD}" id="{28AAE6E9-F138-4844-8A29-DAE32D135ACD}">
    <text>## JORDI
Tareas planificadas:
- Revisar google meet en WEB y APPS - Falta la url
- v2.4.1 - [EHCOSPROD-45356] Backend. Recibir evento de salida de último moderador o cierre de sesión - fin 29/03
Bloqueadas:
- [EHCOSPROD-43033] Videoconferencia N:M: notificación inicio video
Backlog:
- instalación de postgres11
- [EHCOSPROD-42131] Actividad prevista y timeline Perfil 360 - Recuperar de las tablas de Remote (desarrollo)
- [EHCOSPROD-38932]: daily</text>
  </threadedComment>
  <threadedComment ref="NF22" dT="2021-03-26T11:04:50.06" personId="{BD1330D9-4FEF-4715-8C6A-15F4CBFCA3FD}" id="{A8B1EE48-4CFA-40F0-BA2B-7E69ABCD51C7}" parentId="{28AAE6E9-F138-4844-8A29-DAE32D135ACD}">
    <text xml:space="preserve">Avance:
-----------------------------------
&gt; Pruebas revisar google meet en WEB y APPS - Falta la url
- v2.4.1 - [EHCOSPROD-45356] Backend. Recibir evento de salida de último moderador o cierre de sesión - fin 29/03 &gt; 30/03
</text>
  </threadedComment>
  <threadedComment ref="NG22" dT="2021-03-26T11:05:01.03" personId="{BD1330D9-4FEF-4715-8C6A-15F4CBFCA3FD}" id="{B2ED0ECB-2E13-453B-8666-ABE0393D9879}">
    <text>## JORDI
Tareas planificadas:
&gt; ¿Avance evolutivo?
- v2.4.1 - [EHCOSPROD-45356] Backend. Recibir evento de salida de último moderador o cierre de sesión - fin 29/03 &gt; 30/03
Bloqueadas:
- [EHCOSPROD-43033] Videoconferencia N:M: notificación inicio video
Backlog:
- instalación de postgres11
- [EHCOSPROD-42131] Actividad prevista y timeline Perfil 360 - Recuperar de las tablas de Remote (desarrollo)
- [EHCOSPROD-38932]: daily</text>
  </threadedComment>
  <threadedComment ref="NG22" dT="2021-03-29T08:51:56.77" personId="{BD1330D9-4FEF-4715-8C6A-15F4CBFCA3FD}" id="{8CB3CC21-AF87-452C-8813-C880054ADB9E}" parentId="{B2ED0ECB-2E13-453B-8666-ABE0393D9879}">
    <text>Avance:
-----------------------------------
- v2.4.1: [EHCOSPROD-45356] Backend. Recibir evento de salida de último moderador o cierre de sesión - fin 29/03 &gt; 30/03
&gt; avanzando, pruebas puente js:java</text>
  </threadedComment>
  <threadedComment ref="NJ22" dT="2021-03-29T08:52:42.12" personId="{BD1330D9-4FEF-4715-8C6A-15F4CBFCA3FD}" id="{89AF1B04-1522-4A37-9024-2DF4C93A7BD7}">
    <text>## JORDI
Tareas planificadas:
&gt; Actualizar JIRA, si faltan tareas apuntarlo para solicitarlas a grecia
- v2.4.1: [EHCOSPROD-45356] Backend. Recibir evento de salida de último moderador o cierre de sesión - fin 29/03 &gt; 30/03
Backlog:
- instalación de postgres11
- v2.4.1: EHCOSPROD-45162 Back. Chat 1:1 app  
- [EHCOSPROD-42131] Actividad prevista y timeline Perfil 360 - Recuperar de las tablas de Remote (desarrollo)
- [EHCOSPROD-38932]: daily</text>
  </threadedComment>
  <threadedComment ref="NJ22" dT="2021-03-30T08:45:54.05" personId="{BD1330D9-4FEF-4715-8C6A-15F4CBFCA3FD}" id="{E5003383-81BA-47D0-927C-B39D5AFF9827}" parentId="{89AF1B04-1522-4A37-9024-2DF4C93A7BD7}">
    <text xml:space="preserve">Avance:
-----------------------------------
- v2.4.1: [EHCOSPROD-45356] Backend. Recibir evento de salida de último moderador o cierre de sesión - fin 29/03 &gt; 30/03
&gt; avanzando, terminado desarrollo y pendiente de documentación, pendiente de validacion local con grecia
</text>
  </threadedComment>
  <threadedComment ref="NK22" dT="2021-03-30T08:54:14.83" personId="{BD1330D9-4FEF-4715-8C6A-15F4CBFCA3FD}" id="{5297C6B4-7E63-4909-946F-A934861FAB69}">
    <text>## JORDI
Tareas planificadas:
&gt; Actualizado JIRA sobre todo de EHCOSPROD-45356, si faltan tareas apuntarlo para solicitarlas a grecia
- v2.4.1: [EHCOSPROD-45356] Backend. Recibir evento de salida de último moderador o cierre de sesión - fin 29/03 &gt; 30/03
- v2.4.1: [EHCOSPROD-45162] Back. Chat 1:1 app &gt; preparar DT
Backlog:
- instalación de postgres11
- [EHCOSPROD-42131] Actividad prevista y timeline Perfil 360 - Recuperar de las tablas de Remote (desarrollo)
- [EHCOSPROD-38932]: daily</text>
  </threadedComment>
  <threadedComment ref="NK22" dT="2021-03-31T08:59:33.27" personId="{BD1330D9-4FEF-4715-8C6A-15F4CBFCA3FD}" id="{6A1E0DE7-CD4B-4579-8749-DFAB83604905}" parentId="{5297C6B4-7E63-4909-946F-A934861FAB69}">
    <text xml:space="preserve">Avance:
-----------------------------------
- v2.4.1: [EHCOSPROD-45356] Backend. Recibir evento de salida de último moderador o cierre de sesión - fin 29/03 &gt; 30/03
&gt; documentar en api rest websocket, con ejemplos para la futura integracion de apps
- v2.4.1: [EHCOSPROD-45162] Back. Chat 1:1 app 
&gt; preparar DT
</text>
  </threadedComment>
  <threadedComment ref="NL22" dT="2021-03-31T08:59:42.15" personId="{BD1330D9-4FEF-4715-8C6A-15F4CBFCA3FD}" id="{561C4751-F08F-4F07-AD89-EF4574DD057C}">
    <text xml:space="preserve">## JORDI
Tareas planificadas:
- v2.4.1: [EHCOSPROD-45356] Backend. Recibir evento de salida de último moderador o cierre de sesión - fin 29/03 &gt; 30/03
&gt; Merge al trunk y copiar DL al onedrive
- v2.4.1: [EHCOSPROD-45162] Back. Chat 1:1 app 
&gt; preparar DT
Backlog:
- instalación de postgres11
- [EHCOSPROD-42131] Actividad prevista y timeline Perfil 360 - Recuperar de las tablas de Remote (desarrollo)
- [EHCOSPROD-38932]: daily
</text>
  </threadedComment>
  <threadedComment ref="KD23" dT="2021-01-06T15:08:28.31" personId="{85375F82-BEAD-4443-8C33-F668B9E3206E}" id="{93C0BC18-02AC-46AD-A050-AD4437DAEB21}">
    <text>EHCOSPROD-42616:
   Documentación
   Merge, debido a que la rama de   origen del evolutivo era incorrecta
Jiras 2.4
Correctivos 2.3.2</text>
  </threadedComment>
  <threadedComment ref="KE23" dT="2021-01-06T15:14:14.68" personId="{85375F82-BEAD-4443-8C33-F668B9E3206E}" id="{3221296B-1C75-4A5E-AB16-981214416EB6}">
    <text>Correctivos 2.3.2
- EHCOSPROD-43381
- EHCOSPROD-42911
Revision cambios en evolutivo EHCOSPROD-42616</text>
  </threadedComment>
  <threadedComment ref="KF23" dT="2021-01-06T15:15:36.73" personId="{85375F82-BEAD-4443-8C33-F668B9E3206E}" id="{5C01DB10-C937-49C4-890D-AD471B1867AD}">
    <text>Correctivos 2.3.2
- EHCOSPROD-42545</text>
  </threadedComment>
  <threadedComment ref="MP23" dT="2021-03-09T15:57:10.91" personId="{BD1330D9-4FEF-4715-8C6A-15F4CBFCA3FD}" id="{A9B4374C-8EDB-4881-81F5-77CE023DE641}">
    <text>Tareas planificadas:
Remote 2.4:
- [EHCOSPROD-44046] Integracion Wellbeling con pantallas de ehcos remote (desarrollo con Emilio) inicio 25/02, fin 09/03
Estabilización:
- Pendiente de validacion con Grecia
Backlog:
- Estabilización Busqueda y filtros de sesiones
- Estabilización Wellbeing
- instalación de postgres11
Avance:
- [EHCOSPROD-44046] Integracion Wellbeling con pantallas de ehcos remote 
&gt; terminado desarrollo, revisando scripts, pendiente pruebas, documentación y validación </text>
  </threadedComment>
  <threadedComment ref="MQ23" dT="2021-03-10T17:50:28.99" personId="{BD1330D9-4FEF-4715-8C6A-15F4CBFCA3FD}" id="{240AC2A1-AF5F-45DD-A789-D10B255933EF}">
    <text>## OSVALDO
Tareas planificadas:
Remote 2.4:
- [EHCOSPROD-44046] Integracion Wellbeling con pantallas de ehcos remote (desarrollo con Emilio) inicio 25/02, fin 09/03
Estabilización:
- Pendiente de validacion con Grecia
Backlog:
- Estabilización Busqueda y filtros de sesiones
- Estabilización Wellbeing
- instalación de postgres11
- Tareas back de evolutivos APP
- Cambios auditoría seguridad
Avance:</text>
  </threadedComment>
  <threadedComment ref="MQ23" dT="2021-03-11T16:24:38.36" personId="{BD1330D9-4FEF-4715-8C6A-15F4CBFCA3FD}" id="{63433B4A-399C-4D07-8255-4F94D6D80854}" parentId="{240AC2A1-AF5F-45DD-A789-D10B255933EF}">
    <text xml:space="preserve">- [EHCOSPROD-44046] Integracion Wellbeling con pantallas de ehcos remote (desarrollo con Emilio) inicio 25/02, fin 09/03
&gt; Pruebas, Problema al guardar el dato del glucometro
- [EHCOSPROD-44993] No se visualiza la sesión 
&gt; Estabilizacion, se detecta error en la validacion
</text>
  </threadedComment>
  <threadedComment ref="MR23" dT="2021-03-11T16:25:18.41" personId="{BD1330D9-4FEF-4715-8C6A-15F4CBFCA3FD}" id="{7A36200B-3822-4B04-AE0C-EB42A678CFCA}">
    <text>## OSVALDO
Tareas planificadas:
Remote 2.4:
- [EHCOSPROD-44046] Integracion Wellbeling con pantallas de ehcos remote (desarrollo con Emilio) inicio 25/02, fin 09/03
Estabilización:
- Pendiente de validacion con Grecia (44993, 45008, 45077, 45081)
Backlog:
- Estabilización Busqueda y filtros de sesiones
- Estabilización Wellbeing
- instalación de postgres11
- Tareas back de evolutivos APP
- Cambios auditoría seguridad</text>
  </threadedComment>
  <threadedComment ref="MR23" dT="2021-03-12T15:48:51.48" personId="{BD1330D9-4FEF-4715-8C6A-15F4CBFCA3FD}" id="{E1F41913-826B-4A27-8442-873C8F813434}" parentId="{7A36200B-3822-4B04-AE0C-EB42A678CFCA}">
    <text xml:space="preserve">Avance:
45081, 45077
&gt; Validadas pendiente de merge cuando se validen todos los correctivos
- [EHCOSPROD-44046] Integracion Wellbeling con pantallas de ehcos remote (desarrollo con Emilio) inicio 25/02, fin 09/03
&gt; terminada, pendiente de validar y documentación
</text>
  </threadedComment>
  <threadedComment ref="MS23" dT="2021-03-12T15:49:37.29" personId="{BD1330D9-4FEF-4715-8C6A-15F4CBFCA3FD}" id="{5820DA4E-FC5A-48F3-86DD-786418FBB6DB}">
    <text xml:space="preserve">
## OSVALDO
Tareas planificadas:
Remote 2.4.1:
- Merge de actualización con trunk y validacion de Correctivos (carpeta rama correctivo)
- Merge de integracion con trunk de Correctivos (carpeta trunk)
- Merge de actualización con trunk y validacion de Wellbeing (carpeta rama wellbeing)
- DL de Wellbeing parte web
Estabilización:
- Pendiente de validacion con Grecia (44993, 45008)
Backlog:
- Estabilización Busqueda y filtros de sesiones
- Estabilización Wellbeing
- [EHCOSPROD-43810] Error en idioma del correo de soporte técnico parte publica 
- [EHCOSPROD-45084] Filtro de videoconferencias paciente 
- instalación de postgres11
- Tareas back de evolutivos APP
- Cambios auditoría seguridad</text>
  </threadedComment>
  <threadedComment ref="MS23" dT="2021-03-15T14:42:24.17" personId="{BD1330D9-4FEF-4715-8C6A-15F4CBFCA3FD}" id="{C726E440-66F8-4840-95DC-419AC24C8E02}" parentId="{5820DA4E-FC5A-48F3-86DD-786418FBB6DB}">
    <text xml:space="preserve">Avance:
- Merge de actualización con trunk y validacion de Correctivos (carpeta rama correctivo)
- Merge de integracion con trunk de Correctivos (carpeta trunk)
- Merge de actualización con trunk y validacion de Wellbeing (carpeta rama wellbeing)
&gt; terminados
- Estabilización Wellbeing 
&gt; Pruebas con grecia, dudas con notificacion con medida
</text>
  </threadedComment>
  <threadedComment ref="MV23" dT="2021-03-15T14:50:23.69" personId="{BD1330D9-4FEF-4715-8C6A-15F4CBFCA3FD}" id="{B7E9000A-7379-4A1C-9A83-5A0841A24325}">
    <text>## OSVALDO
Tareas planificadas:
Remote 2.4.1:
- Revisar scirpts falta dispositivo de test cnoga VSM
- DL de Wellbeing parte web
- [EHCOSPROD-45378] Integracion Wellbeling - nuevo combo para notificaciones por medida 
- [EHCOSPROD-43810] Error en idioma del correo de soporte técnico parte publica 
Backlog:
- [EHCOSPROD-45084] Filtro de videoconferencias paciente 
- Estabilización Busqueda y filtros de sesiones
- Estabilización Wellbeing
- instalación de postgres11
- Tareas back de evolutivos APP
- Cambios auditoría seguridad</text>
  </threadedComment>
  <threadedComment ref="MV23" dT="2021-03-16T15:57:10.55" personId="{BD1330D9-4FEF-4715-8C6A-15F4CBFCA3FD}" id="{0FC3C222-8C3C-4AE5-85D8-B1C51EF8BEE0}" parentId="{B7E9000A-7379-4A1C-9A83-5A0841A24325}">
    <text>Avance:
-----------------------------------
- [EHCOSPROD-45378] Integracion Wellbeling - nuevo combo para notificaciones por medida 
&gt; terminado y pausado
- [EHCOSPROD-45008] No realiza búsqueda correctamente 
- [EHCOSPROD-45388] Error en Logica invitar usuario
- [EHCOSPROD-45389] búsqueda videoconferencia opción profesionales
&gt; devueltas y terminado
- Revisar scripts falta dispositivo de test cnoga VSM
&gt; terminado
- DL de Wellbeing parte web
&gt; terminado</text>
  </threadedComment>
  <threadedComment ref="MW23" dT="2021-03-16T09:56:19.40" personId="{BD1330D9-4FEF-4715-8C6A-15F4CBFCA3FD}" id="{18B08261-8EE7-40B6-A0D7-F97F87C8AD63}">
    <text>## OSVALDO
Tareas planificadas:
- [EHCOSPROD-45378] Integracion Wellbeling - nuevo combo para notificaciones por medida 
Devueltas:
- [EHCOSPROD-45077] Errores en apartado de sesiones o citas programadas
Siguiente:
- [EHCOSPROD-45356] Backend. Recibir evento de salid de último moderador o cierre de sesión 
Backlog:
- [EHCOSPROD-45084] Filtro de videoconferencias paciente 
- Estabilización Busqueda y filtros de sesiones
- Estabilización Wellbeing
- instalación de postgres11
- Tareas back de evolutivos APP
- Cambios auditoría seguridad</text>
  </threadedComment>
  <threadedComment ref="MW23" dT="2021-03-17T16:29:49.26" personId="{BD1330D9-4FEF-4715-8C6A-15F4CBFCA3FD}" id="{7317F06A-78C0-45FA-847E-400820581C15}" parentId="{18B08261-8EE7-40B6-A0D7-F97F87C8AD63}">
    <text xml:space="preserve">Avance:
-----------------------------------
- [EHCOSPROD-45077] Errores en apartado de sesiones o citas programadas
&gt; avanzando con dudas
- [EHCOSPROD-45378] Integracion Wellbeling - nuevo combo para notificaciones por medida 
&gt; terminado pendiente de validar
- [EHCOSPROD-45389] búsqueda videoconferencia opción profesionales 
&gt; terminado
</text>
  </threadedComment>
  <threadedComment ref="MX23" dT="2021-03-17T16:39:32.51" personId="{BD1330D9-4FEF-4715-8C6A-15F4CBFCA3FD}" id="{4AAC3693-4509-4654-985C-48363AB98033}">
    <text>## OSVALDO
Tareas planificadas:
- [EHCOSPROD-45077] Errores en apartado de sesiones o citas programadas
- [EHCOSPROD-45378] Integracion Wellbeling - nuevo combo para notificaciones por medida &gt; pendiente de validar con grecia
- [EHCOSPROD-45426] Video grupal instantánea - sesión y taller grupal 
Backlog:
- [EHCOSPROD-45084] Filtro de videoconferencias paciente 
- Estabilización Busqueda y filtros de sesiones
- Estabilización Wellbeing
- instalación de postgres11
- Tareas back de evolutivos APP
- Cambios auditoría seguridad</text>
  </threadedComment>
  <threadedComment ref="MX23" dT="2021-03-18T17:24:31.96" personId="{BD1330D9-4FEF-4715-8C6A-15F4CBFCA3FD}" id="{A4A4FA26-AAA5-4BEE-B55F-CB957E606EB8}" parentId="{4AAC3693-4509-4654-985C-48363AB98033}">
    <text xml:space="preserve">Avance:
-----------------------------------
- [EHCOSPROD-45077] Errores en apartado de sesiones o citas programadas 
&gt; terminada
- [EHCOSPROD-45378] Integracion Wellbeling - nuevo combo para notificaciones por medida 
&gt; terminada
- [EHCOSPROD-45520] Al buscar por profesionales desaparecen las sesiones
&gt; avanzando y pendiente de pruebas
</text>
  </threadedComment>
  <threadedComment ref="MY23" dT="2021-03-18T17:25:56.63" personId="{BD1330D9-4FEF-4715-8C6A-15F4CBFCA3FD}" id="{D48D48E8-8A0C-4C3C-A6AA-EA8AF7F90A79}">
    <text>## OSVALDO
Tareas planificadas:
- [EHCOSPROD-45520] Al buscar por profesionales desaparecen las sesiones 
- [EHCOSPROD-45426] Video grupal instantánea - sesión y taller grupal 
- Nuevo JIRA para nuevo tipo de appointment individual
Backlog:
- [EHCOSPROD-45084] Filtro de videoconferencias paciente 
- Estabilización Busqueda y filtros de sesiones
- Estabilización Wellbeing
- instalación de postgres11
- Tareas back de evolutivos APP
- Cambios auditoría seguridad</text>
  </threadedComment>
  <threadedComment ref="MY23" dT="2021-03-19T17:43:22.30" personId="{BD1330D9-4FEF-4715-8C6A-15F4CBFCA3FD}" id="{FC4AC574-BE8F-4688-A709-49393E474E27}" parentId="{D48D48E8-8A0C-4C3C-A6AA-EA8AF7F90A79}">
    <text xml:space="preserve">Avance:
-----------------------------------
- [EHCOSPROD-45426] Video grupal instantánea - sesión y taller grupal 
&gt; avanzando termina hoy
- [EHCOSPROD-45520] Al buscar por profesionales desaparecen las sesiones 
&gt; terminada
- [EHCOSPROD-45081] Filtro de estados no trae opciones 
&gt; devuelta y terminada
</text>
  </threadedComment>
  <threadedComment ref="MZ23" dT="2021-03-19T17:43:06.55" personId="{BD1330D9-4FEF-4715-8C6A-15F4CBFCA3FD}" id="{97282803-721F-458C-BC95-13322A34EEF2}">
    <text>## OSVALDO
Tareas planificadas:
- [EHCOSPROD-45426] Video grupal instantánea - sesión y taller grupal 
- [EHCOSPROD-45563] Citas individuales no salen en la lista de sesiones 
Bloqueadas:
- [EHCOSPROD-43020] Cambios FILTROS pantalla Videoconferencia
Backlog:
- Estabilización Busqueda y filtros de sesiones
- Estabilización Wellbeing
- instalación de postgres11
- Versión 2.4.1 EHCOSPROD-45084 Filtro de videoconferencias paciente 
- Versión 2.5: EHCOSPROD-37551 Integración con EHR: elaboración de notas de evolución </text>
  </threadedComment>
  <threadedComment ref="MZ23" dT="2021-03-22T15:09:06.82" personId="{BD1330D9-4FEF-4715-8C6A-15F4CBFCA3FD}" id="{AFA668C5-2BD6-49AE-A341-8FC7C16C19C2}" parentId="{97282803-721F-458C-BC95-13322A34EEF2}">
    <text>Avance:
-----------------------------------
- [EHCOSPROD-45426] Video grupal instantánea - sesión y taller grupal 
&gt; terminada, Pendiente de despliegue
- [EHCOSPROD-45563] Citas individuales no salen en la lista de sesiones 
&gt; terminada, pendientes de validacion antes de commit
- [EHCOSPROD-45077] Errores en apartado de sesiones o citas programadas 
&gt; terminada, pendientes de validacion antes de commit</text>
  </threadedComment>
  <threadedComment ref="NC23" dT="2021-03-22T15:08:12.48" personId="{BD1330D9-4FEF-4715-8C6A-15F4CBFCA3FD}" id="{46002589-63E9-4041-839E-35FC795F5060}">
    <text xml:space="preserve">## OSVALDO
Tareas planificadas:
- [EHCOSPROD-45563] Citas individuales no salen en la lista de sesiones 
- [EHCOSPROD-45077] Errores en apartado de sesiones o citas programadas 
- [EHCOSPROD-45588] Errores en Notificaciones de datos vitales 
Bloqueadas:
- [EHCOSPROD-43020] Cambios FILTROS pantalla Videoconferencia
Backlog:
- Estabilización Busqueda y filtros de sesiones
- Estabilización Wellbeing
- instalación de postgres11
- v2.4.1 - EHCOSPROD-45084 Filtro de videoconferencias paciente 
- v2.5: EHCOSPROD-37551 Integración con EHR: elaboración de notas de evolución 
</text>
  </threadedComment>
  <threadedComment ref="NC23" dT="2021-03-23T17:14:44.03" personId="{BD1330D9-4FEF-4715-8C6A-15F4CBFCA3FD}" id="{141168FE-8290-42B8-9655-B236B1BE159E}" parentId="{46002589-63E9-4041-839E-35FC795F5060}">
    <text>Avance:
-----------------------------------
- [EHCOSPROD-45563] Citas individuales no salen en la lista de sesiones 
&gt; terminado
- [EHCOSPROD-45077] Errores en apartado de sesiones o citas programadas 
&gt; terminado
- [EHCOSPROD-45588] Errores en Notificaciones de datos vitales 
&gt; en progreso, con pruebas de dispositivos</text>
  </threadedComment>
  <threadedComment ref="ND23" dT="2021-03-23T17:14:06.12" personId="{BD1330D9-4FEF-4715-8C6A-15F4CBFCA3FD}" id="{198D8719-F5E9-4D5E-87E1-8EC979E82239}">
    <text xml:space="preserve">## OSVALDO
Tareas planificadas:
- [EHCOSPROD-45588] Errores en Notificaciones de datos vitales 
- [EHCOSPROD-45426] Video grupal instantánea - sesión y taller grupal
- v2.4.1 - EHCOSPROD-45084 Filtro de videoconferencias paciente 
Bloqueadas:
- [EHCOSPROD-43020] Cambios FILTROS pantalla Videoconferencia
Backlog:
- Estabilización Busqueda y filtros de sesiones
- Estabilización Wellbeing
- instalación de postgres11
- v2.5: EHCOSPROD-37551 Integración con EHR: elaboración de notas de evolución 
</text>
  </threadedComment>
  <threadedComment ref="ND23" dT="2021-03-24T18:08:11.92" personId="{BD1330D9-4FEF-4715-8C6A-15F4CBFCA3FD}" id="{5DC25F7B-8BD0-452A-A2E6-D8CE2E2298C1}" parentId="{198D8719-F5E9-4D5E-87E1-8EC979E82239}">
    <text>- [EHCOSPROD-45588] Errores en Notificaciones de datos vitales 
&gt; en local no se reproduce, se prepara una bd de qa limpia para validar que es un problema de scripts.
&gt; error en info vital data</text>
  </threadedComment>
  <threadedComment ref="NE23" dT="2021-03-24T18:08:43.61" personId="{BD1330D9-4FEF-4715-8C6A-15F4CBFCA3FD}" id="{BF46C99D-5F44-4ADA-9674-9780514DACDA}">
    <text xml:space="preserve">## OSVALDO
Tareas planificadas:
- [EHCOSPROD-45588] Errores en Notificaciones de datos vitales 
- [EHCOSPROD-45426] Video grupal instantánea - sesión y taller grupal
- v2.4.1 - EHCOSPROD-45084 Filtro de videoconferencias paciente 
Bloqueadas:
- [EHCOSPROD-43020] Cambios FILTROS pantalla Videoconferencia
Backlog:
- Estabilización Busqueda y filtros de sesiones
- Estabilización Wellbeing
- instalación de postgres11
- v2.5: EHCOSPROD-37551 Integración con EHR: elaboración de notas de evolución 
</text>
  </threadedComment>
  <threadedComment ref="NE23" dT="2021-03-26T07:50:53.51" personId="{BD1330D9-4FEF-4715-8C6A-15F4CBFCA3FD}" id="{AEF56378-3209-4DCA-8C77-EA50BD59BDBD}" parentId="{BF46C99D-5F44-4ADA-9674-9780514DACDA}">
    <text>Avance:
-----------------------------------
- [EHCOSPROD-45588] Errores en Notificaciones de datos vitales 
&gt; Corregido, generando dump de QA limpio para reproducir en LOCAL, validado con grecia
- v2.4.1 - EHCOSPROD-45084 Filtro de videoconferencias paciente 
&gt; empezando evolutivo</text>
  </threadedComment>
  <threadedComment ref="NF23" dT="2021-03-26T07:50:33.28" personId="{BD1330D9-4FEF-4715-8C6A-15F4CBFCA3FD}" id="{A36E861D-7B17-48B4-B139-76B195B0510B}">
    <text xml:space="preserve">## OSVALDO
Tareas planificadas:
- v2.4.1 - EHCOSPROD-45084 Filtro de videoconferencias paciente 
Bloqueadas:
- [EHCOSPROD-43020] Cambios FILTROS pantalla Videoconferencia
Backlog:
- Estabilización Busqueda y filtros de sesiones
- Estabilización Wellbeing
- instalación de postgres11
- v2.5: EHCOSPROD-37551 Integración con EHR: elaboración de notas de evolución 
</text>
  </threadedComment>
  <threadedComment ref="NF23" dT="2021-03-26T16:38:42.63" personId="{BD1330D9-4FEF-4715-8C6A-15F4CBFCA3FD}" id="{D99E0115-D3BD-435C-A23D-7838B282DE6C}" parentId="{A36E861D-7B17-48B4-B139-76B195B0510B}">
    <text>Avance:
-----------------------------------
- v2.4.1: EHCOSPROD-45084 Filtro de videoconferencias paciente - fin 30/03
&gt; avanzando</text>
  </threadedComment>
  <threadedComment ref="NG23" dT="2021-03-26T16:41:17.44" personId="{BD1330D9-4FEF-4715-8C6A-15F4CBFCA3FD}" id="{9AFA3497-C711-433C-9687-927CAF3F40B0}">
    <text xml:space="preserve">## OSVALDO
Tareas planificadas:
- Pruebas versión 2.4 - error de hora de cita
&gt; Revisar 03_data/012 - EHCOSPROD-44046.sql ¿cfg ehrs.push_notification_typedevice?
- v2.4.1: EHCOSPROD-45084 Filtro de videoconferencias paciente - fin 30/03
Bloqueadas:
- [EHCOSPROD-43020] Cambios FILTROS pantalla Videoconferencia
Backlog:
- Estabilización Busqueda y filtros de sesiones
- Estabilización Wellbeing
- instalación de postgres11
- v2.5: EHCOSPROD-37551 Integración con EHR: elaboración de notas de evolución 
</text>
  </threadedComment>
  <threadedComment ref="NG23" dT="2021-03-29T15:54:02.81" personId="{BD1330D9-4FEF-4715-8C6A-15F4CBFCA3FD}" id="{CE5F2D9C-DCFE-4EC7-BE5B-F1E1EC1DA4C9}" parentId="{9AFA3497-C711-433C-9687-927CAF3F40B0}">
    <text>Avance:
-----------------------------------
- v2.4.1: EHCOSPROD-45084 Filtro de videoconferencias paciente - fin 30/03
&gt; avanzando evolutivo
- Faltaban etiquetas en catalan 
&gt; corregido
- Pruebas versión 2.4 - error de hora de cita
&gt; corregido
&gt; Revisar 03_data/012 - EHCOSPROD-44046.sql ¿cfg ehrs.push_notification_typedevice?
&gt;revisado</text>
  </threadedComment>
  <threadedComment ref="NJ23" dT="2021-03-29T15:53:39.81" personId="{BD1330D9-4FEF-4715-8C6A-15F4CBFCA3FD}" id="{6690BECB-73FA-47B4-ABA4-F3FD2B60FB45}">
    <text>## OSVALDO
Tareas planificadas:
&gt; Subir etiquetas en catalan al trunk y avisar a marcos
&gt; Actualizar JIRA, si faltan tareas apuntarlo para solicitarlas a grecia
- [EHCOSPROD-45588] Errores en Notificaciones de datos vitales 
&gt; actualizar JIRA
- v2.4.1: EHCOSPROD-45084 Filtro de videoconferencias paciente - fin 30/03
Backlog:
- instalación de postgres11
- v2.5: EHCOSPROD-37551 Integración con EHR: elaboración de notas de evolución</text>
  </threadedComment>
  <threadedComment ref="NJ23" dT="2021-03-30T15:34:59.66" personId="{BD1330D9-4FEF-4715-8C6A-15F4CBFCA3FD}" id="{FF2DC914-543A-4550-8DD1-396BF0EAC704}" parentId="{6690BECB-73FA-47B4-ABA4-F3FD2B60FB45}">
    <text>Avance:
-----------------------------------
- v2.4.1: [EHCOSPROD-45084] Filtro de videoconferencias paciente - fin 30/03
&gt; Terminado, pendiente de pruebas en local con grecia
&gt; Subir etiquetas en catalan al trunk y avisar a marcos</text>
  </threadedComment>
  <threadedComment ref="NK23" dT="2021-03-30T15:32:39.53" personId="{BD1330D9-4FEF-4715-8C6A-15F4CBFCA3FD}" id="{0457A9C3-B971-425F-B6DC-B06D947A26C6}">
    <text>## OSVALDO
Tareas planificadas:
&gt; Actualizar JIRA, si faltan tareas apuntarlo para solicitarlas a grecia
- [EHCOSPROD-45588] Errores en Notificaciones de datos vitales 
&gt; ¿pendiente de actualizar JIRA?
- v2.4.1: [EHCOSPROD-45084] Filtro de videoconferencias paciente - fin 30/03
&gt; ¿pendiente de pruebas en local con grecia y dl?
- v2.4.1: [EHCOSPROD-42384] Lista de pacientes en la videoconferencia - conectados primer
- v2.4.1: [EHCOSPROD-44290] Error al añadir un grupo dentro de otro 
Backlog:
- v2.4.1: [EHCOSPROD-44901] Separar idioma app y web
- v2.4.1: [EHCOSPROD-43791] Idioma servicio perfil 360 
- v2.4.1: [EHCOSPROD-43810] Error en idioma del correo de soporte técnico parte publica 
- instalación de postgres11
- v2.5: EHCOSPROD-37551 Integración con EHR: elaboración de notas de evolución</text>
  </threadedComment>
  <threadedComment ref="NK23" dT="2021-04-05T07:12:38.46" personId="{BD1330D9-4FEF-4715-8C6A-15F4CBFCA3FD}" id="{5D92F2A2-C8A4-44A6-B8D8-357134B811C1}" parentId="{0457A9C3-B971-425F-B6DC-B06D947A26C6}">
    <text>Avance:
-----------------------------------
&gt; Avance 30/03/2021: Parcial por caida de internet
- v2.4.1: [EHCOSPROD-45084] Filtro de videoconferencias paciente - fin 30/03
&gt; terminado desarrollo, pendiente de pruebas</text>
  </threadedComment>
  <threadedComment ref="NL23" dT="2021-03-31T16:37:08.28" personId="{BD1330D9-4FEF-4715-8C6A-15F4CBFCA3FD}" id="{63166735-B63A-4FD5-BBB9-41084B68EA28}">
    <text>## OSVALDO
Tareas planificadas:
- v2.4.1: [EHCOSPROD-45084] Filtro de videoconferencias paciente - fin 30/03
&gt; ¿pendiente de pruebas en local con grecia y documentar dl?
- v2.4.1: [EHCOSPROD-42384] Lista de pacientes en la videoconferencia - conectados primer
- v2.4.1: [EHCOSPROD-45845] Visualizacion de sesiones perfil profesional/moderador invitado en la WEB
- v2.4.1: [EHCOSPROD-44290] Error al añadir un grupo dentro de otro 
Backlog:
- v2.4.1: [EHCOSPROD-44901] Separar idioma app y web
- v2.4.1: [EHCOSPROD-43791] Idioma servicio perfil 360 
- v2.4.1: [EHCOSPROD-43810] Error en idioma del correo de soporte técnico parte publica 
- v2.4.1: [EHCOSPROD-45870] Envio de correo posiblemente cambia el idioma de la WEB
- instalación de postgres11
- v2.5: EHCOSPROD-37551 Integración con EHR: elaboración de notas de evolución </text>
  </threadedComment>
  <threadedComment ref="KD24" dT="2021-01-06T15:04:54.10" personId="{85375F82-BEAD-4443-8C33-F668B9E3206E}" id="{8ED08A0E-4A08-4205-A63E-E6B4A8034D82}">
    <text>Evolutivo 2.4
EHCOSPROD-42436: Video N:M</text>
  </threadedComment>
  <threadedComment ref="KE24" dT="2021-01-06T15:01:00.99" personId="{85375F82-BEAD-4443-8C33-F668B9E3206E}" id="{6C680472-2CB4-4D6A-9CF1-413006E52362}">
    <text>Baja médica por 4 días</text>
  </threadedComment>
  <threadedComment ref="MP24" dT="2021-03-09T15:58:46.81" personId="{BD1330D9-4FEF-4715-8C6A-15F4CBFCA3FD}" id="{6E032044-D119-440B-98E7-FD988027925D}">
    <text>Tareas planificadas:
Remote 2.4:
- Scripts rollback 2.4
- [EHCOSPROD-44046] Integracion Wellbeling con pantallas de ehcos remote inicio 03/03, fin 09/03 &gt; servicio rest
Backlog:
- [EHCOSPROD-44946] Privilegio para ver participantes
- Estabilización Wellbeing
- instalación de postgres11
Avance:
- [EHCOSPROD-44046] Integracion Wellbeling con pantallas de ehcos remote inicio 03/03, fin 09/03 &gt; servicio rest
&gt; terminado, pendiente de documentación, subir a QA para pruebas de integración</text>
  </threadedComment>
  <threadedComment ref="MQ24" dT="2021-03-10T17:50:09.80" personId="{BD1330D9-4FEF-4715-8C6A-15F4CBFCA3FD}" id="{41D3ACDD-CF09-4CB6-9DD1-2EB6CA5FF22A}">
    <text>## EMILIO
Tareas planificadas:
- [EHCOSPROD-44046] Integracion Wellbeling con pantallas de ehcos remote inicio 03/03, fin 09/03 &gt; servicio rest
Remote 2.4:
- [EHCOSPROD-44946] Privilegio para ver participantes
- [EHCOSPROD-43742] Posición del footer privado en paciente/profesional 
- [EHCOSPROD-44062] Problemas UX al ejecutar cuestionario
- [EHCOSPROD-43214] Problemas de visualización de cuestionarios - Perfil Paciente 
Backlog:
- Estabilización Wellbeing
- instalación de postgres11
- Multidioma
- Control licencias</text>
  </threadedComment>
  <threadedComment ref="MQ24" dT="2021-03-11T16:23:18.76" personId="{BD1330D9-4FEF-4715-8C6A-15F4CBFCA3FD}" id="{61EF46C3-0109-4CCA-8F17-9C8BE1776920}" parentId="{41D3ACDD-CF09-4CB6-9DD1-2EB6CA5FF22A}">
    <text xml:space="preserve">
Avance:
- [EHCOSPROD-44946] Privilegio para ver participantes
&gt; Terminado
- [EHCOSPROD-45229] Integracion Wellbeling - Pruebas formato antiguo de vital data
&gt; se intentan las pruebas con un dump nuevo de QA</text>
  </threadedComment>
  <threadedComment ref="MR24" dT="2021-03-11T16:25:39.10" personId="{BD1330D9-4FEF-4715-8C6A-15F4CBFCA3FD}" id="{73839977-35D4-4FA9-8DFE-09842ECFCBC5}">
    <text>## EMILIO
Tareas planificadas:
Remote 2.4:
- [EHCOSPROD-45229] Integracion Wellbeling - Pruebas formato antiguo de vital data
- [EHCOSPROD-43742] Posición del footer privado en paciente/profesional 
- [EHCOSPROD-44062] Problemas UX al ejecutar cuestionario
- [EHCOSPROD-43214] Problemas de visualización de cuestionarios - Perfil Paciente 
Backlog:
- Estabilización Wellbeing
- instalación de postgres11
- Multidioma
- Control licencias</text>
  </threadedComment>
  <threadedComment ref="MR24" dT="2021-03-12T15:46:26.29" personId="{BD1330D9-4FEF-4715-8C6A-15F4CBFCA3FD}" id="{CFABB357-EDA3-44B1-9BCF-55D568E73CA3}" parentId="{73839977-35D4-4FA9-8DFE-09842ECFCBC5}">
    <text>Avance:
- [EHCOSPROD-45229] Integracion Wellbeling - Pruebas formato antiguo de vital data
&gt; terminado pruebas completadas, revisado los orden
- [EHCOSPROD-43742] Posición del footer privado en paciente/profesional 
&gt; terminado
- [EHCOSPROD-44062] Problemas UX al ejecutar cuestionario
&gt; empezando
&gt; Despliegue en PRE de 2.3</text>
  </threadedComment>
  <threadedComment ref="MS24" dT="2021-03-12T15:47:40.82" personId="{BD1330D9-4FEF-4715-8C6A-15F4CBFCA3FD}" id="{4E913088-42C4-4E54-87D7-BDAEDCD8DCFB}">
    <text>## EMILIO
Tareas planificadas:
- Cuando avise Osvaldo, Merge de integracion con trunk de Wellbeing (carpeta trunk) 
- Subir scripts de Wellbeing con el correspondiente numero, version, log, rollback
- DL de Wellbeing parte rest y actualizar doc api rest
Remote 2.4:
- [EHCOSPROD-43214] Problemas de visualización de cuestionarios - Perfil Paciente 
- [EHCOSPROD-45210] Errores creación cuestionarios
Backlog:
- Estabilización Wellbeing
- instalación de postgres11
- Multidioma
- Control licencias</text>
  </threadedComment>
  <threadedComment ref="MS24" dT="2021-03-15T14:43:13.28" personId="{BD1330D9-4FEF-4715-8C6A-15F4CBFCA3FD}" id="{1F7C9590-5D31-4AF9-A611-EB3335E0A7E3}" parentId="{4E913088-42C4-4E54-87D7-BDAEDCD8DCFB}">
    <text xml:space="preserve">Avance:
- Merge de integracion con trunk de Wellbeing (carpeta trunk) 
- Subir scripts de Wellbeing con el correspondiente numero, version, log, rollback
&gt; terminados 
- [EHCOSPROD-43214] Problemas de visualización de cuestionarios - Perfil Paciente 
&gt; Problemas para reproducir,
- [EHCOSPROD-45210] Errores creación cuestionarios
&gt; Avanzando se puede reproducir en local
</text>
  </threadedComment>
  <threadedComment ref="MV24" dT="2021-03-15T14:50:12.19" personId="{BD1330D9-4FEF-4715-8C6A-15F4CBFCA3FD}" id="{886B6704-97FC-47B4-BC00-186EF9970200}">
    <text xml:space="preserve">## EMILIO
Tareas planificadas:
Remote 2.4:
- [EHCOSPROD-45210] Errores creación cuestionarios
- [EHCOSPROD-45358] Error crear cuestionario. Se borra lo registrado
- [EHCOSPROD-43214] Problemas de visualización de cuestionarios - Perfil Paciente &gt; Pausada: Dudas para reproducir el problema
Backlog:
- Estabilización Wellbeing
- instalación de postgres11
- Multidioma
- Control licencias
</text>
  </threadedComment>
  <threadedComment ref="MV24" dT="2021-03-16T15:57:38.92" personId="{BD1330D9-4FEF-4715-8C6A-15F4CBFCA3FD}" id="{5336B46F-A936-4AB6-9121-7FC94CA5644B}" parentId="{886B6704-97FC-47B4-BC00-186EF9970200}">
    <text>Avance:
-----------------------------------
- [EHCOSPROD-45210] Errores creación cuestionarios 
&gt; investigando el stackoverflow  </text>
  </threadedComment>
  <threadedComment ref="MW24" dT="2021-03-16T15:50:21.85" personId="{BD1330D9-4FEF-4715-8C6A-15F4CBFCA3FD}" id="{5396C0E8-49E0-4827-B951-E1E966D01CEE}">
    <text>## EMILIO
Tareas planificadas:
- [EHCOSPROD-45210] Errores creación cuestionarios 
- [EHCOSPROD-45358] Error crear cuestionario. Se borra lo registrado
- [EHCOSPROD-43214] Problemas de visualización de cuestionarios - Perfil Paciente 
&gt; Pausada: Dudas para reproducir el problema
Backlog:
- Estabilización Wellbeing
- instalación de postgres11
- Multidioma
- Control licencias</text>
  </threadedComment>
  <threadedComment ref="MW24" dT="2021-03-17T16:36:32.62" personId="{BD1330D9-4FEF-4715-8C6A-15F4CBFCA3FD}" id="{32328888-3FF6-44DC-8B97-D9DA20562223}" parentId="{5396C0E8-49E0-4827-B951-E1E966D01CEE}">
    <text>Avance:
-----------------------------------
- [EHCOSPROD-45210] Errores creación cuestionarios 
&gt; se corrige parcialmente, se sigue investigando
- [EHCOSPROD-45358] Error crear cuestionario. Se borra lo registrado
&gt; terminado, no se reproduce
- [EHCOSPROD-43214] Problemas de visualización de cuestionarios - Perfil Paciente 
&gt; Pausada: Dudas para reproducir el problema</text>
  </threadedComment>
  <threadedComment ref="MX24" dT="2021-03-17T16:38:05.17" personId="{BD1330D9-4FEF-4715-8C6A-15F4CBFCA3FD}" id="{1402D37B-B414-49FB-8505-36C8617DA846}">
    <text xml:space="preserve">## EMILIO
Tareas planificadas:
- [EHCOSPROD-45210] Errores creación cuestionarios 
- [EHCOSPROD-43214] Problemas de visualización de cuestionarios - Perfil Paciente 
- Pruebas de servicio de datos vitales con grecia
- Preparar nueva bd local con dump de PRO, y anonimizarlo con scripts/remotehs_anonymized.sql
Backlog:
- Estabilización Wellbeing
- instalación de postgres11
- Multidioma
- Control licencias
</text>
  </threadedComment>
  <threadedComment ref="MX24" dT="2021-03-18T17:25:21.35" personId="{BD1330D9-4FEF-4715-8C6A-15F4CBFCA3FD}" id="{DE9FA237-7083-4404-B4D7-C930DC8BEB2E}" parentId="{1402D37B-B414-49FB-8505-36C8617DA846}">
    <text xml:space="preserve">Avance:
-----------------------------------
- Pruebas de servicio de datos vitales con grecia
&gt; realizado
- Preparar nueva bd local con dump de PRO, y anonimizarlo con scripts/remotehs_anonymized.sql
&gt; realizado
- [EHCOSPROD-45512] Servicio deviceList no toma en cuenta nuevos dispositivos
&gt; nueva tarea prioritaria y terminada
- [EHCOSPROD-45229] Integracion Wellbeling - Pruebas formato antiguo de vital data 
&gt; ajustes detectados
</text>
  </threadedComment>
  <threadedComment ref="MY24" dT="2021-03-18T17:26:06.63" personId="{BD1330D9-4FEF-4715-8C6A-15F4CBFCA3FD}" id="{39D49746-FFC1-432C-8CF9-42AD641D05EA}">
    <text>## EMILIO
Tareas planificadas:
- [EHCOSPROD-45229] Integracion Wellbeling - Pruebas formato antiguo de vital data &gt; Recuperar servicios antiguos de datos vitales para mantener compatibilidad
- [EHCOSPROD-43214] Problemas de visualización de cuestionarios - Perfil Paciente 
- [EHCOSPROD-45358] Error crear cuestionario. Se borra lo registrado &gt; devuelta
Backlog:
- Estabilización Wellbeing
- instalación de postgres11
- Multidioma
- Control licencias</text>
  </threadedComment>
  <threadedComment ref="MY24" dT="2021-03-19T17:44:06.02" personId="{BD1330D9-4FEF-4715-8C6A-15F4CBFCA3FD}" id="{D345322C-755B-4C8E-B812-187CE83C3114}" parentId="{39D49746-FFC1-432C-8CF9-42AD641D05EA}">
    <text xml:space="preserve">Avance:
-----------------------------------
- [EHCOSPROD-43214] Problemas de visualización de cuestionarios - Perfil Paciente 
&gt; terminada
- [EHCOSPROD-45564] Request de values de dispositivos nuevos no trae resultados correctos
&gt; nueva y terminada
- [EHCOSPROD-45512] Servicio deviceList no toma en cuenta nuevos dispositivos
&gt; Pruebas despues de recuperar servicios antiguos de datos vitales para mantener compatibilidad
</text>
  </threadedComment>
  <threadedComment ref="MZ24" dT="2021-03-19T17:43:52.20" personId="{BD1330D9-4FEF-4715-8C6A-15F4CBFCA3FD}" id="{D1CB812E-A951-4A73-A2BA-F8315E946D5D}">
    <text xml:space="preserve">## EMILIO
Tareas planificadas:
- [EHCOSPROD-45358] Error crear cuestionario. Se borra lo registrado &gt; devuelta
- 019 - EHCOSPROD-44046.sql &gt; revisar script falla en QA
Backlog:
- Estabilización Wellbeing
- instalación de postgres11
- Versión 2.4.1 EHCOSPROD-43163 Incluir Exportación de Datos de personas – backoffice
- Versión 2.4.1 EHCOSPROD-44901 Separar idioma app y web 
</text>
  </threadedComment>
  <threadedComment ref="MZ24" dT="2021-03-22T15:09:37.64" personId="{BD1330D9-4FEF-4715-8C6A-15F4CBFCA3FD}" id="{2896CCCD-83ED-409A-8827-51D80C62F459}" parentId="{D1CB812E-A951-4A73-A2BA-F8315E946D5D}">
    <text>Avance:
-----------------------------------
- [EHCOSPROD-45358] Error crear cuestionario. Se borra lo registrado 
&gt; terminado, pendiente de despliegue
- [EHCOSPROD-45585] Error con nuevo servicio listNew 
&gt; nueva y corregida
- 019 - EHCOSPROD-44046.sql &gt; revisar script falla en QA
&gt; faltaba ejecucion de scripts anteriores</text>
  </threadedComment>
  <threadedComment ref="NC24" dT="2021-03-22T15:08:26.02" personId="{BD1330D9-4FEF-4715-8C6A-15F4CBFCA3FD}" id="{B1A92F17-05A3-4477-9FCB-175D3E4AE158}">
    <text>## EMILIO
Tareas planificadas:
- [EHCOSPROD-45578] Gráficas datos vitales. Errores detectados 
- v2.4.1 - [EHCOSPROD-43163] Incluir Exportación de Datos de personas – backoffice
Backlog:
- Soporte nuevo compañero
- Estabilización Wellbeing
- instalación de postgres11
- v2.4.1 - EHCOSPROD-44901 Separar idioma app y web </text>
  </threadedComment>
  <threadedComment ref="NC24" dT="2021-03-23T17:15:33.17" personId="{BD1330D9-4FEF-4715-8C6A-15F4CBFCA3FD}" id="{60687241-E6B9-462C-92C7-A3F1B3F86AEA}" parentId="{B1A92F17-05A3-4477-9FCB-175D3E4AE158}">
    <text>Avance:
-----------------------------------
- [EHCOSPROD-45578] Gráficas datos vitales. Errores detectados 
&gt; devuelta y terminada
- v2.4.1 - [EHCOSPROD-43163] Incluir Exportación de Datos de personas – backoffice
&gt; iniciada</text>
  </threadedComment>
  <threadedComment ref="ND24" dT="2021-03-23T17:14:19.86" personId="{BD1330D9-4FEF-4715-8C6A-15F4CBFCA3FD}" id="{7808F7FE-6476-479F-B828-7E4CFE90695E}">
    <text>## EMILIO
Tareas planificadas:
- v2.4.1 - [EHCOSPROD-43163] Incluir Exportación de Datos de personas – backoffice
Backlog:
- Estabilización Wellbeing
- instalación de postgres11
- Soporte nuevo compañero
- v2.4.1 - EHCOSPROD-44901 Separar idioma app y web </text>
  </threadedComment>
  <threadedComment ref="ND24" dT="2021-03-24T18:09:21.62" personId="{BD1330D9-4FEF-4715-8C6A-15F4CBFCA3FD}" id="{AD275AC7-5BE6-4BB5-A6F2-C002B734FE41}" parentId="{7808F7FE-6476-479F-B828-7E4CFE90695E}">
    <text>Avance:
-----------------------------------
- [EHCOSPROD-45578] Gráficas datos vitales. Errores detectados 
&gt; devuelta y terminada
&gt; corregido datos vitales sin identificador
- v2.4.1 - [EHCOSPROD-43163] Incluir Exportación de Datos de personas – backoffice
&gt; avanzando
&gt; Soporte a Javier</text>
  </threadedComment>
  <threadedComment ref="NE24" dT="2021-03-24T18:09:31.73" personId="{BD1330D9-4FEF-4715-8C6A-15F4CBFCA3FD}" id="{299D242B-D5B7-497B-9D56-3D1A3752E254}">
    <text xml:space="preserve">## EMILIO
Tareas planificadas:
- v2.4.1 - [EHCOSPROD-43163] Incluir Exportación de Datos de personas – backoffice &gt; fin 26/03
Backlog:
- Estabilización Wellbeing
- instalacion de oracle 12 y documentarlo en la wiki
- instalación de postgres11
- Soporte nuevo compañero
- v2.4.1 - EHCOSPROD-44901 Separar idioma app y web 
</text>
  </threadedComment>
  <threadedComment ref="NE24" dT="2021-03-26T07:54:27.78" personId="{BD1330D9-4FEF-4715-8C6A-15F4CBFCA3FD}" id="{8AA1153F-569F-480E-9725-D2AE854B4D9F}" parentId="{299D242B-D5B7-497B-9D56-3D1A3752E254}">
    <text>Avance:
-----------------------------------
- v2.4.1 - [EHCOSPROD-43163] Incluir Exportación de Datos de personas – backoffice
&gt; avanzando
&gt; problemas con dispositivos manuales
&gt; Soporte a Javier</text>
  </threadedComment>
  <threadedComment ref="NF24" dT="2021-03-26T07:53:59.47" personId="{BD1330D9-4FEF-4715-8C6A-15F4CBFCA3FD}" id="{682F5D90-E9AC-4FE2-9FB5-B873C9119BF0}">
    <text xml:space="preserve">## EMILIO
Tareas planificadas:
- v2.4.1 - [EHCOSPROD-43163] Incluir Exportación de Datos de personas – backoffice &gt; fin 26/03
Backlog:
- Estabilización Wellbeing
- instalacion de oracle 12 y documentarlo en la wiki
- instalación de postgres11
- Soporte nuevo compañero
- v2.4.1 - EHCOSPROD-44901 Separar idioma app y web 
</text>
  </threadedComment>
  <threadedComment ref="NF24" dT="2021-03-26T16:39:16.73" personId="{BD1330D9-4FEF-4715-8C6A-15F4CBFCA3FD}" id="{0A4BBA07-B139-4388-8886-FA0A0AF8FAC2}" parentId="{682F5D90-E9AC-4FE2-9FB5-B873C9119BF0}">
    <text>Avance:
-----------------------------------
- v2.4.1: [EHCOSPROD-43163] Incluir Exportación de Datos de personas – backoffice &gt; fin 26/03
&gt; terminado</text>
  </threadedComment>
  <threadedComment ref="NG24" dT="2021-03-26T16:41:39.99" personId="{BD1330D9-4FEF-4715-8C6A-15F4CBFCA3FD}" id="{1122968F-FAD4-4153-A45E-3D1F9C3AFAB9}">
    <text>## EMILIO
Tareas planificadas:
&gt; Revisar 03_data/011 - EHCOSPROD-44946.sql ¿duplicado?
- v2.4.1: [EHCOSPROD-43163] Incluir Exportación de Datos de personas – backoffice &gt; fin 26/03
Backlog:
- Estabilización Wellbeing
- v2.4.1: EHCOSPROD-44901 Separar idioma app y web 
- instalacion de oracle 12 y documentarlo en la wiki
- instalación de postgres11
- Soporte nuevo compañero</text>
  </threadedComment>
  <threadedComment ref="NG24" dT="2021-03-29T15:55:24.26" personId="{BD1330D9-4FEF-4715-8C6A-15F4CBFCA3FD}" id="{E5CC8749-F874-4254-A552-1BAF7443C1D1}" parentId="{1122968F-FAD4-4153-A45E-3D1F9C3AFAB9}">
    <text xml:space="preserve">Avance:
-----------------------------------
&gt; Revisado 03_data/011 - EHCOSPROD-44946.sql ¿duplicado?
- v2.4.1: [EHCOSPROD-43163] Incluir Exportación de Datos de personas – backoffice &gt; fin 26/03 &gt; Actualizar JIRA
&gt; terminado desarrollo y documentacion, faltan pruebas validacion en local con grecia
&gt; esperar a mañana para merge en el trunk
&gt; Soporte a Javier
</text>
  </threadedComment>
  <threadedComment ref="NJ24" dT="2021-03-29T15:54:39.87" personId="{BD1330D9-4FEF-4715-8C6A-15F4CBFCA3FD}" id="{80129B32-5CD5-498A-B19B-726F50D17366}">
    <text xml:space="preserve">## EMILIO
Tareas planificadas:
&gt; Actualizar JIRA, si faltan tareas apuntarlo para solicitarlas a grecia
- [EHCOSPROD-45512] Servicio deviceList no toma en cuenta nuevos dispositivos 
&gt; Actualizar JIRA
- v2.4.1: [EHCOSPROD-43163] Incluir Exportación de Datos de personas – backoffice - fin 26/03 
&gt; Actualizar JIRA y pruebas local con grecia, esperar a mañana para merge en el trunk
- [EHCOSPROD-40837] Añadir posibilidad de mantener más de 3 idiomas por instalación 
&gt; revisar para retomar tarea
- [EHCOSPROD-42281] Configuración de idiomas por entidad 
&gt; revisar para retomar tarea
Backlog:
- Nuevo JIRA - Similar a 42281 para configurar idiomas de Frases del dia
- instalacion de oracle 12 y documentarlo en la wiki
- instalación de postgres11
- Soporte nuevo compañero
</text>
  </threadedComment>
  <threadedComment ref="NJ24" dT="2021-03-30T15:40:23.00" personId="{BD1330D9-4FEF-4715-8C6A-15F4CBFCA3FD}" id="{EC103005-DB7B-4252-AA44-422B17163043}" parentId="{80129B32-5CD5-498A-B19B-726F50D17366}">
    <text>Avance:
-----------------------------------
&gt; Actualizar JIRA
- Soporte nuevo compañero
- v2.4.1: [EHCOSPROD-43163] Incluir Exportación de Datos de personas – backoffice - fin 26/03 
&gt; pendiente de merge en trunk
- EHCOSPROD-40837, EHCOSPROD-42281 
&gt; retomando evolutivos de multidiomas, realizado merge sin conflictos y revisando conflictos scripts.</text>
  </threadedComment>
  <threadedComment ref="NK24" dT="2021-03-30T15:40:07.09" personId="{BD1330D9-4FEF-4715-8C6A-15F4CBFCA3FD}" id="{EE2EC431-B625-44D3-9C30-B16178827A21}">
    <text>## EMILIO
Tareas planificadas:
&gt; Actualizar JIRA, si faltan tareas apuntarlo para solicitarlas a grecia
- v2.4.1: [EHCOSPROD-43163] Incluir Exportación de Datos de personas – backoffice - fin 26/03 
&gt; ¿Falta documentar DL?
- [EHCOSPROD-40837] Añadir posibilidad de mantener más de 3 idiomas por instalación 
&gt; revisar para retomar tarea
- [EHCOSPROD-42281] Configuración de idiomas por entidad 
&gt; revisar para retomar tarea
Backlog:
- Nuevo JIRA - Similar a 42281 para configurar idiomas de Frases del dia
- instalacion de oracle 12 y documentarlo en la wiki
- instalación de postgres11
- Soporte nuevo compañero</text>
  </threadedComment>
  <threadedComment ref="NK24" dT="2021-03-31T16:38:44.76" personId="{BD1330D9-4FEF-4715-8C6A-15F4CBFCA3FD}" id="{279EA2A6-3269-49FD-BEAA-FCE7059A9EAF}" parentId="{EE2EC431-B625-44D3-9C30-B16178827A21}">
    <text>Avance:
-----------------------------------
- v2.5: [EHCOSPROD-42281] Configuración de idiomas por entidad 
&gt; terminando de estabilizar y pruebas
- v2.5: [EHCOSPROD-40837] Añadir posibilidad de mantener más de 3 idiomas por instalación 
&gt; revisado con dudas de scripts</text>
  </threadedComment>
  <threadedComment ref="NL24" dT="2021-03-31T16:37:44.75" personId="{BD1330D9-4FEF-4715-8C6A-15F4CBFCA3FD}" id="{4BA51A19-219D-4082-98E5-857EB752B3E3}">
    <text>## EMILIO
Tareas planificadas:
- v2.4.1: [EHCOSPROD-43163] Incluir Exportación de Datos de personas – backoffice - fin 26/03 
&gt; Merge al trunk y copiar DL al onedrive
- v2.5: [EHCOSPROD-42281] Configuración de idiomas por entidad 
&gt; revisar para retomar tarea
- v2.5: [EHCOSPROD-40837] Añadir posibilidad de mantener más de 3 idiomas por instalación 
&gt; revisar para retomar tarea
Backlog:
- Nuevo JIRA - Similar a 42281 para configurar idiomas de Frases del dia
- instalacion de oracle 12
- instalación de postgres11
- Soporte nuevo compañero</text>
  </threadedComment>
  <threadedComment ref="NC25" dT="2021-03-24T16:28:17.13" personId="{85375F82-BEAD-4443-8C33-F668B9E3206E}" id="{BA31C057-A480-46B6-A8A4-D4218BD8F037}">
    <text>Tareas planificadas:
Acabar de solventar error de configuración de entorno
Importar dump, ver que pasa con el entorno
Avance:
Acabar la configuración de entorno
Crear segunda instancia de ORACLE
Importar dump ORACLE
Backlog:</text>
  </threadedComment>
  <threadedComment ref="NE25" dT="2021-03-24T18:10:45.36" personId="{BD1330D9-4FEF-4715-8C6A-15F4CBFCA3FD}" id="{38DDED04-1AF4-4806-AA66-DF650628F5EF}">
    <text>## JAVIER ANDRÉS
Tareas planificadas:
- Preparacion de entorno: eclipse, JDK, MAVEN, POSTGRES 11, SVN, ehcos-server
- Preparacion de workspace: trunk remote, scripts en local.
Backlog:
- Configurar: PC, SVN, JIRA, VPN
- Documentacion Funcional remote
https://web.microsoftstream.com/video/dce91649-b79d-4b78-a643-9d56dd19e54d
- Documentacion Tecnica remote
https://everisgroup-my.sharepoint.com/:f:/g/personal/lgalvanm_everis_com/ErT2x2FIjDhPqDrxzHnXA2YBj6yQjrsuBuxoH1cQOLL7kQ?e=2Spbfa
- Vacaciones del 5 al 19 de Abril (ultimas vacaciones FY20)</text>
  </threadedComment>
  <threadedComment ref="NE25" dT="2021-03-26T07:55:29.05" personId="{BD1330D9-4FEF-4715-8C6A-15F4CBFCA3FD}" id="{8D6B73A9-3DA1-4BC4-B7AC-86626AB8030F}" parentId="{38DDED04-1AF4-4806-AA66-DF650628F5EF}">
    <text>Anterior:
-----------------------------------
&gt; Terminado configuración de Entorno y puede levantar el proyecto</text>
  </threadedComment>
  <threadedComment ref="NF25" dT="2021-03-26T07:55:06.50" personId="{BD1330D9-4FEF-4715-8C6A-15F4CBFCA3FD}" id="{910939FC-82B9-40EB-B16E-F7BAA3126FCE}">
    <text>## JAVIER ANDRÉS
Tareas planificadas:
- Preparacion de entorno: eclipse, JDK, MAVEN, POSTGRES 11, SVN, ehcos-server
- Preparacion de workspace: trunk remote, scripts en local.
Backlog:
- Configurar: PC, SVN, JIRA, VPN
- Documentacion Funcional remote
https://web.microsoftstream.com/video/dce91649-b79d-4b78-a643-9d56dd19e54d
- Documentacion Tecnica remote
https://everisgroup-my.sharepoint.com/:f:/g/personal/lgalvanm_everis_com/ErT2x2FIjDhPqDrxzHnXA2YBj6yQjrsuBuxoH1cQOLL7kQ?e=2Spbfa
- Vacaciones del 5 al 19 de Abril (ultimas vacaciones FY20)</text>
  </threadedComment>
  <threadedComment ref="NF25" dT="2021-03-26T16:40:24.53" personId="{BD1330D9-4FEF-4715-8C6A-15F4CBFCA3FD}" id="{56AC7B8E-E19E-40E4-BF9A-F6799515CD13}" parentId="{910939FC-82B9-40EB-B16E-F7BAA3126FCE}">
    <text xml:space="preserve">Avance:
-----------------------------------
&gt; Problemas intentando entrar en web local
</text>
  </threadedComment>
  <threadedComment ref="NG25" dT="2021-03-26T16:41:57.18" personId="{BD1330D9-4FEF-4715-8C6A-15F4CBFCA3FD}" id="{4B7F1978-9BE6-4C6A-9217-2A4380B7BAAE}">
    <text>## JAVIER ANDRÉS
Tareas planificadas:
- Preparacion de entorno: eclipse, JDK, MAVEN, POSTGRES 11, SVN, ehcos-server
- Preparacion de workspace: trunk remote, scripts en local.
- Configurar WIKI
Backlog:
- Configurar: PC, SVN, JIRA, VPN
- Documentacion Funcional remote
https://web.microsoftstream.com/video/dce91649-b79d-4b78-a643-9d56dd19e54d
- Documentacion Tecnica remote
https://everisgroup-my.sharepoint.com/:f:/g/personal/lgalvanm_everis_com/ErT2x2FIjDhPqDrxzHnXA2YBj6yQjrsuBuxoH1cQOLL7kQ?e=2Spbfa
- Vacaciones del 5 al 19 de Abril (ultimas vacaciones FY20)</text>
  </threadedComment>
  <threadedComment ref="NG25" dT="2021-03-29T15:56:17.44" personId="{BD1330D9-4FEF-4715-8C6A-15F4CBFCA3FD}" id="{81E5635A-B254-493F-8320-70611AB36E7E}" parentId="{4B7F1978-9BE6-4C6A-9217-2A4380B7BAAE}">
    <text>Avance:
-----------------------------------
- Preparacion de entorno: eclipse, JDK, MAVEN, POSTGRES 11, SVN, ehcos-server
- Preparacion de workspace: trunk remote, scripts en local.
- Configurar: PC, SVN, JIRA, VPN, JREBEL
&gt; Corregido el login en web local
&gt; Actualizada la wiki
&gt; Configurar oracle.</text>
  </threadedComment>
  <threadedComment ref="NJ25" dT="2021-03-29T15:55:58.23" personId="{BD1330D9-4FEF-4715-8C6A-15F4CBFCA3FD}" id="{3C1050A7-8CA1-4FB5-B5E0-26857121D42F}">
    <text>## JAVIER ANDRÉS
Tareas planificadas:
- Configurar workspace en WIKI
- Documentacion Funcional remote
https://web.microsoftstream.com/video/dce91649-b79d-4b78-a643-9d56dd19e54d
- Documentacion Tecnica remote
https://everisgroup-my.sharepoint.com/:f:/g/personal/lgalvanm_everis_com/ErT2x2FIjDhPqDrxzHnXA2YBj6yQjrsuBuxoH1cQOLL7kQ?e=2Spbfa
Backlog:
- v2.4.1: [EHCOSPROD-42838] Remote debe ser responsive en navegador mobile
- v2.4.1: [EHCOSPROD-44901] Separar idioma app y web
- v2.4.1: [EHCOSPROD-43791] Idioma servicio perfil 360 
- v2.4.1: [EHCOSPROD-44290] Error al añadir un grupo dentro de otro 
- v2.4.1: [EHCOSPROD-43810] Error en idioma del correo de soporte técnico parte publica 
- Vacaciones del 5 al 19 de Abril (ultimas vacaciones FY20)</text>
  </threadedComment>
  <threadedComment ref="NJ25" dT="2021-03-30T15:42:06.08" personId="{BD1330D9-4FEF-4715-8C6A-15F4CBFCA3FD}" id="{7BC6B81D-1F70-45CF-B079-38D593C40B28}" parentId="{3C1050A7-8CA1-4FB5-B5E0-26857121D42F}">
    <text xml:space="preserve">Avance:
-----------------------------------
- Configurar workspace en WIKI
&gt; realizado
- Configurado Oracle
&gt; realizado
</text>
  </threadedComment>
  <threadedComment ref="NK25" dT="2021-03-30T15:44:28.18" personId="{BD1330D9-4FEF-4715-8C6A-15F4CBFCA3FD}" id="{78EA818F-C5D1-406E-8388-2A6CA49A12C9}">
    <text>## JAVIER ANDRÉS
Tareas planificadas:
- v2.4.1: [EHCOSPROD-42838] Remote debe ser responsive en navegador mobile
- formacion tecnica ZK (zooms de sesión_0_introduccón, sesion_1_desarrollo, sesión_2_desarrollo, sesion_3_extension)
https://everisgroup-my.sharepoint.com/:f:/g/personal/lgalvanm_everis_com/Eh2uTdzMU45LiryouorjHcoBQWdIS_QcnKDM7_K4X9EVEg?e=2EaSyC
Backlog:
- Formación Argentina &gt; todavia no disponible
- Vacaciones del 5 al 19 de Abril (ultimas vacaciones FY20)</text>
  </threadedComment>
  <threadedComment ref="NK25" dT="2021-03-31T16:38:58.27" personId="{BD1330D9-4FEF-4715-8C6A-15F4CBFCA3FD}" id="{B2B0B285-47EC-4004-BED6-390820830185}" parentId="{78EA818F-C5D1-406E-8388-2A6CA49A12C9}">
    <text>Avance:
-----------------------------------
- v2.4.1: [EHCOSPROD-42838] Remote debe ser responsive en navegador mobile
&gt; empezando con los ajustes visuales</text>
  </threadedComment>
  <threadedComment ref="NL25" dT="2021-03-31T16:38:04.38" personId="{BD1330D9-4FEF-4715-8C6A-15F4CBFCA3FD}" id="{F8094CC6-5087-4496-9244-7AC0452D6BA9}">
    <text xml:space="preserve">## JAVIER
Tareas planificadas:
- v2.4.1: [EHCOSPROD-42838] Remote debe ser responsive en navegador mobile
- formacion tecnica ZK (zooms de sesión_0_introduccón, sesion_1_desarrollo, sesión_2_desarrollo, sesion_3_extension)
https://everisgroup-my.sharepoint.com/:f:/g/personal/lgalvanm_everis_com/Eh2uTdzMU45LiryouorjHcoBQWdIS_QcnKDM7_K4X9EVEg?e=2EaSyC
- Formacion de Metodologia
Backlog:
- Formacion creacion de rama para evolutivo, imputar en dt y actualizar jira
- Formación Argentina &gt; todavia no disponible
- Vacaciones del 5 al 19 de Abril (ultimas vacaciones FY20)
</text>
  </threadedComment>
  <threadedComment ref="MV28" dT="2021-03-16T12:31:47.01" personId="{85375F82-BEAD-4443-8C33-F668B9E3206E}" id="{298BE6D9-1A69-4729-9292-129DB16829A2}">
    <text>Tareas planificadas:
Jiras 5.13 merge al Trunk
Correctivos
Avance:
EHCOSPROD-40379: Indicadores, tardo un poco más
Revisión código con Mauricio
Planificación.
Backlog:</text>
  </threadedComment>
  <threadedComment ref="MW28" dT="2021-03-16T12:31:47.01" personId="{85375F82-BEAD-4443-8C33-F668B9E3206E}" id="{298BE6D9-1A69-472A-9292-129DB16829A2}">
    <text>Tareas planificadas:
Jiras 5.13 merge al Trunk
Correctivos
Avance:
EHCOSPROD-40379: Indicadores, tardo un poco más
Revisión código con Mauricio
Planificación.
Backlog:</text>
  </threadedComment>
  <threadedComment ref="MX28" dT="2021-03-16T12:31:47.01" personId="{85375F82-BEAD-4443-8C33-F668B9E3206E}" id="{298BE6D9-1A69-472B-9292-129DB16829A2}">
    <text>Tareas planificadas:
Jiras 5.13 merge al Trunk
Correctivos
Avance:
EHCOSPROD-40379: Indicadores, tardo un poco más
Revisión código con Mauricio
Planificación.
Backlog:</text>
  </threadedComment>
  <threadedComment ref="MV29" dT="2021-03-16T12:32:13.84" personId="{85375F82-BEAD-4443-8C33-F668B9E3206E}" id="{A8D36C3B-E592-43AC-AD21-6453B1DD6FE4}">
    <text>Tareas planificadas:
EHCOSPROD-40354: Continuar con el evolutivo (Fin 03/05)
Avance:
EHCOSPROD-40354: Maquetación funcionalidad duplicar agendas, evol agendas
Backlog:</text>
  </threadedComment>
  <threadedComment ref="MW29" dT="2021-03-16T12:32:13.84" personId="{85375F82-BEAD-4443-8C33-F668B9E3206E}" id="{A8D36C3B-E592-43AD-AD21-6453B1DD6FE4}">
    <text>Tareas planificadas:
EHCOSPROD-40354: Continuar con el evolutivo (Fin 03/05)
Avance:
EHCOSPROD-40354: Maquetación funcionalidad duplicar agendas, evol agendas
Backlog:</text>
  </threadedComment>
  <threadedComment ref="MX29" dT="2021-03-16T12:32:13.84" personId="{85375F82-BEAD-4443-8C33-F668B9E3206E}" id="{A8D36C3B-E592-43AE-AD21-6453B1DD6FE4}">
    <text>Tareas planificadas:
EHCOSPROD-40354: Continuar con el evolutivo (Fin 03/05)
Avance:
EHCOSPROD-40354: Maquetación funcionalidad duplicar agendas, evol agendas
Backlog:</text>
  </threadedComment>
  <threadedComment ref="MV31" dT="2021-03-16T12:32:43.67" personId="{85375F82-BEAD-4443-8C33-F668B9E3206E}" id="{967802AD-ABAB-463D-B339-7605F8576963}">
    <text>Tareas planificadas:
EHCOSPROD-45192: Filtrado de centros
Correctivos 5.15.
Avance:
EHCOSPROD-41352 : Correctivos devoluciones, complicación apartado catálogos.
Backlog:</text>
  </threadedComment>
  <threadedComment ref="MW31" dT="2021-03-16T12:32:43.67" personId="{85375F82-BEAD-4443-8C33-F668B9E3206E}" id="{967802AD-ABAB-463E-B339-7605F8576963}">
    <text>Tareas planificadas:
EHCOSPROD-45192: Filtrado de centros
Correctivos 5.15.
Avance:
EHCOSPROD-41352 : Correctivos devoluciones, complicación apartado catálogos.
Backlog:</text>
  </threadedComment>
  <threadedComment ref="MX31" dT="2021-03-16T12:32:43.67" personId="{85375F82-BEAD-4443-8C33-F668B9E3206E}" id="{967802AD-ABAB-463F-B339-7605F8576963}">
    <text>Tareas planificadas:
EHCOSPROD-45192: Filtrado de centros
Correctivos 5.15.
Avance:
EHCOSPROD-41352 : Correctivos devoluciones, complicación apartado catálogos.
Backlog:</text>
  </threadedComment>
  <threadedComment ref="KE33" dT="2021-01-06T15:19:54.50" personId="{85375F82-BEAD-4443-8C33-F668B9E3206E}" id="{3873FED8-58F0-46AB-B466-D190B885415C}">
    <text>Revision estado ramas uci
Revisión jiras remote
Analisis integración mirth</text>
  </threadedComment>
  <threadedComment ref="KF33" dT="2021-01-06T15:33:28.53" personId="{85375F82-BEAD-4443-8C33-F668B9E3206E}" id="{5C55F055-B0BB-4D78-85A4-28E7C219CC28}">
    <text>Planteamiento esquema de integracion mirth
Planificación
Revision de tareas remote
Apoyo equipo desarrollo</text>
  </threadedComment>
  <threadedComment ref="ML33" dT="2021-03-05T13:41:46.53" personId="{85375F82-BEAD-4443-8C33-F668B9E3206E}" id="{C349F512-4468-46C6-ADDA-87FB5157F73D}">
    <text>- Planificacion
- Formaciones 
- Reuniones 
- Definición evolutivo video llamada</text>
  </threadedComment>
  <threadedComment ref="MO33" dT="2021-03-09T12:10:00.11" personId="{85375F82-BEAD-4443-8C33-F668B9E3206E}" id="{284504A4-44A8-4AE0-9116-4C6E550CF13F}">
    <text>Evaluaciones
Rev. Metodologia y planificación remotehs
Revision y analisis PPB
Feedback Osbaldo
Feedback uci + remotehs (con Luis)
Conf. entorno remotehs</text>
  </threadedComment>
  <threadedComment ref="MP33" dT="2021-03-09T14:57:35.19" personId="{85375F82-BEAD-4443-8C33-F668B9E3206E}" id="{4616574B-DC8C-4BFD-9C86-D552198F1F33}">
    <text xml:space="preserve">Tareas planificadas:
Análisis técnico video
Evaluación
Conf. entorno
Avance:
Feedback
Revisión indicadores
Reuniones
Formación metodología
Planificación
Backlog:
</text>
  </threadedComment>
  <threadedComment ref="MQ33" dT="2021-03-10T22:27:01.16" personId="{85375F82-BEAD-4443-8C33-F668B9E3206E}" id="{6D1160C1-3AF5-4E66-AB4F-298AE2BAF316}">
    <text>Tareas planificadas:
Reuniones generales con Ramón
Evaluaciones de desempeño
Resolución de dudas videollamadas
Avance:
Extracción de datos rendimiento para evaluaciones.
Revisiones de metodología con remotehs en conjunto con Ramon F.
Backlog:</text>
  </threadedComment>
  <threadedComment ref="MR33" dT="2021-03-11T14:24:56.98" personId="{85375F82-BEAD-4443-8C33-F668B9E3206E}" id="{3E4F4E38-465A-4471-9ADC-644910FE80F4}">
    <text>Tareas planificadas:
Revisión implementación desde cero con OpenVidu
Evaluaciones
Avance:
Revision de indicadores ehCOS
Resolución dudas VideoLlamadas
Conf. Remotehs
Backlog:</text>
  </threadedComment>
  <threadedComment ref="MS33" dT="2021-03-15T12:22:02.70" personId="{85375F82-BEAD-4443-8C33-F668B9E3206E}" id="{11A2352E-D3A8-41B9-9D3D-1A5F7952AD40}">
    <text xml:space="preserve">Tareas planificadas:
Acabar desarrollo de drenajes
Avance:
Sesiones por producto
Desarrollo drenajes
Backlog:
</text>
  </threadedComment>
  <threadedComment ref="MV33" dT="2021-03-16T12:33:33.57" personId="{85375F82-BEAD-4443-8C33-F668B9E3206E}" id="{9E778643-0D93-435E-A6F2-523B40FE5F0E}">
    <text>Tareas planificadas:
POC OpenVidu
Reuniones
Inducción CJ
Avance:
Evaluación performance (mapa)
Revisión OpenVidu
POC OpenVidu y Docker</text>
  </threadedComment>
  <threadedComment ref="MW33" dT="2021-03-16T12:33:33.57" personId="{85375F82-BEAD-4443-8C33-F668B9E3206E}" id="{330A28CF-E024-4338-B989-8FE0EDB3FB72}">
    <text>Tareas planificadas:
POC OpenVidu
Reuniones
Inducción CJ
Avance:
Evaluación performance (mapa)
Revisión OpenVidu
POC OpenVidu y Docker</text>
  </threadedComment>
  <threadedComment ref="MX33" dT="2021-03-17T14:29:01.04" personId="{85375F82-BEAD-4443-8C33-F668B9E3206E}" id="{05FDB2F2-D0F5-4453-91BB-4691DDF9C335}">
    <text>Tareas planificadas:
Planificación
POC openVidu
Avance:
POC openVidu
Backlog:</text>
  </threadedComment>
  <threadedComment ref="MY33" dT="2021-03-20T00:14:12.72" personId="{85375F82-BEAD-4443-8C33-F668B9E3206E}" id="{B8524DA9-E0CC-4CE7-B762-E27F238A053E}">
    <text>Tareas planificadas:
POC openVidu
Formaciones técnicas
Avance:
Reunion indicadores
Auto-evaluación
POC openVidu
Backlog:</text>
  </threadedComment>
  <threadedComment ref="MZ33" dT="2021-03-20T00:13:23.08" personId="{85375F82-BEAD-4443-8C33-F668B9E3206E}" id="{839EDE0C-6BDC-4706-9EF5-9C61F14F5A05}">
    <text xml:space="preserve">Tareas planificadas:
POC openVidu
Formaciones técnicas
Reunión health
Avance:
POC openVidu
Formación técnica
Backlog:
</text>
  </threadedComment>
  <threadedComment ref="NC33" dT="2021-03-24T16:27:48.09" personId="{85375F82-BEAD-4443-8C33-F668B9E3206E}" id="{2F91E084-A9F1-4E01-8E4A-D012FAE66DD3}">
    <text>Tareas planificadas:
POC openVidu
Gestión Fenix
Apoyo versión 2.4 RHs
Revisiones con Ramón
Avance:
POC openVidu
Formaciones técnicas
Reunión health
Apoyo versión 2.4 remotehs
Backlog:</text>
  </threadedComment>
  <threadedComment ref="ND33" dT="2021-03-24T16:30:47.17" personId="{85375F82-BEAD-4443-8C33-F668B9E3206E}" id="{2F50779A-ACDF-4CD1-B165-9B5A011DDAC6}">
    <text xml:space="preserve">Tareas planificadas:
Checkpoint openVidu
Ingreso de ajustes facturación
Revisión plan de formación Pablo
Revisión plan de formación Javier
POC openVidu
Revisión funcionamiento JIRA
Avance:
POC openVidu
Revision estádo de proyectos MyR
Reunión health
Apoyo versión 2.4 remotehs
Backlog:
</text>
  </threadedComment>
  <threadedComment ref="NE33" dT="2021-03-24T16:33:14.50" personId="{85375F82-BEAD-4443-8C33-F668B9E3206E}" id="{48E90C49-39AD-4E96-A9F4-D4DF1BA561D6}">
    <text xml:space="preserve">Tareas planificadas:
Continuar con la POC
Soporte configuración de entorno marañón
Petición de remotehs
Avance:
Apoyo remotehs 2.4
Planes de formación
Formación JIRA
Ajustes Facturación
Cierre evaluación performance
Backlog:
</text>
  </threadedComment>
  <threadedComment ref="NF33" dT="2021-03-29T20:27:25.77" personId="{85375F82-BEAD-4443-8C33-F668B9E3206E}" id="{FDE4CD30-1601-4690-B62D-6C798AD1B086}">
    <text>Tareas planificadas:
Apoyo remotehs 2.4
Continuar con la POC
Avance:
Continuar con la POC
Soporte configuración de entorno marañón
Backlog:</text>
  </threadedComment>
  <threadedComment ref="NG33" dT="2021-03-29T20:29:15.14" personId="{85375F82-BEAD-4443-8C33-F668B9E3206E}" id="{91C34527-0070-4B5C-BB34-463513AD1575}">
    <text xml:space="preserve">Tareas planificadas:
Continuar con la POC
Planes de mejora
Avance:
Continuar con la POC
Revisión falp
Apoyo remotehs 2.4
Backlog:
</text>
  </threadedComment>
  <threadedComment ref="NJ33" dT="2021-03-29T20:34:53.64" personId="{85375F82-BEAD-4443-8C33-F668B9E3206E}" id="{0D7C4A2E-4877-4DAD-9903-8B4F5C5347F2}">
    <text>Tareas planificadas:
Form. A pro
Continuar con la POC
Planes de mejora
Seguimiento
Cerrar petición fenix
Avance:
Continuar con la POC
Backlog:</text>
  </threadedComment>
  <threadedComment ref="NK33" dT="2021-03-31T22:07:34.03" personId="{85375F82-BEAD-4443-8C33-F668B9E3206E}" id="{AC8BC2B4-8E59-47F0-96B1-53688374B496}">
    <text>Tareas planificadas:
Form. A pro
Continuar con la POC
Planes de mejora
Seguimiento
Cerrar petición fenix
Avance:
Continuar con la POC
Backlog:</text>
  </threadedComment>
  <threadedComment ref="NL33" dT="2021-03-31T22:09:04.93" personId="{85375F82-BEAD-4443-8C33-F668B9E3206E}" id="{9446C54A-FEF0-47DF-AF69-ABD098F5095F}">
    <text>Tareas planificadas:
Poc OpenVidu
Revisión indicadores
Formación metodología
Formación hgugm
Avance:
Planificación remotehs
Formación hgugm
Continuar con la POC
Formación fenix
Backlog:</text>
  </threadedComment>
  <threadedComment ref="KE34" dT="2021-01-06T15:28:08.88" personId="{85375F82-BEAD-4443-8C33-F668B9E3206E}" id="{62846A50-8647-4597-BEAF-C7B434EB234B}">
    <text>Revision con sara de integraciones con clinic
Se derivan tareas a clinic y uci
Limpieza esquema ehcs</text>
  </threadedComment>
  <threadedComment ref="KF34" dT="2021-01-06T15:31:10.01" personId="{85375F82-BEAD-4443-8C33-F668B9E3206E}" id="{1A182A82-DCF7-4F23-843B-823E8424C2CE}">
    <text>Limpieza esquema ehcs y pruebas
Revision hilos device
Pausado error en document editor</text>
  </threadedComment>
  <threadedComment ref="ML34" dT="2021-03-05T13:37:58.00" personId="{85375F82-BEAD-4443-8C33-F668B9E3206E}" id="{73244B93-AFD8-4320-A746-B3227088FD0D}">
    <text xml:space="preserve">- Soporte equipo
- Acabar análisis evolutivo "introducir ritmo infusión"
</text>
  </threadedComment>
  <threadedComment ref="MO34" dT="2021-03-09T12:10:13.65" personId="{85375F82-BEAD-4443-8C33-F668B9E3206E}" id="{BDCD572F-435B-44B8-AB12-FB3364AE8C6A}">
    <text>Análisis ritmos de infusión (por finalizar)
Análisis nuevos campos en drenajes</text>
  </threadedComment>
  <threadedComment ref="MP34" dT="2021-03-09T14:57:46.19" personId="{85375F82-BEAD-4443-8C33-F668B9E3206E}" id="{CA7EF724-8DD0-4ADC-B5D4-A6EE263113F4}">
    <text xml:space="preserve">Tareas planificadas:
Análisis campos nuevos en drenajes
Avance:
Reuniones análisis indicadores
Finalizado DT de ritmos de infusión
Reunión con Pablo E.
Backlog:
Desarrollo evolutivo drenajes
</text>
  </threadedComment>
  <threadedComment ref="MQ34" dT="2021-03-10T22:27:12.69" personId="{85375F82-BEAD-4443-8C33-F668B9E3206E}" id="{0BC5508C-DEB8-4E0A-AC30-A446E72F8F1C}">
    <text>Tareas planificadas:
Incidencias en inter-consultas
Desarrollo evolutivo campos en drenajes.
Avance:
Análisis campos drenajes finalizado, no se ha podido subir por problemas con oneDrive
Revisión JPA proyecciones.
Backlog:</text>
  </threadedComment>
  <threadedComment ref="MR34" dT="2021-03-11T14:25:14.20" personId="{85375F82-BEAD-4443-8C33-F668B9E3206E}" id="{06822710-6E3F-4145-9611-87AE4E795058}">
    <text>Tareas planificadas:
Evolutivo drenajes (fin 12/03)
Avance:
Se finalizó DT de nuevos campos en drenajes
Incidencias en backlog sobre tele-uci
Se solicitó rama desarrollo drenajes
Conf. Entorno drenajes
Backlog:</text>
  </threadedComment>
  <threadedComment ref="MS34" dT="2021-03-15T12:21:39.34" personId="{85375F82-BEAD-4443-8C33-F668B9E3206E}" id="{38865AC9-7F57-4C0A-AA7B-16EA390F0594}">
    <text>Tareas planificadas:
Acabar desarrollo de drenajes EHCOSPROD-44827
Avance:
Sesiones por producto
Desarrollo drenajes
Backlog:
Correcciones 5.4.7
Estabilización EHCOSPROD-44827
Inicio evolutivo EHCOSPROD-44820
Estabilización vers. 5.6</text>
  </threadedComment>
  <threadedComment ref="MV34" dT="2021-03-16T12:35:28.62" personId="{85375F82-BEAD-4443-8C33-F668B9E3206E}" id="{DB66DC91-F41D-4BE5-9A92-3694FDE57ED0}">
    <text>Tareas planificadas:
Finalización evolutivo campos en drenajes.
Correcciones 5.4.7
Estabilización EHCOSPROD-44827
Avance:
Apoyo equipo en general.
Finalización evolutivo campos en drenajes, no fue posible concluir por problemas de entorno.
Backlog:</text>
  </threadedComment>
  <threadedComment ref="MW34" dT="2021-03-16T12:35:28.62" personId="{85375F82-BEAD-4443-8C33-F668B9E3206E}" id="{65A36CE5-19D8-4F21-B912-806665172441}">
    <text>Tareas planificadas:
Finalización evolutivo campos en drenajes.
Correcciones 5.4.7
Estabilización EHCOSPROD-44827
Avance:
Apoyo equipo en general.
Finalización evolutivo campos en drenajes, no fue posible concluir por problemas de entorno.
Backlog:</text>
  </threadedComment>
  <threadedComment ref="MX34" dT="2021-03-17T14:29:20.26" personId="{85375F82-BEAD-4443-8C33-F668B9E3206E}" id="{8F00DC8B-3820-4EC6-BF4F-8C8C3E2EA63F}">
    <text>Tareas planificadas:
EHCOSPROD-999999: Resolución error en estilos
Merges a la rama de la 5.4
Correcciones 5.4.7
Avance:
Merges a la rama de la 5.4
EHCOSPROD-999999: Resolución error en estilos
Backlog:</text>
  </threadedComment>
  <threadedComment ref="MY34" dT="2021-03-20T00:14:24.53" personId="{85375F82-BEAD-4443-8C33-F668B9E3206E}" id="{0BE6CD83-A4F0-416D-A28A-C39453010412}">
    <text>Tareas planificadas:
Merges a la rama de la 5.4
Correcciones 5.4.7
Soporte a equipo
Avance:
Ajustes de estilos
Backlog:</text>
  </threadedComment>
  <threadedComment ref="MZ34" dT="2021-03-20T00:13:34.87" personId="{85375F82-BEAD-4443-8C33-F668B9E3206E}" id="{DA4B75E6-EC7B-45E3-B8A8-BD729EBFC2C9}">
    <text xml:space="preserve">Tareas planificadas:
Correcciones 5.4.7
Soporte a equipo
Avance:
Merges a la rama de la 5.14RC3
Correcciones 5.4.7
Cambio librerías de la rama de la 5.4 para apuntar a la 5.14RC3
Soporte conf. Entorno a Pablo
Backlog:
</text>
  </threadedComment>
  <threadedComment ref="NC34" dT="2021-03-24T16:28:06.12" personId="{85375F82-BEAD-4443-8C33-F668B9E3206E}" id="{4C46B41D-C03B-4614-A786-4CCFCC30BA77}">
    <text>Tareas planificadas:
EHCOSPROD-44761 - Hora fin desasignación de pacientes
EHCOSPROD-45355 - No se muestra primera constante de grupo de parámetros vitales
EHCOSPROD-44469 - No se visualiza botonera al acceder desde valoración de enfermería
Avance:
Configuracion entorno Pablo, postgres y oracle
Apoyo equipo
Estabilizacion entorno local version 5.14RC3-SNAPSHOT 5.4UCI-SNAPSHOT 
Backlog:
EHCOSPROD-44472 - Al generar acciones sobre el panel se desajusta el grid
EHCOSPROD-45320 - Error al configurar el tipo de campo "Campos Componentes ICU" en un informe
EHCOSPROD-45352 - Caída de Aplicación</text>
  </threadedComment>
  <threadedComment ref="ND34" dT="2021-03-24T16:30:58.31" personId="{85375F82-BEAD-4443-8C33-F668B9E3206E}" id="{E1748539-B302-43DB-A5CE-BDFE242C7009}">
    <text>Tareas planificadas:
Soporte Equipo
Jiras versión 5.4.7
Avance:
Graficas de la homepage
Escalas -&gt; traslado de tabla de perfiles
Import dump de la 75
Soporte equipo</text>
  </threadedComment>
  <threadedComment ref="NE34" dT="2021-03-24T16:33:53.60" personId="{85375F82-BEAD-4443-8C33-F668B9E3206E}" id="{5965254B-8021-4D9E-9FC8-14C837C5FDF8}">
    <text>Tareas planificadas:
Soporte Equipo
Jiras versión 5.4.7
Avance:
Graficas de la homepage -&gt; finalizado
Escalas -&gt; finalizado
Backlog:</text>
  </threadedComment>
  <threadedComment ref="NF34" dT="2021-03-29T20:27:37.13" personId="{85375F82-BEAD-4443-8C33-F668B9E3206E}" id="{CEE84F8F-5567-4584-973B-AF8441853F28}">
    <text>Tareas planificadas:
Jiras versión 5.4.7
Merge al trunk
Soporte
Avance:
Jiras versión 5.4.7
Backlog:</text>
  </threadedComment>
  <threadedComment ref="NG34" dT="2021-03-29T20:29:32.74" personId="{85375F82-BEAD-4443-8C33-F668B9E3206E}" id="{D867B907-0F96-4EFA-9D8F-41CFA3F597AA}">
    <text>Tareas planificadas:
Jiras versión 5.4.7
Merge al trunk -&gt; lo ya subido se pasará al trunk
5.14-RC3
Soporte
Avance:
Merge al trunk -&gt; lo ya subido se pasará al trunk
5.14-RC3
Jiras versión 5.4.7
soporte
Backlog:</text>
  </threadedComment>
  <threadedComment ref="NJ34" dT="2021-03-29T20:35:36.23" personId="{85375F82-BEAD-4443-8C33-F668B9E3206E}" id="{464B96FE-15D0-4F40-96E7-68B60B66C3CE}">
    <text>Tareas planificadas:
Jiras versión 5.4.7
Soporte
Avance:
Merge al trunk -&gt; lo ya subido se pasará al trunk
5.14-RC3
Actualización jira
soporte</text>
  </threadedComment>
  <threadedComment ref="NK34" dT="2021-03-31T22:07:44.91" personId="{85375F82-BEAD-4443-8C33-F668B9E3206E}" id="{E642F8FB-59B6-4659-B0C6-050DD417141C}">
    <text>Tareas planificadas:
Merges
Soporte
Avance:
Permisos en firma y en backups
Selección de turnos
Corrección header report
Soporte
Backlog:</text>
  </threadedComment>
  <threadedComment ref="NL34" dT="2021-03-31T22:09:16.43" personId="{85375F82-BEAD-4443-8C33-F668B9E3206E}" id="{2934764D-E506-4F4F-A7CE-ED3420165C02}">
    <text>Tareas planificadas:
Avance:
Ordenando tareas gestión
Tareas backlog -&gt; merge 5.4 to trunk
Planificación 
Soporte equipo
Backlog:</text>
  </threadedComment>
  <threadedComment ref="MV35" dT="2021-03-16T12:36:27.63" personId="{85375F82-BEAD-4443-8C33-F668B9E3206E}" id="{6B0B8652-3C7C-4BA9-9401-EC75FD75D650}">
    <text xml:space="preserve">Pablo Escobar:
Tareas planificadas:
Revisión píldoras formativas.
Inducción
Avance:
Backlog
</text>
  </threadedComment>
  <threadedComment ref="MW35" dT="2021-03-16T12:36:27.63" personId="{85375F82-BEAD-4443-8C33-F668B9E3206E}" id="{A6BFF39A-3C15-4F93-92B9-06F101CBEB7A}">
    <text xml:space="preserve">Pablo Escobar:
Tareas planificadas:
Revisión píldoras formativas.
Inducción
Avance:
Backlog
</text>
  </threadedComment>
  <threadedComment ref="MX35" dT="2021-03-17T14:29:56.46" personId="{85375F82-BEAD-4443-8C33-F668B9E3206E}" id="{599A042B-5FD4-45DB-8727-89C606D52874}">
    <text>Tareas planificadas:
Acabar la configuración de entorno
Configurar BDD
Avance:
Pildoras
Configuración de entorno 
Backlog:</text>
  </threadedComment>
  <threadedComment ref="MY35" dT="2021-03-20T00:14:34.56" personId="{85375F82-BEAD-4443-8C33-F668B9E3206E}" id="{E58C1D70-C01C-48AA-AF47-DF8A349EFABD}">
    <text>Tareas planificadas:
Acabar la configuración de entorno
Configurar BDD Oracle
Avance:
Pildoras
Configuración BBDD Postgres
Backlog:</text>
  </threadedComment>
  <threadedComment ref="MZ35" dT="2021-03-20T00:13:46.91" personId="{85375F82-BEAD-4443-8C33-F668B9E3206E}" id="{B90A7CC6-2890-4E09-833C-2730A83F338B}">
    <text>Tareas planificadas:
Acabar la configuración de entorno
Crear segunda instancia de ORACLE
Importar dump ORACLE
Avance:
Pildora JIRA
Formación técnica dom y server
Configurar BDD Oracle
Importación dump Postgres
Backlog:</text>
  </threadedComment>
  <threadedComment ref="NC35" dT="2021-03-24T16:28:17.13" personId="{85375F82-BEAD-4443-8C33-F668B9E3206E}" id="{2163C8C8-6890-40F0-9AA1-6EA93677D538}">
    <text>Tareas planificadas:
Acabar de solventar error de configuración de entorno
Importar dump, ver que pasa con el entorno
Avance:
Acabar la configuración de entorno
Crear segunda instancia de ORACLE
Importar dump ORACLE
Backlog:</text>
  </threadedComment>
  <threadedComment ref="ND35" dT="2021-03-24T16:31:14.37" personId="{85375F82-BEAD-4443-8C33-F668B9E3206E}" id="{015FC8DC-C0C2-42D7-8404-058D97C6DE75}">
    <text>Tareas planificadas:
Revisión código
Jira de controles en HK
Avance:
Revisión de código
Jira de controles en HK
Backlog:
 </text>
  </threadedComment>
  <threadedComment ref="NE35" dT="2021-03-24T16:34:03.11" personId="{85375F82-BEAD-4443-8C33-F668B9E3206E}" id="{C4C1266E-98FC-4ACB-AAE4-B99B6FCAA346}">
    <text>Tareas planificadas:
Resolver conflicto ficheros css
Jiras 5.6
Avance:
Resolución error en estilos
Backlog:</text>
  </threadedComment>
  <threadedComment ref="NF35" dT="2021-03-29T20:27:51.05" personId="{85375F82-BEAD-4443-8C33-F668B9E3206E}" id="{D6679A01-9994-4102-ABD9-F76A565CF165}">
    <text>Tareas planificadas:
Jiras 5.6
Correctivos
Avance:
Jiras 5.6
Textbox que se desplaza
Error en pérdidas.
Backlog:</text>
  </threadedComment>
  <threadedComment ref="NG35" dT="2021-03-29T20:29:44.25" personId="{85375F82-BEAD-4443-8C33-F668B9E3206E}" id="{38FA4DFE-688D-4F54-9A74-2B30FC49CCFA}">
    <text>Tareas planificadas:
Jiras 5.6
Correctivos
Avance:
Jiras 5.6
Finalizó correctivo de recambios (pendiente de subida)
Backlog:</text>
  </threadedComment>
  <threadedComment ref="NJ35" dT="2021-03-29T20:35:47.98" personId="{85375F82-BEAD-4443-8C33-F668B9E3206E}" id="{EDA80D48-6615-4BC4-819B-FF1D886EB9BE}">
    <text xml:space="preserve">Tareas planificadas:
Generación de script para insertar en base de datos las constantes vitales
Actualizar tareas en jira
Avance:
Finalizado jora - Componente de escalas (subido al tronco)
Backlog:
</text>
  </threadedComment>
  <threadedComment ref="NK35" dT="2021-03-31T22:07:55.91" personId="{85375F82-BEAD-4443-8C33-F668B9E3206E}" id="{3A364557-6D4B-49F9-86B7-96596E3F1082}">
    <text>Tareas planificadas:
Resolver dudas con german
Correctivos 5.6
Avance:
Correctivos 5.6
Backlog:</text>
  </threadedComment>
  <threadedComment ref="NL35" dT="2021-03-31T22:09:27.18" personId="{85375F82-BEAD-4443-8C33-F668B9E3206E}" id="{B0E1B281-6B9B-4BC3-AA1C-1A30D948A940}">
    <text>Tareas planificadas:
Scripts -&gt; cambios pendientes
Conf. Entorno uci-clinic
Resolver dudas con german
Avance:
Correctivos 5.6
Backlog:</text>
  </threadedComment>
  <threadedComment ref="ML36" dT="2021-03-05T13:36:28.09" personId="{85375F82-BEAD-4443-8C33-F668B9E3206E}" id="{9FEF918A-B346-465F-9E34-140462F91CC6}">
    <text xml:space="preserve">Realización de pruebas manuales sobre evolutivo tele-uci
</text>
  </threadedComment>
  <threadedComment ref="MO36" dT="2021-03-09T12:10:32.37" personId="{85375F82-BEAD-4443-8C33-F668B9E3206E}" id="{04CDF112-223C-4DFB-BEF2-FB01D45495DD}">
    <text xml:space="preserve">Pruebas sobre modulo inter-consultas
Ajustes pruebas mapa de camas
</text>
  </threadedComment>
  <threadedComment ref="MP36" dT="2021-03-09T14:57:59.00" personId="{85375F82-BEAD-4443-8C33-F668B9E3206E}" id="{24DDFC30-F18D-41E6-9459-38DA66A6B869}">
    <text xml:space="preserve">Tareas planificadas:
PP ritmo de infusión (retomar)
PP nuevos campos drenajes
PP Tooltip mapa de camas
PP Interconsultas 
Avance:
PP Revisión con sara lista tele-uci
PP ritmo de infusión
Backlog:
</text>
  </threadedComment>
  <threadedComment ref="MQ36" dT="2021-03-10T22:28:00.00" personId="{85375F82-BEAD-4443-8C33-F668B9E3206E}" id="{CD2F2B04-26FD-4270-A99C-CAB43A0F9312}">
    <text>Tareas planificadas:
PP Diagnósticos e información clínica.
PP Interconsultas 
Avance:
PPFinalizado PP Tooltip mapa de camas.
PPDrenajes
PP Ritmo infusión
Backlog:</text>
  </threadedComment>
  <threadedComment ref="MR36" dT="2021-03-11T14:25:27.84" personId="{85375F82-BEAD-4443-8C33-F668B9E3206E}" id="{B9CB18FF-17D0-4241-9C40-8E44938DC483}">
    <text>Tareas planificadas:
Ajustes PP versión 5.6 (revisar definiciones)
Iteración 2 v5.6 en entorno UCI - CLINIC
Avance:
Problemas con despliegue en QA.
Pruebas sobre mapa de camas UCI.
Backlog:
Iteración 1 v5.6 en UCI stand-alone en entorno 119 (pendiente a que esté disponible servidor)</text>
  </threadedComment>
  <threadedComment ref="MS36" dT="2021-03-15T12:26:23.88" personId="{85375F82-BEAD-4443-8C33-F668B9E3206E}" id="{FDF057E8-68DF-425D-8FAD-776018ADC65D}">
    <text>Tareas planificadas:
Retomar Acabar Pruebas WL teleUCI
Pruebas evolutivo EHCOSPROD-44827 
Ejecución PP 5.4.7
Ejecución PP Iteración 2 v5.6 en entorno UCI - CLINIC
Avance:
Acabar Pruebas WL teleUCI
PP iteración 2 v5.6
Backlog:</text>
  </threadedComment>
  <threadedComment ref="MV36" dT="2021-03-16T12:35:09.59" personId="{85375F82-BEAD-4443-8C33-F668B9E3206E}" id="{3306AE92-BDEB-4995-A7B6-6B5C88FDB222}">
    <text>Tareas planificadas:
Retomar Acabar Pruebas WL teleUCI
Pruebas evolutivo EHCOSPROD-44827 
Ejecución PP 5.4.7
Ejecución PP Iteración 2 v5.6 en entorno UCI - CLINIC
Avance:
Ejecución PP WL TeleUCI
Ajustes PP
Backlog:</text>
  </threadedComment>
  <threadedComment ref="MW36" dT="2021-03-17T14:30:20.73" personId="{85375F82-BEAD-4443-8C33-F668B9E3206E}" id="{FC8262E9-4894-4298-BE21-15DB2AC5D2C1}">
    <text>Tareas planificadas:
PP Diagnósticos e información clínica.
PP Interconsultas 
Avance:
PPFinalizado PP Tooltip mapa de camas.
PPDrenajes
PP Ritmo infusión
Backlog:</text>
  </threadedComment>
  <threadedComment ref="MX36" dT="2021-03-17T14:30:08.41" personId="{85375F82-BEAD-4443-8C33-F668B9E3206E}" id="{5D373AD2-2BB3-4EE6-AD86-58383CC88D60}">
    <text>Tareas planificadas:
Ejecución PP versión 5.4.6
Ejecución PP nuevos campos drenajes
Avance:
Ejecución PP versión 5.4.6 -&gt; se levantaron JIRAS
Backlog:</text>
  </threadedComment>
  <threadedComment ref="MY36" dT="2021-03-20T00:14:45.20" personId="{85375F82-BEAD-4443-8C33-F668B9E3206E}" id="{FB235F42-3C56-44C4-B1D9-25A9F6CCFE28}">
    <text>Tareas planificadas:
Ejecución PP versión 5.4.6
Ejecución PP nuevos campos drenajes
Avance:
Ejecución PP versión 5.4.6 -&gt; se levantaron JIRAS
Backlog:</text>
  </threadedComment>
  <threadedComment ref="MZ36" dT="2021-03-20T00:13:58.48" personId="{85375F82-BEAD-4443-8C33-F668B9E3206E}" id="{338C0AAB-1733-45E5-85E3-0BC2A3DE95B1}">
    <text xml:space="preserve">Tareas planificadas:
Ejecución PP versión 5.4.6
Documento actualización de pruebas
Avance:
Ejecución PP configuración 5.4.6
Cursos obligatorios de bienvenida
Backlog:
</text>
  </threadedComment>
  <threadedComment ref="NC36" dT="2021-03-24T16:28:34.07" personId="{85375F82-BEAD-4443-8C33-F668B9E3206E}" id="{230FF52E-20B3-49DE-A252-923B4552A31D}">
    <text>Tareas planificadas:
Ejecución PP 5.6R
Ejecución PP versión 5.4.6
Documento actualización de pruebas
Avance:
Finalizó PP y levantó jiras
Ejecución PP configuración 5.4.6
Backlog:</text>
  </threadedComment>
  <threadedComment ref="ND36" dT="2021-03-24T16:31:25.44" personId="{85375F82-BEAD-4443-8C33-F668B9E3206E}" id="{B56B4CE2-984D-4A05-BA23-7C2B995B3D10}">
    <text>Tareas planificadas:
Ejecución PP 5.6R -&gt; información de enfermaría
Avance:
Ejecución PP 5.6R
Backlog:</text>
  </threadedComment>
  <threadedComment ref="NE36" dT="2021-03-24T16:34:25.42" personId="{85375F82-BEAD-4443-8C33-F668B9E3206E}" id="{3181044A-DB15-4F72-8163-428200FE171E}">
    <text>Tareas planificadas:
Ejecución PP 5.6R
Avance:
Ejecución PP 5.6R - Se levantaron incidencias.
Backlog:</text>
  </threadedComment>
  <threadedComment ref="NF36" dT="2021-03-29T20:28:14.60" personId="{85375F82-BEAD-4443-8C33-F668B9E3206E}" id="{F803C14B-0D49-44F8-9EFD-1F31E1BD114C}">
    <text xml:space="preserve">Tareas planificadas:
Ejecución PP 5.6R - Información de enfermería
Avance:
Pruebas al azar en aplicación
Ejecución PP 5.6R
Backlog:
</text>
  </threadedComment>
  <threadedComment ref="NG36" dT="2021-03-29T20:30:06.68" personId="{85375F82-BEAD-4443-8C33-F668B9E3206E}" id="{D9CA4E70-E309-4E4C-A33F-576D04196971}">
    <text>Tareas planificadas:
Ejecución PP 5.6R
Avance:
Ejecución PP 5.6R - perfil médico
Backlog:</text>
  </threadedComment>
  <threadedComment ref="NJ36" dT="2021-03-29T20:35:58.59" personId="{85375F82-BEAD-4443-8C33-F668B9E3206E}" id="{C92CF135-B241-4712-91F7-8ED8C5608642}">
    <text>Tareas planificadas:
Continuar con la ejecución PP 5.4.6R 
Avance:
Incidencias 5.4.6 -&gt; se levantaron Jiras
Backlog:</text>
  </threadedComment>
  <threadedComment ref="NK36" dT="2021-03-31T22:08:08.86" personId="{85375F82-BEAD-4443-8C33-F668B9E3206E}" id="{FD35AC96-98D2-473C-8506-AFC116C06E3E}">
    <text>Tareas planificadas:
Revisión de jiras pendientes de testing
Continuar ejecución plan de pruebas 5.6
Avance:
Revisión de jiras pendientes de testing
Continuar ejecución plan de pruebas 5.6
Backlog:</text>
  </threadedComment>
  <threadedComment ref="NL36" dT="2021-03-31T22:09:37.82" personId="{85375F82-BEAD-4443-8C33-F668B9E3206E}" id="{0BBBF009-DC7E-455A-AFED-768262C10450}">
    <text>Tareas planificadas:
Prueba jiras resueltos
Continuar ejecución plan de pruebas 5.6 -&gt; flujos más largos
Avance:
Incidencias versión 5.6 
Backlog:</text>
  </threadedComment>
  <threadedComment ref="KE37" dT="2021-01-06T15:21:18.45" personId="{85375F82-BEAD-4443-8C33-F668B9E3206E}" id="{D666E192-7068-4D4D-AD68-8976EBC19B7B}">
    <text>- EHCOSPROD-39875: Evolutivo anotaciones del paciente, tomo más tiempo el layout.</text>
  </threadedComment>
  <threadedComment ref="KF37" dT="2021-01-06T15:21:50.55" personId="{85375F82-BEAD-4443-8C33-F668B9E3206E}" id="{02A1D048-6517-4F47-8A68-083AF73A96E6}">
    <text>EHCOSPROD-39875: Evolutivo anotaciones del paciente, falta panel y con eso acabaría hoy la codificación.</text>
  </threadedComment>
  <threadedComment ref="ML37" dT="2021-03-05T13:35:18.35" personId="{85375F82-BEAD-4443-8C33-F668B9E3206E}" id="{205DFD91-1AB6-4D00-AEFA-AD87D41F9C34}">
    <text>Salida del equipo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X7" dT="2021-09-20T15:35:09.72" personId="{0A70E7DC-C7E8-4166-9E92-536789E25B82}" id="{9BE4F379-9C1E-43AD-B0B4-B6A161B8FCB8}">
    <text>Festivo en España</text>
  </threadedComment>
  <threadedComment ref="LE7" dT="2022-03-04T09:15:07.59" personId="{131F0503-5C5C-485C-B315-093A9477DF4B}" id="{94EC47D9-DDC9-4024-A5E8-10ED8E2CC652}">
    <text>Festivo ZGZ</text>
  </threadedComment>
  <threadedComment ref="MH7" dT="2022-03-04T09:20:58.07" personId="{131F0503-5C5C-485C-B315-093A9477DF4B}" id="{E53A04E9-2369-4E92-8BDB-58D7B381613F}">
    <text>Festivo Portugal</text>
  </threadedComment>
  <threadedComment ref="MN7" dT="2022-03-04T09:15:34.09" personId="{131F0503-5C5C-485C-B315-093A9477DF4B}" id="{1DC29C6A-A365-4916-8DFA-FE4B3DA78313}">
    <text>Festivo ZGZ</text>
  </threadedComment>
  <threadedComment ref="P9" dT="2021-04-05T16:40:06.02" personId="{BD1330D9-4FEF-4715-8C6A-15F4CBFCA3FD}" id="{1E38AAFC-1BB0-47CA-9BA9-8A69BB13F8B5}">
    <text>## EMILIO
Tareas planificadas:
- v2.5: [EHCOSPROD-42281] Configuración de idiomas por entidad 
- v2.5: [EHCOSPROD-40837] Añadir posibilidad de mantener más de 3 idiomas por instalación 
Backlog:
- Nuevo JIRA - Similar a 42281 para configurar idiomas de Frases del dia
- instalacion de oracle 12
- instalación de postgres11
- Soporte nuevo compañero</text>
  </threadedComment>
  <threadedComment ref="P9" dT="2021-04-06T15:36:40.93" personId="{BD1330D9-4FEF-4715-8C6A-15F4CBFCA3FD}" id="{CC02AA04-220B-4526-B8AA-19EA3B14B37B}" parentId="{1E38AAFC-1BB0-47CA-9BA9-8A69BB13F8B5}">
    <text>Avance:
-----------------------------------
- v2.5: [EHCOSPROD-42281] Configuración de idiomas por entidad 
&gt; avanzando con dudas
- v2.5: [EHCOSPROD-40837] Añadir posibilidad de mantener más de 3 idiomas por instalación 
&gt; avanzando con dudas
&gt; Ausencia 05/04/2021: Emergencia madre</text>
  </threadedComment>
  <threadedComment ref="Q9" dT="2021-04-06T15:37:03.31" personId="{BD1330D9-4FEF-4715-8C6A-15F4CBFCA3FD}" id="{6A56B386-D78A-461C-BFEA-6B79748F3577}">
    <text>## EMILIO
Tareas planificadas:
- v2.5: [EHCOSPROD-42281] Configuración de idiomas por entidad 
- v2.5: [EHCOSPROD-40837] Añadir posibilidad de mantener más de 3 idiomas por instalación 
Backlog:
- Nuevo JIRA - Similar a 42281 para configurar idiomas de Frases del dia
- instalacion de oracle 12
- instalación de postgres11
- Soporte nuevo compañero</text>
  </threadedComment>
  <threadedComment ref="Q9" dT="2021-04-07T14:36:27.90" personId="{BD1330D9-4FEF-4715-8C6A-15F4CBFCA3FD}" id="{E92FE3E3-4026-4996-925A-017A0E81739C}" parentId="{6A56B386-D78A-461C-BFEA-6B79748F3577}">
    <text xml:space="preserve">Avance:
-----------------------------------
- v2.5: [EHCOSPROD-42281] Configuración de idiomas por entidad 
&gt; avanzando, cambios despues de dudas para mostrar combos de idiomas
- v2.5: [EHCOSPROD-40837] Añadir posibilidad de mantener más de 3 idiomas por instalación &gt; fin 09/04 
&gt; avanzando
</text>
  </threadedComment>
  <threadedComment ref="R9" dT="2021-04-07T14:36:08.98" personId="{BD1330D9-4FEF-4715-8C6A-15F4CBFCA3FD}" id="{238ABB19-C7A9-4C94-B11E-C28C3907BBFF}">
    <text>## EMILIO
Tareas planificadas:
- v2.5: [EHCOSPROD-42281] Configuración de idiomas por entidad &gt; fin 09/04
- v2.5: [EHCOSPROD-40837] Añadir posibilidad de mantener más de 3 idiomas por instalación &gt; fin 09/04 
Backlog:
- [EHCOSPROD-46065] Frase del día. Adaptar a multi idoma
- instalacion de oracle 12
- instalación de postgres11
- Soporte nuevo compañero</text>
  </threadedComment>
  <threadedComment ref="R9" dT="2021-04-08T17:15:27.95" personId="{BD1330D9-4FEF-4715-8C6A-15F4CBFCA3FD}" id="{C5C2E3C3-07AB-4BAE-AD97-F67361908ED1}" parentId="{238ABB19-C7A9-4C94-B11E-C28C3907BBFF}">
    <text>Avance:
-----------------------------------
- v2.5: [EHCOSPROD-42281] Configuración de idiomas por entidad &gt; fin 09/04
&gt; terminado, pendiente de validar con grecia
- v2.5: [EHCOSPROD-46065] Frase del día. Adaptar a multi idoma
&gt; terminado, pendiente de validar con grecia
- v2.5: [EHCOSPROD-40837] Añadir posibilidad de mantener más de 3 idiomas por instalación &gt; fin 09/04 
&gt; terminado con dudas con marcos</text>
  </threadedComment>
  <threadedComment ref="S9" dT="2021-04-08T17:16:37.33" personId="{BD1330D9-4FEF-4715-8C6A-15F4CBFCA3FD}" id="{874D28BD-B48D-4F54-A47D-6246C1AEF9B1}">
    <text xml:space="preserve">## EMILIO
Tareas planificadas:
- v2.5: [EHCOSPROD-42281] Configuración de idiomas por entidad &gt; fin 09/04
&gt; pendiente de validar con grecia
- v2.5: [EHCOSPROD-46065] Frase del día. Adaptar a multi idoma
&gt; pendiente de validar con grecia
- v2.5: [EHCOSPROD-40837] Añadir posibilidad de mantener más de 3 idiomas por instalación &gt; fin 09/04 
&gt; pendiente de dudas con marcos
- Nuevo jira relacionado con la exportacion de personas
Backlog:
- v2.5: [EHCOSPROD-44901] Separar idioma app y web
- v2.5: [EHCOSPROD-43791] Idioma servicio perfil 360 
- v2.5: [EHCOSPROD-43810] Error en idioma del correo de soporte técnico parte publica 
- v2.5: [EHCOSPROD-45870] Envio de correo posiblemente cambia el idioma de la WEB
- instalacion de oracle 12
- instalación de postgres11
- Soporte nuevo compañero
</text>
  </threadedComment>
  <threadedComment ref="S9" dT="2021-04-12T08:26:21.56" personId="{BD1330D9-4FEF-4715-8C6A-15F4CBFCA3FD}" id="{C3F37806-F53C-43E1-86D4-D04F598D39E8}" parentId="{874D28BD-B48D-4F54-A47D-6246C1AEF9B1}">
    <text>Avance:
-----------------------------------
- v2.4.1: [EHCOSPROD-46166] Motivo de baja en Excel de Exportación datos Personales 
&gt; terminado
- v2.4.1: [EHCOSPROD-46162] Exportación. Permitir hacer búsqueda solo por fecha
&gt; terminado
- v2.5: [EHCOSPROD-42281] Configuración de idiomas por entidad &gt; fin 09/04
&gt; terminada con DL, se pausa hasta poder realizar merge de la 2.5 despues de liberación de la 2.4.1
- v2.5: [EHCOSPROD-46065] Frase del día. Adaptar a multi idoma
&gt; terminada se pausa en espera de merge</text>
  </threadedComment>
  <threadedComment ref="T9" dT="2021-04-12T08:27:14.47" personId="{BD1330D9-4FEF-4715-8C6A-15F4CBFCA3FD}" id="{22CE58B1-07D3-421E-BAF0-DF315B59BD34}">
    <text>## EMILIO
Tareas planificadas:
- Actualizar QA con v2.4.1 preguntar
- Actualizar PRE con v2.4.0.2 si es solicitado
- v2.5: [EHCOSPROD-42281] Configuración de idiomas por entidad &gt; fin 09/04
&gt; pendiente de dudas con marcos
&gt; copiar DL &gt; ehCOS Remote PRM - 02. Producto\0204 Documentación técnica\ehCOS Remote Web\020401 Documentos de liberación
- v2.5: [EHCOSPROD-40837] Añadir posibilidad de mantener más de 3 idiomas por instalación &gt; fin 09/04 
&gt; pendiente de validar con grecia
Backlog:
- v2.5: [EHCOSPROD-44901] Separar idioma app y web
- v2.5: [EHCOSPROD-43791] Idioma servicio perfil 360 
- v2.5: [EHCOSPROD-43810] Error en idioma del correo de soporte técnico parte publica 
- v2.5: [EHCOSPROD-45870] Envio de correo posiblemente cambia el idioma de la WEB
- instalacion de oracle 12
- instalación de postgres11
- Soporte nuevo compañero</text>
  </threadedComment>
  <threadedComment ref="T9" dT="2021-04-12T16:54:58.04" personId="{BD1330D9-4FEF-4715-8C6A-15F4CBFCA3FD}" id="{2B1FEF17-9BF8-421A-83B4-B29804B44EA1}" parentId="{22CE58B1-07D3-421E-BAF0-DF315B59BD34}">
    <text>Avance:
-----------------------------------
- Actualizar QA con v2.4.1 
- v2.5: [EHCOSPROD-42281] Configuración de idiomas por entidad &gt; fin 09/04
&gt; terminada pendiente de merge de 2.5 en trunk
- v2.5: [EHCOSPROD-46065] Frase del día. Adaptar a multi idoma
&gt; pausada, pendiente de dudas de servicio rest de frases del dia
- v2.5: [EHCOSPROD-43791] Idioma servicio perfil 360 
&gt; empezada</text>
  </threadedComment>
  <threadedComment ref="W9" dT="2021-04-12T16:54:06.40" personId="{BD1330D9-4FEF-4715-8C6A-15F4CBFCA3FD}" id="{5AE1F35D-CF08-49D2-9BFE-94E85CA6A351}">
    <text>## EMILIO
Tareas planificadas:
- v2.5: [EHCOSPROD-42281] Configuración de idiomas por entidad &gt; fin 09/04
&gt; copiar DL &gt; ehCOS Remote PRM - 02. Producto\0204 Documentación técnica\ehCOS Remote Web\020401 Documentos de liberación
- v2.5: [EHCOSPROD-46065] Frase del día. Adaptar a multi idoma
&gt; pausada, pendiente de dudas de servicio rest de frases del dia
- v2.5: [EHCOSPROD-40837] Añadir posibilidad de mantener más de 3 idiomas por instalación &gt; fin 09/04 
&gt; pendiente de validar con grecia
- v2.5: [EHCOSPROD-43791] Idioma servicio perfil 360 
Backlog:
- v2.5: [EHCOSPROD-44901] Separar idioma app y web
- v2.5: [EHCOSPROD-43810] Error en idioma del correo de soporte técnico parte publica 
- v2.5: [EHCOSPROD-45870] Envio de correo posiblemente cambia el idioma de la WEB
- instalacion de oracle 12
- instalación de postgres11
- Soporte nuevo compañero</text>
  </threadedComment>
  <threadedComment ref="W9" dT="2021-04-13T15:01:44.01" personId="{BD1330D9-4FEF-4715-8C6A-15F4CBFCA3FD}" id="{1EC6EB94-5461-4E69-A803-25D7B6F934C2}" parentId="{5AE1F35D-CF08-49D2-9BFE-94E85CA6A351}">
    <text>Avance:
-----------------------------------
- v2.5: [EHCOSPROD-40837] Añadir posibilidad de mantener más de 3 idiomas por instalación &gt; fin 09/04 
&gt; pausada pendiente dudas con marcos
- v2.5: [EHCOSPROD-46065] Frase del día. Adaptar a multi idoma
&gt; finalizado, pendiente de validacion con grecia
- v2.5: [EHCOSPROD-43791] Idioma servicio perfil 360 
&gt; empezando</text>
  </threadedComment>
  <threadedComment ref="X9" dT="2021-04-13T15:01:19.62" personId="{BD1330D9-4FEF-4715-8C6A-15F4CBFCA3FD}" id="{A9C375EE-1E62-4353-BD7C-7958B1FA76C3}">
    <text>## EMILIO
Tareas planificadas:
- v2.5: [EHCOSPROD-43791] Idioma servicio perfil 360 
Pendiente:
- v2.5: [EHCOSPROD-42281] Configuración de idiomas por entidad &gt; fin 09/04
&gt; copiar DL &gt; ehCOS Remote PRM - 02. Producto\0204 Documentación técnica\ehCOS Remote Web\020401 Documentos de liberación
&gt; pausada, espera de merge 2.5
- v2.5: [EHCOSPROD-46065] Frase del día. Adaptar a multi idoma
&gt; finalizado, pendiente de validar con grecia
- v2.5: [EHCOSPROD-40837] Añadir posibilidad de mantener más de 3 idiomas por instalación &gt; fin 09/04 
&gt; pausada, pendiente dudas con marcos
Backlog:
- v2.5: [EHCOSPROD-44901] Separar idioma app y web
- v2.5: [EHCOSPROD-43810] Error en idioma del correo de soporte técnico parte publica 
- v2.5: [EHCOSPROD-45870] Envio de correo posiblemente cambia el idioma de la WEB
- instalacion de oracle 12
- instalación de postgres11
- Soporte nuevo compañero</text>
  </threadedComment>
  <threadedComment ref="X9" dT="2021-04-14T17:10:24.22" personId="{BD1330D9-4FEF-4715-8C6A-15F4CBFCA3FD}" id="{3A661297-E64C-4935-83E7-D5CA64470436}" parentId="{A9C375EE-1E62-4353-BD7C-7958B1FA76C3}">
    <text>Avance:
-----------------------------------
- v2.5: [EHCOSPROD-43791] Idioma servicio perfil 360 
&gt; terminada, pendiente de merge
- v2.5: [EHCOSPROD-44901] Separar idioma app y web
&gt; terminada, pendiente de merge
- v2.5: [EHCOSPROD-43810] Error en idioma del correo de soporte técnico parte publica 
&gt; finalizada pendiente pruebas con grecia
- v2.5: [EHCOSPROD-45870] Envio de correo posiblemente cambia el idioma de la WEB
&gt; avanzando con dudas</text>
  </threadedComment>
  <threadedComment ref="Y9" dT="2021-04-14T17:11:18.83" personId="{BD1330D9-4FEF-4715-8C6A-15F4CBFCA3FD}" id="{91A2F85B-9E75-41A1-BA2C-A49FC708D208}">
    <text>## EMILIO
Tareas planificadas:
- v2.5: [EHCOSPROD-45870] Envio de correo posiblemente cambia el idioma de la WEB
Pendiente de validar con grecia y en espera de merge a trunk:
- v2.5: [EHCOSPROD-40837] Añadir posibilidad de mantener más de 3 idiomas por instalación &gt; fin 09/04 
- v2.5: [EHCOSPROD-42281] Configuración de idiomas por entidad &gt; fin 09/04
- v2.5: [EHCOSPROD-43791] Idioma servicio perfil 360 
- v2.5: [EHCOSPROD-44901] Separar idioma app y web
- v2.5: [EHCOSPROD-46065] Frase del día. Adaptar a multi idoma
- v2.5: [EHCOSPROD-43810] Error en idioma del correo de soporte técnico parte publica 
Backlog:
- instalación de oracle 12
- instalación de postgres11
- Soporte nuevo compañero
- Control de Licencias 
- Extracción Algoritmo</text>
  </threadedComment>
  <threadedComment ref="Y9" dT="2021-04-15T17:35:31.07" personId="{BD1330D9-4FEF-4715-8C6A-15F4CBFCA3FD}" id="{D05436F4-91F3-4D57-8387-00584AAE19F6}" parentId="{91A2F85B-9E75-41A1-BA2C-A49FC708D208}">
    <text xml:space="preserve">Avance:
-----------------------------------
- v2.5: [EHCOSPROD-43810] Error en idioma del correo de soporte técnico parte publica 
&gt; terminada en espera de liberacion
- v2.5: [EHCOSPROD-45870] Envio de correo posiblemente cambia el idioma de la WEB
&gt; terminada en espera de liberacion
</text>
  </threadedComment>
  <threadedComment ref="Z9" dT="2021-04-15T17:35:22.89" personId="{BD1330D9-4FEF-4715-8C6A-15F4CBFCA3FD}" id="{460F38F4-DF7A-4CDD-9B66-CBF3435EFAB8}">
    <text xml:space="preserve">
## EMILIO
Tareas planificadas:
- v2.5: [EHCOSPROD-46360] Sacar labels 2.5 para traducir a alemán
Pendiente de validar con grecia y en espera de merge a trunk:
- v2.5: [EHCOSPROD-40837] Añadir posibilidad de mantener más de 3 idiomas por instalación &gt; fin 09/04 
- v2.5: [EHCOSPROD-42281] Configuración de idiomas por entidad &gt; fin 09/04
- v2.5: [EHCOSPROD-43791] Idioma servicio perfil 360 
- v2.5: [EHCOSPROD-44901] Separar idioma app y web
- v2.5: [EHCOSPROD-46065] Frase del día. Adaptar a multi idoma
- v2.5: [EHCOSPROD-43810] Error en idioma del correo de soporte técnico parte publica 
- v2.5: [EHCOSPROD-45870] Envio de correo posiblemente cambia el idioma de la WEB
Backlog:
- instalación de oracle 12
- instalación de postgres11
- Soporte nuevo compañero
- Control de Licencias 
- Extracción Algoritmo</text>
  </threadedComment>
  <threadedComment ref="Z9" dT="2021-04-16T15:27:46.44" personId="{BD1330D9-4FEF-4715-8C6A-15F4CBFCA3FD}" id="{AB81A2F8-3AF6-4656-9527-860193E708EB}" parentId="{460F38F4-DF7A-4CDD-9B66-CBF3435EFAB8}">
    <text>Avance:
-----------------------------------
- v2.5: [EHCOSPROD-46360] Sacar labels 2.5 para traducir a alemán
&gt; avanzando</text>
  </threadedComment>
  <threadedComment ref="AA9" dT="2021-04-16T15:27:33.42" personId="{BD1330D9-4FEF-4715-8C6A-15F4CBFCA3FD}" id="{3474D69F-E62D-4387-87D0-E6ECF44E56F3}">
    <text>## EMILIO
Tareas planificadas:
- v2.5: [EHCOSPROD-46360] Sacar labels 2.5 para traducir a alemán
Pendiente de validar con grecia y en espera de merge a trunk:
- v2.5: [EHCOSPROD-40837] Añadir posibilidad de mantener más de 3 idiomas por instalación &gt; fin 09/04 
- v2.5: [EHCOSPROD-42281] Configuración de idiomas por entidad &gt; fin 09/04
- v2.5: [EHCOSPROD-43791] Idioma servicio perfil 360 
- v2.5: [EHCOSPROD-44901] Separar idioma app y web
- v2.5: [EHCOSPROD-46065] Frase del día. Adaptar a multi idoma
- v2.5: [EHCOSPROD-43810] Error en idioma del correo de soporte técnico parte publica 
- v2.5: [EHCOSPROD-45870] Envio de correo posiblemente cambia el idioma de la WEB
Backlog:
- instalación de oracle 12
- instalación de postgres11
- Soporte nuevo compañero
- Control de Licencias 
- Extracción Algoritmo</text>
  </threadedComment>
  <threadedComment ref="AA9" dT="2021-04-19T17:37:30.73" personId="{BD1330D9-4FEF-4715-8C6A-15F4CBFCA3FD}" id="{5F123C13-2F22-499B-99A0-4F1EC48C24EC}" parentId="{3474D69F-E62D-4387-87D0-E6ECF44E56F3}">
    <text>Avance:
-----------------------------------
- v2.4.1: [EHCOSPROD-46233] Opción chat no debe aparecer en sesiones grupales 
&gt; corregido con marcos, en el segundo listado
- v2.5: [EHCOSPROD-46360] Sacar labels 2.5 para traducir a alemán
&gt; revisar con marcos</text>
  </threadedComment>
  <threadedComment ref="AD9" dT="2021-04-19T17:37:06.63" personId="{BD1330D9-4FEF-4715-8C6A-15F4CBFCA3FD}" id="{5B183AB2-F94D-426E-A309-5FF758E7104C}">
    <text>## EMILIO
Tareas planificadas:
- v2.5: [EHCOSPROD-46360] Sacar labels 2.5 para traducir a alemán
- Merge en trunk de evolutivos 2.5 y copiar scripts
Pendiente de validar con grecia y en espera de merge a trunk:
- v2.5: [EHCOSPROD-40837] Añadir posibilidad de mantener más de 3 idiomas por instalación &gt; fin 09/04 
- v2.5: [EHCOSPROD-42281] Configuración de idiomas por entidad &gt; fin 09/04
- v2.5: [EHCOSPROD-43791] Idioma servicio perfil 360 
- v2.5: [EHCOSPROD-44901] Separar idioma app y web
- v2.5: [EHCOSPROD-46065] Frase del día. Adaptar a multi idoma
- v2.5: [EHCOSPROD-43810] Error en idioma del correo de soporte técnico parte publica 
- v2.5: [EHCOSPROD-45870] Envio de correo posiblemente cambia el idioma de la WEB
Backlog:
- Nuevo JIRA pruebas rest multidioma
- instalación de oracle 12
- instalación de postgres11
- Soporte nuevo compañero
- Control de Licencias 
- Extracción Algoritmo</text>
  </threadedComment>
  <threadedComment ref="AD9" dT="2021-04-20T17:35:06.04" personId="{BD1330D9-4FEF-4715-8C6A-15F4CBFCA3FD}" id="{6E6C5AC8-8898-437D-99AA-6B2CDD861667}" parentId="{5B183AB2-F94D-426E-A309-5FF758E7104C}">
    <text>Avance:
-----------------------------------
&gt; merge de 2 ramas de multidioma y falta una rama
- v2.5: [EHCOSPROD-40837] Añadir posibilidad de mantener más de 3 idiomas por instalación &gt; fin 09/04 
 </text>
  </threadedComment>
  <threadedComment ref="AE9" dT="2021-04-20T17:34:56.04" personId="{BD1330D9-4FEF-4715-8C6A-15F4CBFCA3FD}" id="{1A56565A-FFFF-4DF5-87E8-A66DB86A6777}">
    <text>## EMILIO
Tareas planificadas:
- v2.5: [EHCOSPROD-46360] Sacar labels 2.5 para traducir a alemán
&gt; jira??
- Merge en trunk de evolutivos 2.5 y copiar scripts
Pendiente de validar con grecia y en espera de merge a trunk:
- v2.5: [EHCOSPROD-40837] Añadir posibilidad de mantener más de 3 idiomas por instalación &gt; fin 09/04 
- v2.5: [EHCOSPROD-42281] Configuración de idiomas por entidad &gt; fin 09/04
- v2.5: [EHCOSPROD-43791] Idioma servicio perfil 360 
- v2.5: [EHCOSPROD-44901] Separar idioma app y web
- v2.5: [EHCOSPROD-46065] Frase del día. Adaptar a multi idoma
- v2.5: [EHCOSPROD-43810] Error en idioma del correo de soporte técnico parte publica 
- v2.5: [EHCOSPROD-45870] Envio de correo posiblemente cambia el idioma de la WEB
Backlog:
- Nuevo JIRA pruebas rest multidioma
- Soporte nuevo compañero
- instalación de oracle 12
- instalación de postgres11
- Control de Licencias 
- Extracción Algoritmo</text>
  </threadedComment>
  <threadedComment ref="AE9" dT="2021-04-22T07:08:20.78" personId="{BD1330D9-4FEF-4715-8C6A-15F4CBFCA3FD}" id="{0F8C52CD-856D-47C5-88C6-F01E6E50F773}" parentId="{1A56565A-FFFF-4DF5-87E8-A66DB86A6777}">
    <text xml:space="preserve">Avance:
-----------------------------------
Pendiente de validar con grecia realizado merge al trunk:
- v2.5: [EHCOSPROD-40837] Añadir posibilidad de mantener más de 3 idiomas por instalación &gt; fin 09/04 
- v2.5: [EHCOSPROD-42281] Configuración de idiomas por entidad &gt; fin 09/04
- v2.5: [EHCOSPROD-43791] Idioma servicio perfil 360 
- v2.5: [EHCOSPROD-44901] Separar idioma app y web
- v2.5: [EHCOSPROD-46065] Frase del día. Adaptar a multi idoma
- v2.5: [EHCOSPROD-43810] Error en idioma del correo de soporte técnico parte publica 
- v2.5: [EHCOSPROD-45870] Envio de correo posiblemente cambia el idioma de la WEB
&gt; Merge en trunk de evolutivos 2.5 y copiar scripts, se necesitaron ajustes en despliegue y se hizo rollback
</text>
  </threadedComment>
  <threadedComment ref="AF9" dT="2021-04-22T07:07:45.24" personId="{BD1330D9-4FEF-4715-8C6A-15F4CBFCA3FD}" id="{8E46C4ED-121B-4CA3-89B6-65342E1867F0}">
    <text>## EMILIO
Tareas planificadas:
- v2.5: [EHCOSPROD-46465] Servicios rest deben adaptarse a multidioma 
- Merge en trunk de evolutivos 2.5 y copiar scripts
Backlog:
- Nuevo JIRA pruebas rest multidioma
- Soporte nuevo compañero
- instalación de oracle 12
- instalación de postgres11
- Control de Licencias 
- Extracción Algoritmo</text>
  </threadedComment>
  <threadedComment ref="AF9" dT="2021-04-22T15:42:43.36" personId="{BD1330D9-4FEF-4715-8C6A-15F4CBFCA3FD}" id="{6DFA3D2C-3251-4F33-B9B2-481B18BAEA0A}" parentId="{8E46C4ED-121B-4CA3-89B6-65342E1867F0}">
    <text xml:space="preserve">Avance:
-----------------------------------
- v2.5: [EHCOSPROD-46465] Servicios rest deben adaptarse a multidioma 
&gt; completar estimacion?
&gt; ausencia banco
</text>
  </threadedComment>
  <threadedComment ref="AG9" dT="2021-04-22T15:42:16.03" personId="{BD1330D9-4FEF-4715-8C6A-15F4CBFCA3FD}" id="{69C359F0-C3A1-48A9-9ACF-FA5DA4462358}">
    <text xml:space="preserve">
## EMILIO
Tareas planificadas:
- v2.5: [EHCOSPROD-46465] Servicios rest deben adaptarse a multidioma &gt; completar estimacion?
- Formación de Metodologia de Desarrollo: creacion de rama para evolutivo, scripts, imputar en dt y actualizar jira
- Documentar itinerario de formacion en Confluence, enlace en wiki y recursos en teams "Pack de bienvenida"
Backlog:
- Soporte nuevo compañero
- instalación de oracle 12
- instalación de postgres11
- Control de Licencias 
- Extracción Algoritmo</text>
  </threadedComment>
  <threadedComment ref="AG9" dT="2021-04-26T16:08:30.12" personId="{BD1330D9-4FEF-4715-8C6A-15F4CBFCA3FD}" id="{4ECFED49-B2CF-4FB5-8BB7-DA9DBC2BE6EC}" parentId="{69C359F0-C3A1-48A9-9ACF-FA5DA4462358}">
    <text>Avance:
-----------------------------------
- v2.5: [EHCOSPROD-46465] Servicios rest deben adaptarse a multidioma 
&gt; realizada estimación
- Formación de Metodologia de Desarrollo: creacion de rama para evolutivo, scripts, imputar en dt y actualizar jira</text>
  </threadedComment>
  <threadedComment ref="AH9" dT="2021-04-26T15:21:23.95" personId="{85375F82-BEAD-4443-8C33-F668B9E3206E}" id="{343AFF8A-D2BF-4986-B04F-CE40BB9D07E0}">
    <text>Tareas planificadas:
EHCOSPROD-46465: En progreso de desarrollo, dudas a resolver con Marcos (enviar correo) -&gt; finaliza el Martes 27.
Reunión activos.
Soporte Javier.
Avance:
EHCOSPROD-46465: Estimación realizada.
Backlog:</text>
  </threadedComment>
  <threadedComment ref="AH9" dT="2021-04-26T16:08:22.65" personId="{BD1330D9-4FEF-4715-8C6A-15F4CBFCA3FD}" id="{F64EB3AB-D496-4191-8AA5-9D7B14026F18}" parentId="{343AFF8A-D2BF-4986-B04F-CE40BB9D07E0}">
    <text xml:space="preserve">Avance:
-----------------------------------
- v2.5: [EHCOSPROD-46465] Servicios rest deben adaptarse a multidioma 
&gt; avanzando y termina hoy, jira?
&gt; Soporte a Javier
</text>
  </threadedComment>
  <threadedComment ref="AK9" dT="2021-04-26T16:08:05.57" personId="{BD1330D9-4FEF-4715-8C6A-15F4CBFCA3FD}" id="{AC1E49DE-C2D5-4D1F-ADEB-FD67C262DD0C}">
    <text xml:space="preserve">
## EMILIO
Tareas planificadas:
- v2.5: [EHCOSPROD-46465] Servicios rest deben adaptarse a multidioma
- v2.5: [EHCOSPROD-44004] OTG-AUTHN-007 Prueba sobre la política de contraseñas &gt; Estimar para Javier
- v2.5: [EHCOSPROD-44797] Back. Añadir gamificaciones en la APP - Paciente &gt; DT y Desarrollo
Pendiente:
- Documentar itinerario de formacion en Confluence, enlace en wiki y recursos en teams "Pack de bienvenida"
- Reunión para automatizar remote
Backlog:
- Soporte nuevo compañero
- instalación de oracle 12
- instalación de postgres11
- Control de Licencias 
- Extracción Algoritmo</text>
  </threadedComment>
  <threadedComment ref="AK9" dT="2021-04-28T09:54:05.83" personId="{BD1330D9-4FEF-4715-8C6A-15F4CBFCA3FD}" id="{EE05BB39-F6E0-4107-9A78-39F0F045AD33}" parentId="{AC1E49DE-C2D5-4D1F-ADEB-FD67C262DD0C}">
    <text xml:space="preserve">Avance:
-----------------------------------
- v2.5: [EHCOSPROD-44004] OTG-AUTHN-007 Prueba sobre la política de contraseñas &gt; Estimar para Javier
&gt; estimando
- v2.5: [EHCOSPROD-46465] Servicios rest deben adaptarse a multidioma
&gt; terminada, pendiente de pruebas finales de idiomas en rest
</text>
  </threadedComment>
  <threadedComment ref="AL9" dT="2021-04-28T09:53:53.33" personId="{BD1330D9-4FEF-4715-8C6A-15F4CBFCA3FD}" id="{8B1A2211-04A6-4314-B26E-9EDE03556159}">
    <text>## EMILIO
Tareas planificadas:
- v2.5: [EHCOSPROD-44004] OTG-AUTHN-007 Prueba sobre la política de contraseñas &gt; Estimar para Javier
- v2.5: [EHCOSPROD-46465] Servicios rest deben adaptarse a multidioma
- v2.5: [EHCOSPROD-46784] Errores multiidioma &gt; estimar y desarrollo
Actualizar seguimiento (jira, dt):
- v2.5: [EHCOSPROD-46465] Servicios rest deben adaptarse a multidioma
Pendiente:
- Documentar itinerario de formacion en Confluence, enlace en wiki y recursos en teams "Pack de bienvenida"
- Reunión para automatizar remote
- Formación Despliegue en PRO BCN
Backlog:
- v2.5: [EHCOSPROD-44797] Back. Añadir gamificaciones en la APP - Paciente &gt; DT y Desarrollo
- Soporte nuevo compañero
- instalación de oracle 12
- instalación de postgres11
- Extracción Algoritmo
- Informes
- Control de Licencias </text>
  </threadedComment>
  <threadedComment ref="AL9" dT="2021-04-28T14:37:56.19" personId="{BD1330D9-4FEF-4715-8C6A-15F4CBFCA3FD}" id="{62521CEA-18B4-4457-911A-E2881036E36B}" parentId="{8B1A2211-04A6-4314-B26E-9EDE03556159}">
    <text>Avance:
-----------------------------------
- v2.5: [EHCOSPROD-44004] OTG-AUTHN-007 Prueba sobre la política de contraseñas &gt; Estimar para Javier 
&gt; realizado
- v2.5: [EHCOSPROD-46465] Servicios rest deben adaptarse a multidioma
&gt; devuelta?
- Reunión para automatizar remote
&gt; realizada y empezando pruebas
&gt; REUNION PARA DESBLOQUEAR &gt; BaseRestService.prepareLocale borrado?</text>
  </threadedComment>
  <threadedComment ref="AM9" dT="2021-04-28T14:37:41.72" personId="{BD1330D9-4FEF-4715-8C6A-15F4CBFCA3FD}" id="{FD7E5DB4-FAE6-4085-AF81-659C2077D7D6}">
    <text xml:space="preserve">## EMILIO
Tareas planificadas:
- v2.5: [EHCOSPROD-46465] Servicios rest deben adaptarse a multidioma
- v2.5: [EHCOSPROD-46784] Errores multiidioma &gt; estimar y desarrollo
Backlog:
- v2.5: [EHCOSPROD-44797] Back. Añadir gamificaciones en la APP - Paciente &gt; DT y Desarrollo
- Soporte nuevo compañero
- instalación de oracle 12
- instalación de postgres11
- Extracción Algoritmo
- Informes
- Control de Licencias 
</text>
  </threadedComment>
  <threadedComment ref="AM9" dT="2021-04-29T15:06:28.23" personId="{BD1330D9-4FEF-4715-8C6A-15F4CBFCA3FD}" id="{C9EB422A-DE7B-4D5A-AC68-E780066FF6EA}" parentId="{FD7E5DB4-FAE6-4085-AF81-659C2077D7D6}">
    <text>Avance:
-----------------------------------
- v2.5: [EHCOSPROD-43791] Idioma servicio perfil 360
&gt; devuelta y revisada
- v2.5: [EHCOSPROD-43810] Error en idioma del correo de soporte técnico parte publica
&gt; devuelta y revisada
- v2.5: [EHCOSPROD-46465] Servicios rest deben adaptarse a multidioma
&gt; completando pruebas finales</text>
  </threadedComment>
  <threadedComment ref="AN9" dT="2021-04-29T15:06:45.45" personId="{BD1330D9-4FEF-4715-8C6A-15F4CBFCA3FD}" id="{43F0B796-A06C-4E2D-85C0-B8AF23AFC11D}">
    <text xml:space="preserve">## EMILIO
Tareas planificadas:
- v2.5: [EHCOSPROD-46465] Servicios rest deben adaptarse a multidioma
Estabilizar: 
- v2.5: [EHCOSPROD-46784] Errores multiidioma &gt; estimar y desarrollo
- v2.5: [EHCOSPROD-43810] Error en idioma del correo de soporte técnico parte publica
- v2.5: [EHCOSPROD-43791] Idioma servicio perfil 360
Backlog:
- v2.5: [EHCOSPROD-44797] Back. Añadir gamificaciones en la APP - Paciente &gt; DT y Desarrollo
- Soporte nuevo compañero
- instalación de oracle 12
- instalación de postgres11
- Extracción Algoritmo
- Informes
- Control de Licencias 
</text>
  </threadedComment>
  <threadedComment ref="AN9" dT="2021-04-30T14:41:03.54" personId="{BD1330D9-4FEF-4715-8C6A-15F4CBFCA3FD}" id="{1DD9B854-2A46-4FB1-ADA5-EDCE3DB75BBB}" parentId="{43F0B796-A06C-4E2D-85C0-B8AF23AFC11D}">
    <text>Avance:
-----------------------------------
- v2.5: [EHCOSPROD-43810] Error en idioma del correo de soporte técnico parte publica 
&gt; realizado
- v2.5: [EHCOSPROD-43791] Idioma servicio perfil 360 
&gt; realizado
- v2.5: [EHCOSPROD-46465] Servicios rest deben adaptarse a multidioma
&gt; realizado</text>
  </threadedComment>
  <threadedComment ref="AO9" dT="2021-05-03T14:29:06.76" personId="{BD1330D9-4FEF-4715-8C6A-15F4CBFCA3FD}" id="{ABB861FF-772D-4187-A474-D5590ADA7B60}">
    <text>Avance:
-----------------------------------
- Ausencia solicitada</text>
  </threadedComment>
  <threadedComment ref="AR9" dT="2021-05-03T14:28:38.41" personId="{BD1330D9-4FEF-4715-8C6A-15F4CBFCA3FD}" id="{A8C113A6-C906-41EB-8CB6-0AD052CC8716}">
    <text>## EMILIO
Tareas planificadas:
- v2.5: [45213] GDPR- Al introducir 3 veces una contraseña errónea debe bloquear el usuario &gt; estimar y asignar a Javier
- v2.5: [46995] Idiomas aparecen en inglés
- v2.5: [45203] MARCADO CE: Aislar algoritmo triaje COVID &gt; Estimar y desarrollo
Backlog:
- v2.5: [EHCOSPROD-44797] Back. Añadir gamificaciones en la APP - Paciente &gt; DT y Desarrollo
- Soporte nuevo compañero
- instalación de oracle 12
- instalación de postgres11
- Informes
- Control de Licencias </text>
  </threadedComment>
  <threadedComment ref="AR9" dT="2021-05-04T16:03:55.10" personId="{BD1330D9-4FEF-4715-8C6A-15F4CBFCA3FD}" id="{E42C02C7-03C7-44B4-9BEF-CACE3B975B4E}" parentId="{A8C113A6-C906-41EB-8CB6-0AD052CC8716}">
    <text>Avance:
-----------------------------------
- v2.5: [46465] Servicios rest deben adaptarse a multidioma
&gt; devuelta con dudas de Menu triage covid
- v2.5: [45213] GDPR - Al introducir 3 veces una contraseña errónea debe bloquear el usuario &gt; estimar y asignar a Javier
&gt; estimando y asignada a javier</text>
  </threadedComment>
  <threadedComment ref="AS9" dT="2021-05-04T16:03:36.58" personId="{BD1330D9-4FEF-4715-8C6A-15F4CBFCA3FD}" id="{254EEF03-278C-459D-B81A-289FE971E40A}">
    <text>## EMILIO
Tareas planificadas:
- Merge i18n de 2.4.2 a 2.5 en trunk (Detectar cambios comparando y aplicar para los 4 idiomas)
Devueltas:
- v2.5: [46784] Errores multiidioma
- v2.5: [46465] Servicios rest deben adaptarse a multidioma
- v2.5: [46065] Frase del día. Adaptar a multi idoma
- v2.5: [46995] Idiomas aparecen en inglés
Backlog:
- v2.5: [45203] MARCADO CE: Aislar algoritmo triaje COVID &gt; Estimar y desarrollo
- v2.5.1: [44797] Back. Añadir gamificaciones en la APP - Paciente &gt; Estimar y Desarrollo
- Soporte nuevo compañero
- instalación de oracle 12
- instalación de postgres11
- Informes
- Control de Licencias </text>
  </threadedComment>
  <threadedComment ref="AS9" dT="2021-05-06T17:31:35.35" personId="{BD1330D9-4FEF-4715-8C6A-15F4CBFCA3FD}" id="{3079FEEE-A91D-4623-8DD2-1FE83D30D9CC}" parentId="{254EEF03-278C-459D-B81A-289FE971E40A}">
    <text>Avance:
-----------------------------------
- v2.5: [46465] Servicios rest deben adaptarse a multidioma
&gt; realizada
- v2.5: [46995] Idiomas aparecen en inglés
&gt; avanzando
&gt; comentar rename en SVN</text>
  </threadedComment>
  <threadedComment ref="AT9" dT="2021-05-05T15:28:33.07" personId="{BD1330D9-4FEF-4715-8C6A-15F4CBFCA3FD}" id="{0022E4B0-5919-4836-B8C0-9AFFEF5471CF}">
    <text>## EMILIO
Tareas planificadas:
- Merge i18n de 2.4.2 a 2.5 en trunk (Detectar cambios comparando y aplicar para los 4 idiomas)
- v2.5: [46995] Idiomas aparecen en inglés
- v2.5 &gt; devuelta: [46784] Errores multiidioma
- v2.5 &gt; devuelta: [43810] Error en idioma del correo de soporte técnico parte publica
- v2.5 &gt; devuelta: [46065] Frase del día. Adaptar a multi idoma
Backlog:
- v2.5: [45203] MARCADO CE: Aislar algoritmo triaje COVID &gt; Estimar y desarrollo
- v2.5.1: [44797] Back. Añadir gamificaciones en la APP - Paciente &gt; Estimar y Desarrollo
- Soporte nuevo compañero
- instalación de oracle 12
- instalación de postgres11
- Informes
- Control de Licencias </text>
  </threadedComment>
  <threadedComment ref="AT9" dT="2021-05-06T17:28:53.89" personId="{BD1330D9-4FEF-4715-8C6A-15F4CBFCA3FD}" id="{ACC1C220-AF1C-4246-B5DF-6895F33D421C}" parentId="{0022E4B0-5919-4836-B8C0-9AFFEF5471CF}">
    <text>Avance:
-----------------------------------
- v2.5: [46995] Idiomas aparecen en inglés
&gt; realizado
- v2.5 &gt; devuelta: [46065] Frase del día. Adaptar a multi idoma
&gt; realizado
- v2.5 &gt; devuelta: [46784] Errores multiidioma
&gt; realizado
- v2.5 &gt; devuelta: [43810] Error en idioma del correo de soporte técnico parte publica
&gt; dudas funcionales</text>
  </threadedComment>
  <threadedComment ref="AU9" dT="2021-05-06T17:28:03.61" personId="{BD1330D9-4FEF-4715-8C6A-15F4CBFCA3FD}" id="{5B8ECF89-2CC9-4533-8076-623A19DF4707}">
    <text>## EMILIO
Tareas planificadas:
- v2.5 &gt; devuelta: [43810] Error en idioma del correo de soporte técnico parte publica
- v2.5 &gt; devuelta: [46465] Servicios rest deben adaptarse a multidioma
Backlog:
- v2.5: [45203] MARCADO CE: Aislar algoritmo triaje COVID &gt; Estimar y desarrollo
- v2.5.1: [44797] Back. Añadir gamificaciones en la APP - Paciente &gt; Estimar y Desarrollo
- Soporte nuevo compañero
- instalación de oracle 12
- instalación de postgres11
- Informes
- Control de Licencias </text>
  </threadedComment>
  <threadedComment ref="AU9" dT="2021-05-10T08:04:18.97" personId="{BD1330D9-4FEF-4715-8C6A-15F4CBFCA3FD}" id="{164B3C14-F501-47C1-9AD9-367CE3A8F853}" parentId="{5B8ECF89-2CC9-4533-8076-623A19DF4707}">
    <text>Avance:
-----------------------------------
- v2.5 &gt; devuelta: [43810] Error en idioma del correo de soporte técnico parte publica
- v2.5 &gt; devuelta: [46465] Servicios rest deben adaptarse a multidioma
- estabilizando multidioma
- problemas de luz y conexión</text>
  </threadedComment>
  <threadedComment ref="AV9" dT="2021-05-10T08:04:05.40" personId="{BD1330D9-4FEF-4715-8C6A-15F4CBFCA3FD}" id="{51D3D1AC-6321-45E8-B3CC-F25D3CE0D912}">
    <text>## EMILIO
Tareas planificadas:
- v2.5: [45203] MARCADO CE: Aislar algoritmo triaje COVID &gt; Estimar y desarrollo
Backlog:
- Soporte nuevo compañero
- instalación de oracle 12
- instalación de postgres11
- Informes
- Control de Licencias</text>
  </threadedComment>
  <threadedComment ref="AV9" dT="2021-05-11T08:25:39.20" personId="{BD1330D9-4FEF-4715-8C6A-15F4CBFCA3FD}" id="{F0901B0F-13B2-46C9-8FF3-0D21FD93A464}" parentId="{51D3D1AC-6321-45E8-B3CC-F25D3CE0D912}">
    <text>Avance:
-----------------------------------
- v2.5: [45203] MARCADO CE: Aislar algoritmo triaje COVID &gt; Estimar y desarrollo
&gt; empezando, con dudas </text>
  </threadedComment>
  <threadedComment ref="AY9" dT="2021-05-11T08:25:32.31" personId="{BD1330D9-4FEF-4715-8C6A-15F4CBFCA3FD}" id="{40247B8C-E088-4CB8-90DA-245EC22152BD}">
    <text>## EMILIO
Tareas planificadas:
- v2.5: [45203] MARCADO CE: Aislar algoritmo triaje COVID &gt; Estimar y desarrollo
- v2.5 &gt; devuelta: [44901] Separar idioma app y web
- v2.5 &gt; devuelta: [46065] Frase del día. Adaptar a multi idoma
- 2.5: [47355] idioma notificación usuario existente - ficha de la persona
Backlog:
- Soporte nuevo compañero
- instalación de oracle 12
- instalación de postgres11
- Informes
- Control de Licencias </text>
  </threadedComment>
  <threadedComment ref="AY9" dT="2021-05-12T08:39:20.32" personId="{BD1330D9-4FEF-4715-8C6A-15F4CBFCA3FD}" id="{60068A3B-C99A-47EF-8470-3985D41DE08C}" parentId="{40247B8C-E088-4CB8-90DA-245EC22152BD}">
    <text>Avance:
-----------------------------------
- v2.5.0.0 &gt; devuelta: [45203] MARCADO CE: Aislar algoritmo triaje COVID &gt; Estimar y desarrollo
&gt; avanzando
- 2.5.0.0: [47355] idioma notificación usuario existente - ficha de la persona
&gt; realizado</text>
  </threadedComment>
  <threadedComment ref="AZ9" dT="2021-05-12T08:39:10.97" personId="{BD1330D9-4FEF-4715-8C6A-15F4CBFCA3FD}" id="{5B5A82F2-F561-4D57-9F69-99BA82C894FC}">
    <text>## EMILIO
Tareas planificadas:
- v2.5.0.0 &gt; devuelta: [45203] MARCADO CE: Aislar algoritmo triaje COVID &gt; Estimar y desarrollo
- v2.5.0.0 &gt; devuelta: [43810] Error en idioma del correo de soporte técnico parte publica
- v2.5.0.0 &gt; devuelta: [44901] Separar idioma app y web
- v2.5.0.0 &gt; devuelta: [46065] Frase del día. Adaptar a multi idoma
- v2.5.0.0 &gt; nueva: [47439] Revisión de idioma en correos.
- v2.5.0.0 &gt; nueva: [47440] Faltan etiquetas en portugués
Backlog:
- v2.5.1.0: [44814] Back. Login multidispositivo
- v2.5.1.0: [44807] Back. Ver informes en la APP - Paciente
- Soporte nuevo compañero
- instalación de oracle 12
- instalación de postgres11
- Informes
- Control de Licencias </text>
  </threadedComment>
  <threadedComment ref="AZ9" dT="2021-05-13T07:34:31.17" personId="{BD1330D9-4FEF-4715-8C6A-15F4CBFCA3FD}" id="{EBCF9AD5-E638-4263-8459-A57EC3A4EEF4}" parentId="{5B5A82F2-F561-4D57-9F69-99BA82C894FC}">
    <text>Avance:
-----------------------------------
- v2.5.0.0 &gt; devuelta: [45203] MARCADO CE: Aislar algoritmo triaje COVID &gt; Estimar y desarrollo
&gt; realizado
- v2.5.0.0 &gt; devuelta: [43810] Error en idioma del correo de soporte técnico parte publica
&gt; realizado
- v2.5.0.0 &gt; nueva: [47439] Revisión de idioma en correos.
&gt; realizado
- v2.5.0.0 &gt; nueva: [47440] Faltan etiquetas en portugués
&gt; realizado
- v2.5.0.0 &gt; devuelta: [44901] Separar idioma app y web
&gt; dudas
- v2.5.0.0 &gt; devuelta: [46065] Frase del día. Adaptar a multi idoma
&gt; dudas</text>
  </threadedComment>
  <threadedComment ref="BA9" dT="2021-05-13T07:34:23.33" personId="{BD1330D9-4FEF-4715-8C6A-15F4CBFCA3FD}" id="{A3A90C5F-A175-448E-8FB6-6522168BDE6B}">
    <text>## EMILIO
Tareas planificadas:
- v2.5.0.0 &gt; devuelta: [44901] Separar idioma app y web
- v2.5.0.0 &gt; devuelta: [46065] Frase del día. Adaptar a multi idoma
- v2.5.0.0: [41475] Error en la configuración de la entidad con la APP de Remote
- v2.5.0.0: [47494] Revisar error en privilegios
Backlog:
- v2.5.1.0: [44814] Back. Login multidispositivo
- v2.5.1.0: [44807] Back. Ver informes en la APP - Paciente
- Control de Licencias 
- Soporte nuevo compañero
- instalación de oracle 12
- instalación de postgres11</text>
  </threadedComment>
  <threadedComment ref="BA9" dT="2021-05-14T08:26:07.18" personId="{BD1330D9-4FEF-4715-8C6A-15F4CBFCA3FD}" id="{39634F3A-7E48-4AA2-806D-C99438D97362}" parentId="{A3A90C5F-A175-448E-8FB6-6522168BDE6B}">
    <text>Avance:
-----------------------------------
- v2.5.0.0 &gt; devuelta: [44901] Separar idioma app y web
- v2.5.0.0 &gt; devuelta: [46065] Frase del día. Adaptar a multi idoma
- v2.5.0.0: [41475] Error en la configuración de la entidad con la APP de Remote
- v2.5.0.0: [47494] Revisar error en privilegios</text>
  </threadedComment>
  <threadedComment ref="BB9" dT="2021-05-14T08:25:56.20" personId="{BD1330D9-4FEF-4715-8C6A-15F4CBFCA3FD}" id="{4181A1BA-E555-4047-A446-FC839C1AA03D}">
    <text>## EMILIO
Tareas planificadas:
- v2.5.0.0 &gt; devuelta: [47439] Revisión de idioma en correos.
- v2.5.0.0 &gt; devuelta: [47440] Faltan etiquetas en portugués
- v2.5.0.0 &gt; nueva: [47577] Error en triaje demosarg
- v2.5.0.0 &gt; nueva: [47487] Revisar multidioma en detalle de Cuestionaro en PDF
Backlog:
- v2.5.1.0: [44814] Back. Login multidispositivo
- v2.5.1.0: [44807] Back. Ver informes en la APP - Paciente
- Control de Licencias 
- Soporte nuevo compañero
- instalación de oracle 12
- instalación de postgres11</text>
  </threadedComment>
  <threadedComment ref="BB9" dT="2021-05-17T08:09:51.16" personId="{BD1330D9-4FEF-4715-8C6A-15F4CBFCA3FD}" id="{F1F6DBE6-7401-4C69-AE13-94CDC38E4B98}" parentId="{4181A1BA-E555-4047-A446-FC839C1AA03D}">
    <text>Avance:
-----------------------------------
- v2.5.0.0 &gt; devuelta: [47440] Faltan etiquetas en portugués
- v2.5.0.0 &gt; nueva: [47577] Error en triaje demosarg</text>
  </threadedComment>
  <threadedComment ref="BC9" dT="2021-05-17T08:09:41.97" personId="{BD1330D9-4FEF-4715-8C6A-15F4CBFCA3FD}" id="{15FE8F0B-3C73-4C53-81B5-55643FBC221D}">
    <text>## EMILIO
Tareas planificadas:
- v2.5.0.0: [47487] Revisar multidioma en detalle de Cuestionaro en PDF
- v2.5.0.0 &gt; devuelta: [47439] Revisión de idioma en correos.
- v2.5.0.0 &gt; devuelta: [41475] Error en la configuración de la entidad con la APP de Remote
Backlog:
- v2.5.1.0: [47622] Revisar scripts de multidioma para mantenimiento de traducciones
- v2.5.1.0: [44807] Back. Ver informes en la APP - Paciente
- Control de Licencias 
- Soporte nuevo compañero
- instalación de oracle 12
- instalación de postgres11</text>
  </threadedComment>
  <threadedComment ref="BC9" dT="2021-05-18T07:52:36.69" personId="{BD1330D9-4FEF-4715-8C6A-15F4CBFCA3FD}" id="{616E7213-B658-4EA6-8C26-B83A08DE5DBC}" parentId="{15FE8F0B-3C73-4C53-81B5-55643FBC221D}">
    <text>Avance:
-----------------------------------
- v2.5.0.0: [47487] Revisar multidioma en detalle de Cuestionaro en PDF
- v2.5.0.0 &gt; devuelta: [47439] Revisión de idioma en correos.
- v2.5.0.0 &gt; devuelta: [41475] Error en la configuración de la entidad con la APP de Remote</text>
  </threadedComment>
  <threadedComment ref="BF9" dT="2021-05-18T07:52:27.36" personId="{BD1330D9-4FEF-4715-8C6A-15F4CBFCA3FD}" id="{5E105016-8B7C-4032-96EA-7D7704A2024E}">
    <text>## EMILIO
Tareas planificadas:
- v2.5.1.0: [44814] Back. Login multidispositivo &gt; estimacion y desarrollo
Backlog:
- v2.5.1.0: [44807] Back. Ver informes en la APP - Paciente
- v2.5.1.0: [47622] Revisar scripts de multidioma para mantenimiento de traducciones
- v2.5.1.0: [42561] Cookiebot en más de un dominio
- v2.5.2.0: [45931] Integración Remote - EMPI
- Control de Licencias 
- Soporte nuevo compañero
- instalación de oracle 12
- instalación de postgres11</text>
  </threadedComment>
  <threadedComment ref="BF9" dT="2021-05-19T08:17:35.87" personId="{BD1330D9-4FEF-4715-8C6A-15F4CBFCA3FD}" id="{1042670B-3A87-4DE5-AA2D-563391FB3091}" parentId="{5E105016-8B7C-4032-96EA-7D7704A2024E}">
    <text xml:space="preserve">Avance:
-----------------------------------
&gt; estabilizando la v2.5.0.0
- v2.5.1.0: [44814] Back. Login multidispositivo &gt; estimacion y desarrollo
&gt; estimada y terminando la tarea
</text>
  </threadedComment>
  <threadedComment ref="BG9" dT="2021-05-19T08:17:27.65" personId="{BD1330D9-4FEF-4715-8C6A-15F4CBFCA3FD}" id="{BDB43A00-2B5E-47F5-AAAB-A448718202CD}">
    <text>## EMILIO
Tareas planificadas:
- Sesiones por producto
- v2.5.1.0: [44814] Back. Login multidispositivo &gt; estimacion y desarrollo
- v2.5.1.0: [37551] Integración con EHR: elaboración de notas de evolución &gt; dt y desarrollo junto con osvaldo
Backlog:
- v2.5.1.0: [44807] Back. Ver informes en la APP - Paciente &gt; estimacion y desarrollo
- v2.5.1.0: [47622] Revisar scripts de multidioma para mantenimiento de traducciones
- v2.5.2.0: [45931] Integración Remote - EMPI
- Control de Licencias 
- Soporte nuevo compañero
- instalación de oracle 12
- instalación de postgres11</text>
  </threadedComment>
  <threadedComment ref="BG9" dT="2021-05-20T08:35:18.98" personId="{BD1330D9-4FEF-4715-8C6A-15F4CBFCA3FD}" id="{DB045EFF-9DE9-461F-A587-FBF3D557FA3D}" parentId="{BDB43A00-2B5E-47F5-AAAB-A448718202CD}">
    <text>Avance:
-----------------------------------
- v2.5.1.0: [44814] Back. Login multidispositivo 
&gt; realizado
- Sesiones por producto
- v2.5.1.0: [37551] Integración con EHR: elaboración de notas de evolución &gt; dt y desarrollo junto con osvaldo
&gt; preparando estimacion</text>
  </threadedComment>
  <threadedComment ref="BH9" dT="2021-05-20T08:35:09.85" personId="{BD1330D9-4FEF-4715-8C6A-15F4CBFCA3FD}" id="{40CFD274-C703-4D11-9B9E-935CF644A3E0}">
    <text>## EMILIO
Tareas planificadas:
- v2.5.1.0: [37551] Integración con EHR: elaboración de notas de evolución &gt; dt y desarrollo junto con osvaldo
Backlog:
- v2.5.1.0: [44807] Back. Ver informes en la APP - Paciente &gt; estimacion y desarrollo
- v2.5.1.0: [47622] Revisar scripts de multidioma para mantenimiento de traducciones
- v2.5.2.0: [45931] Integración Remote - EMPI
- Control de Licencias 
- Soporte nuevo compañero
- instalación de oracle 12
- instalación de postgres11</text>
  </threadedComment>
  <threadedComment ref="BH9" dT="2021-05-21T09:11:59.01" personId="{BD1330D9-4FEF-4715-8C6A-15F4CBFCA3FD}" id="{4F58A0B8-5BEA-4312-AABD-C5E8C6F6E3B5}" parentId="{40CFD274-C703-4D11-9B9E-935CF644A3E0}">
    <text>Avance:
-----------------------------------
- v2.5.1.0: [37551] Integración con EHR: elaboración de notas de evolución &gt; dt y desarrollo junto con osvaldo
&gt; sin mucho avance
&gt; soporte a karina y javier</text>
  </threadedComment>
  <threadedComment ref="BI9" dT="2021-05-21T09:11:46.71" personId="{BD1330D9-4FEF-4715-8C6A-15F4CBFCA3FD}" id="{A7E35DD9-89CE-4542-BB23-1CC6F0DCA42A}">
    <text>## EMILIO
Tareas planificadas:
- v2.5.1.0: [37551] Integración con EHR: elaboración de notas de evolución &gt; dt y desarrollo junto con osvaldo
Backlog:
- v2.5.1.0: [44807] Back. Ver informes en la APP - Paciente &gt; estimacion y desarrollo
- v2.5.1.0: [47622] Revisar scripts de multidioma para mantenimiento de traducciones
- v2.5.2.0: [45931] Integración Remote - EMPI
- Control de Licencias 
- Soporte nuevo compañero
- instalación de oracle 12
- instalación de postgres11</text>
  </threadedComment>
  <threadedComment ref="BI9" dT="2021-05-25T08:04:45.37" personId="{BD1330D9-4FEF-4715-8C6A-15F4CBFCA3FD}" id="{DCB5A251-D190-4786-A319-D0CB4CB1EDBE}" parentId="{A7E35DD9-89CE-4542-BB23-1CC6F0DCA42A}">
    <text xml:space="preserve">Avance:
-----------------------------------
&gt; soporte a Javier
- v2.5.1.0: [44814] Back. Login multidispositivo
</text>
  </threadedComment>
  <threadedComment ref="BJ9" dT="2021-05-21T09:10:40.35" personId="{BD1330D9-4FEF-4715-8C6A-15F4CBFCA3FD}" id="{792619DD-E725-4C77-916A-486EF556BA5C}">
    <text>Festivo en chile</text>
  </threadedComment>
  <threadedComment ref="BM9" dT="2021-05-25T08:04:20.89" personId="{BD1330D9-4FEF-4715-8C6A-15F4CBFCA3FD}" id="{1A9B1D8A-078B-41EC-B966-7B814EF6D3F1}">
    <text>## EMILIO
Tareas planificadas:
- v2.5.1.0: [37551] Integración con EHR: elaboración de notas de evolución &gt; dt y desarrollo junto con osvaldo
Backlog:
- v2.5.1.0: [47978] Error en activar APP para entidad &gt; estimar para Javier
- v2.5.1.0: [44807] Back. Ver informes en la APP - Paciente &gt; estimacion y desarrollo
- v2.5.2.0: [45931] Integración Remote - EMPI
- Control de Licencias 
- Soporte nuevo compañero
- instalación de oracle 12
- instalación de postgres11</text>
  </threadedComment>
  <threadedComment ref="BM9" dT="2021-05-26T08:05:58.68" personId="{BD1330D9-4FEF-4715-8C6A-15F4CBFCA3FD}" id="{22F924D4-E243-409D-AF0A-E01973A78742}" parentId="{1A9B1D8A-078B-41EC-B966-7B814EF6D3F1}">
    <text xml:space="preserve">Avance:
-----------------------------------
- v2.5.1.0: [37551] Integración con EHR: elaboración de notas de evolución &gt; dt y desarrollo junto con osvaldo
&gt; empezando el desarrollo, se explico la POC y se ha preparado el entorno
</text>
  </threadedComment>
  <threadedComment ref="BN9" dT="2021-05-26T08:05:28.74" personId="{BD1330D9-4FEF-4715-8C6A-15F4CBFCA3FD}" id="{FEA0C6D2-E83A-445C-9525-4C63C681E0D4}">
    <text>## EMILIO
Tareas planificadas:
- v2.5.1.0: [37551] Integración con EHR: elaboración de notas de evolución &gt; dt y desarrollo junto con osvaldo
Backlog:
- v2.5.1.0: [47978] Error en activar APP para entidad &gt; estimar para Javier
- v2.5.1.0: [44807] Back. Ver informes en la APP - Paciente &gt; estimacion y desarrollo
- v2.5.2.0: [45931] Integración Remote - EMPI
- Control de Licencias 
- Soporte nuevo compañero
- instalación de oracle 12
- instalación de postgres11</text>
  </threadedComment>
  <threadedComment ref="BN9" dT="2021-05-27T13:48:54.65" personId="{BD1330D9-4FEF-4715-8C6A-15F4CBFCA3FD}" id="{223542FB-B5D5-4D77-A58B-27BE5188FF99}" parentId="{FEA0C6D2-E83A-445C-9525-4C63C681E0D4}">
    <text xml:space="preserve">Avance:
-----------------------------------
- v2.5.1.0: [37551] Integración con EHR: elaboración de notas de evolución &gt; dt y desarrollo junto con osvaldo
&gt; estimando y con problemas para arrancar el clinic
- Soporte a Javier para despliegue en PRE
- Soporte a Javier en desarrollo
</text>
  </threadedComment>
  <threadedComment ref="BO9" dT="2021-05-27T13:48:41.70" personId="{BD1330D9-4FEF-4715-8C6A-15F4CBFCA3FD}" id="{3DC9C281-D244-4B16-BF59-7FFEF630C39B}">
    <text>## EMILIO
Tareas planificadas:
- v2.5.1.0: [37551] Integración con EHR: elaboración de notas de evolución &gt; dt y desarrollo junto con osvaldo
Backlog:
- v2.5.1.0: [47978] Error en activar APP para entidad &gt; estimar para Javier
- v2.5.1.0: [44807] Back. Ver informes en la APP - Paciente &gt; estimacion y desarrollo
- v2.5.2.0: [45931] Integración Remote - EMPI
- Control de Licencias 
- Soporte nuevo compañero
- instalación de oracle 12
- instalación de postgres11</text>
  </threadedComment>
  <threadedComment ref="BO9" dT="2021-05-27T16:18:54.28" personId="{BD1330D9-4FEF-4715-8C6A-15F4CBFCA3FD}" id="{D0EA3F5E-EC26-430F-8B02-5A047CDD9435}" parentId="{3DC9C281-D244-4B16-BF59-7FFEF630C39B}">
    <text>Avance:
-----------------------------------
- v2.5.1.0: [37551] Integración con EHR: elaboración de notas de evolución &gt; dt y desarrollo junto con osvaldo
&gt; Completando estimacion de videoconferencia
&gt; Soporte a Javier y Osvaldo</text>
  </threadedComment>
  <threadedComment ref="BP9" dT="2021-05-27T16:18:38.12" personId="{BD1330D9-4FEF-4715-8C6A-15F4CBFCA3FD}" id="{5DECED69-AAA4-4F98-B555-54FC0002F09A}">
    <text>## EMILIO
Tareas planificadas:
- v2.5.1.0: [37551] Integración con EHR: elaboración de notas de evolución &gt; dt y desarrollo junto con osvaldo
Backlog:
- v2.5.1.0: [44807] Back. Ver informes en la APP - Paciente &gt; estimacion y desarrollo
- v2.5.2.0: [45931] Integración Remote - EMPI
- Control de Licencias 
- Soporte nuevo compañero
- instalación de oracle 12
- instalación de postgres11</text>
  </threadedComment>
  <threadedComment ref="BP9" dT="2021-05-28T15:06:44.32" personId="{BD1330D9-4FEF-4715-8C6A-15F4CBFCA3FD}" id="{CD8A5C08-C4B4-462D-8C02-59D544871A39}" parentId="{5DECED69-AAA4-4F98-B555-54FC0002F09A}">
    <text>Avance:
-----------------------------------
- v2.5.1.0: [37551] Integración con EHR: elaboración de notas de evolución &gt; dt y desarrollo junto con osvaldo
&gt; terminada estimación
&gt; Reunión con Mauricio de automatización: link sin deuda tecnica y despliegue de jenkins</text>
  </threadedComment>
  <threadedComment ref="BQ9" dT="2021-05-28T15:06:37.45" personId="{BD1330D9-4FEF-4715-8C6A-15F4CBFCA3FD}" id="{7C3710CA-CECF-4012-9F41-BC2A0F3F5688}">
    <text>## EMILIO
Tareas planificadas:
- v2.5.1.0: [44807] Back. Ver informes en la APP - Paciente &gt; estimacion y desarrollo
Backlog:
- v2.5.2.0: [45931] Integración Remote - EMPI
- Control de Licencias 
- Soporte nuevo compañero
- instalación de oracle 12
- instalación de postgres11</text>
  </threadedComment>
  <threadedComment ref="BQ9" dT="2021-05-31T17:11:27.34" personId="{BD1330D9-4FEF-4715-8C6A-15F4CBFCA3FD}" id="{C9F514FB-CF58-42E5-9987-EAE45FD75F71}" parentId="{7C3710CA-CECF-4012-9F41-BC2A0F3F5688}">
    <text>Avance:
-----------------------------------
- [44807] Back. Ver informes en la APP
&gt; estimado
- v2.5.1.0: [48323] Informes Remote - Modulo Notas e Informes
&gt; problemas para desarrollar por login de clinic</text>
  </threadedComment>
  <threadedComment ref="BT9" dT="2021-05-31T17:10:54.32" personId="{BD1330D9-4FEF-4715-8C6A-15F4CBFCA3FD}" id="{E16491E3-B8CD-4181-8401-F06C9D3AE416}">
    <text>## EMILIO
Tareas planificadas:
- v2.5.1.0: [48323] Informes Remote - Modulo Notas e Informes
Backlog:
- v2.5.1.0: [44807] Back. Ver informes en la APP - Paciente 
- Control de Licencias 
- v2.5.2.0: [45931] Integración Remote - EMPI
- Soporte nuevo compañero
- instalación de oracle 12
- instalación de postgres11</text>
  </threadedComment>
  <threadedComment ref="BT9" dT="2021-06-01T16:21:53.19" personId="{BD1330D9-4FEF-4715-8C6A-15F4CBFCA3FD}" id="{7B6E83FB-CF7C-4B3F-B581-F522EF29E895}" parentId="{E16491E3-B8CD-4181-8401-F06C9D3AE416}">
    <text>Avance:
-----------------------------------
- v2.5.1.0: [48323] Informes Remote - Modulo Notas e Informes
&gt; avanzando en el desarrollo
&gt; problema con parametro en jvm para ipv4 vs ipv6</text>
  </threadedComment>
  <threadedComment ref="BU9" dT="2021-06-01T16:21:37.58" personId="{BD1330D9-4FEF-4715-8C6A-15F4CBFCA3FD}" id="{37A79EAD-BD85-404B-B983-0B825718DED7}">
    <text>## EMILIO
Tareas planificadas:
- Apuntar en el faq preferIPv4Stack
- v2.5.1.0: [48323] Informes Remote - Modulo Notas e Informes
Backlog:
- v2.5.1.0: [44807] Back. Ver informes en la APP - Paciente 
- Control de Licencias 
- v2.5.2.0: [45931] Integración Remote - EMPI
- Soporte nuevo compañero
- instalación de oracle 12
- instalación de postgres11</text>
  </threadedComment>
  <threadedComment ref="BU9" dT="2021-06-02T15:31:56.70" personId="{BD1330D9-4FEF-4715-8C6A-15F4CBFCA3FD}" id="{F619FD5E-91D7-414D-ACE3-826A67639E83}" parentId="{37A79EAD-BD85-404B-B983-0B825718DED7}">
    <text>Avance:
-----------------------------------
- v2.5.1.0: [48323] Informes Remote - Modulo Notas e Informes
&gt; Avanzando, con dudas de desarrollo</text>
  </threadedComment>
  <threadedComment ref="BV9" dT="2021-06-02T15:31:44.01" personId="{BD1330D9-4FEF-4715-8C6A-15F4CBFCA3FD}" id="{586086AB-AB5A-4CD5-BFFA-C6B41B9900E0}">
    <text>## EMILIO
Tareas planificadas:
- Apuntar en el faq preferIPv4Stack
- v2.5.1.0: [48323] Informes Remote - Modulo Notas e Informes
Backlog:
- v2.5.1.0: [44807] Back. Ver informes en la APP - Paciente 
- Control de Licencias 
- v2.5.2.0: [45931] Integración Remote - EMPI
- Soporte nuevo compañero
- instalación de oracle 12
- instalación de postgres11</text>
  </threadedComment>
  <threadedComment ref="BV9" dT="2021-06-03T16:50:52.31" personId="{BD1330D9-4FEF-4715-8C6A-15F4CBFCA3FD}" id="{DCAFE8AD-AD37-4CDE-83D5-6377E59600B0}" parentId="{586086AB-AB5A-4CD5-BFFA-C6B41B9900E0}">
    <text>Avance:
-----------------------------------
- v2.5.1.0: [48251] Informes Remote - Modulos Home y Videoconferencia
&gt; Avanzando con problemas en los popup
- Apuntar en el faq preferIPv4Stack</text>
  </threadedComment>
  <threadedComment ref="BW9" dT="2021-06-03T16:50:40.98" personId="{BD1330D9-4FEF-4715-8C6A-15F4CBFCA3FD}" id="{20F56D5F-B784-49A5-9B38-E95389C71829}">
    <text>## EMILIO
Tareas planificadas:
- v2.5.1.0: [48323] Informes Remote - Modulo Notas e Informes
Backlog:
- v2.5.1.0: [44807] Back. Ver informes en la APP - Paciente 
- Control de Licencias 
- v2.5.2.0: [45931] Integración Remote - EMPI
- Soporte nuevo compañero
- instalación de oracle 12
- instalación de postgres11</text>
  </threadedComment>
  <threadedComment ref="BW9" dT="2021-06-08T08:23:19.56" personId="{BD1330D9-4FEF-4715-8C6A-15F4CBFCA3FD}" id="{2681EB46-471E-4726-BEE5-6EA324AE8FF3}" parentId="{20F56D5F-B784-49A5-9B38-E95389C71829}">
    <text xml:space="preserve">Avance:
-----------------------------------
- v2.5.1.0: [48323] Informes Remote - Modulo Notas e Informes
&gt; avanzando con el filtro de busqueda de pacientes
&gt; pendiente el descargar pdf por bloqueo
&gt; pendiente de el estado firmado por bloqueo
</text>
  </threadedComment>
  <threadedComment ref="BX9" dT="2021-06-08T08:20:44.45" personId="{BD1330D9-4FEF-4715-8C6A-15F4CBFCA3FD}" id="{2376A28A-B21C-44BD-9093-F45F2D030E71}">
    <text>## EMILIO 
Tareas planificadas: 
- v2.5.1.0: [48323] Informes Remote - Modulo Notas e Informes
Backlog:
- v2.5.1.0: [44807] Back. Ver informes en la APP - Paciente
- Control de Licencias
- v2.5.2.0: [45931] Integración Remote - EMPI
- Soporte nuevo compañero - instalación de oracle 12
- instalación de postgres11</text>
  </threadedComment>
  <threadedComment ref="BX9" dT="2021-06-08T08:23:23.33" personId="{BD1330D9-4FEF-4715-8C6A-15F4CBFCA3FD}" id="{EB364153-4436-4001-9540-3B077FDDEAD1}" parentId="{2376A28A-B21C-44BD-9093-F45F2D030E71}">
    <text xml:space="preserve">Avance:
-----------------------------------
- v2.5.1.0: [48323] Informes Remote - Modulo Notas e Informes
&gt; avanzando con el filtro de busqueda de pacientes
&gt; pendiente el descargar pdf por bloqueo
&gt; pendiente de el estado firmado por bloqueo
</text>
  </threadedComment>
  <threadedComment ref="CA9" dT="2021-06-08T08:24:33.47" personId="{BD1330D9-4FEF-4715-8C6A-15F4CBFCA3FD}" id="{836AD6BA-AF20-45BD-BB87-FDB9440408C0}">
    <text>## EMILIO
Tareas planificadas:
- v2.5.1.0: [48323] Informes Remote - Modulo Notas e Informes
- Configurar clinic en workspace local
Backlog:
- v2.5.1.0: [48629] Las notificaciones push llegan al último dispositivo que ingresa
- v2.5.1.1: [44807] Back. Ver informes en la APP - Paciente 
- v2.5.2.0: [45931] Integración Remote - EMPI
- Soporte nuevo compañero
- instalación de oracle 12
- instalación de postgres11</text>
  </threadedComment>
  <threadedComment ref="CA9" dT="2021-06-09T10:25:37.43" personId="{BD1330D9-4FEF-4715-8C6A-15F4CBFCA3FD}" id="{D340455B-B235-4A80-B814-483706CF8151}" parentId="{836AD6BA-AF20-45BD-BB87-FDB9440408C0}">
    <text xml:space="preserve">Avance:
-----------------------------------
- v2.5.1.0: [48323] Informes Remote - Modulo Notas e Informes
&gt; problemas con descarga de pdf
- Configurar clinic en workspace local
&gt; realizado, faltaba lanzar una maven install de csProduct
- v2.5.1.0: [48629] Las notificaciones push llegan al último dispositivo que ingresa
&gt; Empezando analisis pero se pospone por que se necesita un evolutivo.
</text>
  </threadedComment>
  <threadedComment ref="CB9" dT="2021-06-09T10:25:24.21" personId="{BD1330D9-4FEF-4715-8C6A-15F4CBFCA3FD}" id="{9E7A2E87-206E-4604-A5CB-1AC791BFCDF3}">
    <text xml:space="preserve">
## EMILIO
Tareas planificadas:
- v2.5.1.0: [48323] Informes Remote - Modulo Notas e Informes
&gt; pendiente: descargar informe
&gt; pendiente: cfg para desactivar integración con informes
Backlog:
- v2.5.1.1: [44807] Back. Ver informes en la APP - Paciente 
- v2.5.2.0: [45931] Integración Remote - EMPI
- Soporte nuevo compañero
- instalación de oracle 12
- instalación de postgres11</text>
  </threadedComment>
  <threadedComment ref="CB9" dT="2021-06-09T15:58:28.94" personId="{BD1330D9-4FEF-4715-8C6A-15F4CBFCA3FD}" id="{67195F0C-C568-4789-8E7E-31B8D8C94BA4}" parentId="{9E7A2E87-206E-4604-A5CB-1AC791BFCDF3}">
    <text>Avance:
-----------------------------------
- v2.5.1.0: [48323] Informes Remote - Modulo Notas e Informes
&gt; problemas con descargar pdf
&gt; cfg para desactivar integración con informes</text>
  </threadedComment>
  <threadedComment ref="CC9" dT="2021-06-09T15:58:06.25" personId="{BD1330D9-4FEF-4715-8C6A-15F4CBFCA3FD}" id="{6CB3BEAC-ADE9-4474-92D0-FF698375FDB9}">
    <text>## EMILIO
Tareas planificadas:
- Desplegar en QA informes en ehcos-server-testing &gt; explicar por Marcos 
- Desplegar en QA remotehs en ehcos-server &gt; revisar remotehsProjectProperties y scripts
- v2.5.1.0: [48323] Informes Remote - Modulo Notas e Informes
&gt; accion adicional para guardar informes con estado sin firmar
- v2.5.1.0: [48813] Configuración de informes - CLINIC &gt; estimar y configurar
Backlog:
- v2.5.1.1: [44807] Back. Ver informes en la APP - Paciente 
- v2.5.2.0: [45931] Integración Remote - EMPI
- Soporte nuevo compañero
- instalación de oracle 12
- instalación de postgres11</text>
  </threadedComment>
  <threadedComment ref="CC9" dT="2021-06-10T15:46:29.12" personId="{BD1330D9-4FEF-4715-8C6A-15F4CBFCA3FD}" id="{6BA5DA23-956F-4FAE-9AAB-AC91AAB706F3}" parentId="{6CB3BEAC-ADE9-4474-92D0-FF698375FDB9}">
    <text>Avance:
-----------------------------------
- Desplegar en QA informes en ehcos-server-testing &gt; explicar por Marcos 
- Desplegar en QA remotehs en ehcos-server &gt; revisar remotehsProjectProperties y scripts
- Revisando desarrollo de informes con osvaldo</text>
  </threadedComment>
  <threadedComment ref="CD9" dT="2021-06-10T15:40:32.76" personId="{BD1330D9-4FEF-4715-8C6A-15F4CBFCA3FD}" id="{C13E3969-CA0A-4BFD-990C-8034C7F534CE}">
    <text>## EMILIO
Tareas planificadas:
- v2.5.1.0: [48323] Informes Remote - Modulo Notas e Informes
- v2.5.1.0: [48810] Temas pendientes de informes
Backlog:
- v2.5.1.0: [48813] Configuración de informes - CLINIC 
- v2.5.1.1: [44807] Back. Ver informes en la APP - Paciente 
- v2.5.2.0: [45931] Integración Remote - EMPI
- Soporte nuevo compañero
- instalación de oracle 12
- instalación de postgres11</text>
  </threadedComment>
  <threadedComment ref="CD9" dT="2021-06-11T15:33:34.23" personId="{BD1330D9-4FEF-4715-8C6A-15F4CBFCA3FD}" id="{6EA57253-B58D-4F32-97D4-840C04CABDEB}" parentId="{C13E3969-CA0A-4BFD-990C-8034C7F534CE}">
    <text xml:space="preserve">Avance:
-----------------------------------
- v2.5.1.0: [48810] Temas pendientes de informes
&gt; empezado y realizado con la sincronizacion de datos de profesional y paciente.
</text>
  </threadedComment>
  <threadedComment ref="CE9" dT="2021-06-11T15:32:07.71" personId="{BD1330D9-4FEF-4715-8C6A-15F4CBFCA3FD}" id="{3D2271AD-54D9-43E9-BAD3-9CEAEEF35C52}">
    <text>## EMILIO
 Tareas planificadas:
 - Solicitar a Osvaldo avance de codigo en svn o sino enviar por correo.
 - Explicar a Ricardo despliegue de informes en ehcos-server-testing y scripts de la rama (EHCOSPROD-37551_ehCS)
 - v2.5.1.0: [48810] Temas pendientes de informes
Pausado:
 - v2.5.1.0: [48323] Informes Remote - Modulo Notas e Informes
Backlog:
 - v2.5.1.0: [48813] Configuración de informes - CLINIC 
 - v2.5.1.1: [44807] Back. Ver informes en la APP - Paciente 
 - v2.5.2.0: [45931] Integración Remote - EMPI
 - Soporte nuevo compañero
 - instalación de oracle 12
 - instalación de postgres11</text>
  </threadedComment>
  <threadedComment ref="CE9" dT="2021-06-14T17:21:24.65" personId="{BD1330D9-4FEF-4715-8C6A-15F4CBFCA3FD}" id="{FCFDD550-73A6-4208-9515-11BD12649025}" parentId="{3D2271AD-54D9-43E9-BAD3-9CEAEEF35C52}">
    <text>Avance:
-----------------------------------
- Explicar a Ricardo despliegue de informes en ehcos-server-testing y scripts de la rama (EHCOSPROD-37551_ehCS)
&gt; Problema de despliegue en QA con informes
&gt; Ausente por problemas de conexión</text>
  </threadedComment>
  <threadedComment ref="CH9" dT="2021-06-14T17:21:16.40" personId="{BD1330D9-4FEF-4715-8C6A-15F4CBFCA3FD}" id="{C290024B-0AF3-4521-989B-E8156B06DDF6}">
    <text>## EMILIO
Tareas planificadas:
- v2.5.1.0: [48810] Temas pendientes de informes
Pausado:
- v2.5.1.0: [48323] Informes Remote - Modulo Notas e Informes
Backlog:
- Estabilizar informes
- v2.5.2.0: [45931] Integración Remote - EMPI
- v2.5.2.0: [44807] Back. Ver informes en la APP - Paciente 
- Soporte nuevo compañero
- instalación de oracle 12
- instalación de postgres11</text>
  </threadedComment>
  <threadedComment ref="CH9" dT="2021-06-15T16:49:53.97" personId="{BD1330D9-4FEF-4715-8C6A-15F4CBFCA3FD}" id="{09204ABA-55B6-4DF2-8018-2B45CF671E67}" parentId="{C290024B-0AF3-4521-989B-E8156B06DDF6}">
    <text xml:space="preserve">Avance:
-----------------------------------
&gt; Ausente por problemas de ordenador, el jueves lo revisara IT
</text>
  </threadedComment>
  <threadedComment ref="CI9" dT="2021-06-15T16:47:15.81" personId="{BD1330D9-4FEF-4715-8C6A-15F4CBFCA3FD}" id="{F42FDE61-D20C-4BE3-B140-AF75D4F9277D}">
    <text>## EMILIO
 Tareas planificadas:
 - Mover scripts de la rama de informes a scripts
 - Configurar clinic a Javier
 - Explicar informes a Javier
 - Traspasar wiki de remote a confluence
Pausado:
 - v2.5.1.0: [48810] Temas pendientes de informes
 - v2.5.1.0: [48323] Informes Remote - Modulo Notas e Informes
Backlog:
 - Estabilizar informes
 - v2.5.2.0: [45931] Integración Remote - EMPI
 - v2.5.2.0: [44807] Back. Ver informes en la APP - Paciente 
 - Soporte nuevo compañero
 - instalación de oracle 12
 - instalación de postgres11</text>
  </threadedComment>
  <threadedComment ref="CI9" dT="2021-06-16T16:12:46.99" personId="{BD1330D9-4FEF-4715-8C6A-15F4CBFCA3FD}" id="{01FBF5F6-6BA8-4486-883B-7550D5A04A11}" parentId="{F42FDE61-D20C-4BE3-B140-AF75D4F9277D}">
    <text>Avance:
-----------------------------------
&gt; Ausente por problemas de ordenador, problema con actualizacion de windows y ventilador
- v2.5.1.0: [48810] Temas pendientes de informes 
&gt; completado sincronizar datos
- Configurar clinic a Javier
&gt; avanzando pero sin terminar
- Mover scripts de la rama de informes a scripts</text>
  </threadedComment>
  <threadedComment ref="CJ9" dT="2021-06-16T16:12:37.97" personId="{BD1330D9-4FEF-4715-8C6A-15F4CBFCA3FD}" id="{FA28BF03-EC5D-4242-82FD-0B946B027914}">
    <text>## EMILIO
Tareas planificadas:
- v2.5.1.0: [48810] Temas pendientes de informes 
&gt; Guardar anexos sin duplicar en remote
&gt; Nuevas acciones genericos guardar y firmar
&gt; Nuevas acciones anular
Pausado:
- v2.5.1.0: [48323] Informes Remote - Modulo Notas e Informes
Backlog:
- Estabilizar informes
- v2.5.2.0: [45931] Integración Remote - EMPI
- v2.5.2.0: [44807] Back. Ver informes en la APP - Paciente 
- Soporte nuevo compañero
- instalación de oracle 12
- instalación de postgres11</text>
  </threadedComment>
  <threadedComment ref="CJ9" dT="2021-06-17T15:29:56.65" personId="{BD1330D9-4FEF-4715-8C6A-15F4CBFCA3FD}" id="{B7DE800C-7C0C-4C8A-A081-71FB2BDE26D1}" parentId="{FA28BF03-EC5D-4242-82FD-0B946B027914}">
    <text xml:space="preserve">Avance:
-----------------------------------
- v2.5.1.0: [48810] Temas pendientes de informes 
&gt; Guardar anexos sin duplicar en remote
&gt; Nuevas acciones genericos guardar y firmar
&gt; Ausente en daily por volver de la oficina
</text>
  </threadedComment>
  <threadedComment ref="CK9" dT="2021-06-17T15:29:45.48" personId="{BD1330D9-4FEF-4715-8C6A-15F4CBFCA3FD}" id="{603B43EA-AFE5-4544-92B1-ED16105BD14C}">
    <text>## EMILIO
Tareas planificadas:
- v2.5.1.0: [48810] Temas pendientes de informes 
&gt; Nuevas acciones anular
Pausado:
- v2.5.1.0: [48323] Informes Remote - Modulo Notas e Informes
Backlog:
- Estabilizar informes
- v2.5.2.0: [45931] Integración Remote - EMPI
- v2.5.2.0: [44807] Back. Ver informes en la APP - Paciente 
- Soporte nuevo compañero
- instalación de oracle 12
- instalación de postgres11</text>
  </threadedComment>
  <threadedComment ref="CK9" dT="2021-06-18T14:23:16.50" personId="{BD1330D9-4FEF-4715-8C6A-15F4CBFCA3FD}" id="{103279FD-827E-48A8-8F74-93C99DCD88CC}" parentId="{603B43EA-AFE5-4544-92B1-ED16105BD14C}">
    <text>Avance:
-----------------------------------
- v2.5.1.0: [48810] Temas pendientes de informes 
&gt; Nuevas acciones anular
- v2.5.1.0: [48772] Correctivos informes
&gt; avanzando
&gt; creado dump de clinic de qa</text>
  </threadedComment>
  <threadedComment ref="CL9" dT="2021-06-18T14:23:09.39" personId="{BD1330D9-4FEF-4715-8C6A-15F4CBFCA3FD}" id="{0CE2B4D0-A51F-4D95-A95F-8617C4EB7C2F}">
    <text>## EMILIO
Tareas planificadas:
&gt; TODO: Script para nueva columna cre_pak
&gt; TODO: 48810 14h Imputación pendiente emilio
- v2.5.1.0: [48772] Correctivos informes
Pausado:
- v2.5.1.0: [48323] Informes Remote - Modulo Notas e Informes
Backlog:
- Estabilizar informes
- v2.5.2.0: [45931] Integración Remote - EMPI
- v2.5.2.0: [44807] Back. Ver informes en la APP - Paciente 
- Soporte nuevo compañero
- instalación de oracle 12
- instalación de postgres11</text>
  </threadedComment>
  <threadedComment ref="CL9" dT="2021-06-22T16:44:50.32" personId="{BD1330D9-4FEF-4715-8C6A-15F4CBFCA3FD}" id="{70F91FD6-0463-4745-B43E-40CBFDF22340}" parentId="{0CE2B4D0-A51F-4D95-A95F-8617C4EB7C2F}">
    <text>Avance:
-----------------------------------
- v2.5.1.0: [48772] Correctivos informes
&gt; ausente en la daily por vacunación</text>
  </threadedComment>
  <threadedComment ref="CP9" dT="2021-06-22T16:44:40.30" personId="{BD1330D9-4FEF-4715-8C6A-15F4CBFCA3FD}" id="{BB21E420-726C-43DA-ABF9-A5172BE507A8}">
    <text>## EMILIO
Tareas planificadas:
- v2.5.1.0: [48772] Correctivos informes
- v2.5.1.0: [48977] Otros correctivos de Informes - Profesional
Backlog:
- v2.5.1.0: Estabilizar informes
- v2.5.1.0: [44814] Back. Login multidispositivo &gt; DT y DL
- v2.5.2.0: [45931] Integración Remote - EMPI
- v2.5.2.0: [44807] Back. Ver informes en la APP - Paciente 
- Soporte nuevo compañero
- instalación de oracle 12
- instalación de postgres11</text>
  </threadedComment>
  <threadedComment ref="CP9" dT="2021-06-23T15:34:23.89" personId="{BD1330D9-4FEF-4715-8C6A-15F4CBFCA3FD}" id="{35B701A4-9CC7-46D9-A90B-DE8E16A0C25C}" parentId="{BB21E420-726C-43DA-ABF9-A5172BE507A8}">
    <text>Avance:
-----------------------------------
- v2.5.1.0: [48772] Correctivos informes
&gt; realizado
- v2.5.1.0: [48977] Otros correctivos de Informes - Profesional
&gt; avanzando
&gt; malestar por la vacuna</text>
  </threadedComment>
  <threadedComment ref="CQ9" dT="2021-06-23T15:34:17.00" personId="{BD1330D9-4FEF-4715-8C6A-15F4CBFCA3FD}" id="{44348D2B-05B4-4E9B-8BBD-FF8CA36540FD}">
    <text>## EMILIO
Tareas planificadas:
- v2.5.1.0: [48977] Otros correctivos de Informes - Profesional
Backlog:
- v2.5.1.0: Estabilizar informes
- v2.5.1.0: [44814] Back. Login multidispositivo &gt; DT y DL
- v2.5.2.0: [45931] Integración Remote - EMPI
- v2.5.2.0: [44807] Back. Ver informes en la APP - Paciente 
- Soporte nuevo compañero
- instalación de oracle 12
- instalación de postgres11</text>
  </threadedComment>
  <threadedComment ref="CQ9" dT="2021-06-24T15:27:59.35" personId="{BD1330D9-4FEF-4715-8C6A-15F4CBFCA3FD}" id="{146FBAF1-63A3-4841-B775-4F67E7085310}" parentId="{44348D2B-05B4-4E9B-8BBD-FF8CA36540FD}">
    <text>Avance:
-----------------------------------
- v2.5.1.0: [48977] Otros correctivos de Informes - Profesional
&gt; avanzando finalizo hoy</text>
  </threadedComment>
  <threadedComment ref="CR9" dT="2021-06-24T15:27:14.08" personId="{BD1330D9-4FEF-4715-8C6A-15F4CBFCA3FD}" id="{E5443FFC-0A5E-47D8-A3A0-7875FC29C802}">
    <text>## EMILIO
 Tareas planificadas:
 - v2.5.1.0: [48977] Otros correctivos de Informes - Profesional
 - v2.5.1.0: [49429] Error al crear informe para pacientee &gt; estimar y corregir
 - v2.5.1.0: [49304] Error chat Web-App &gt; estimar y corregir
Backlog:
 - v2.5.1.0: Estabilizar informes
 - v2.5.1.0: [37551] Integración con EHR: elaboración de notas de evolución &gt; DT y DL remote
 - v2.5.1.0: [44814] Back. Login multidispositivo &gt; DT y DL
 - v2.5.2.0: [45931] Integración Remote - EMPI
 - v2.5.2.0: [44807] Back. Ver informes en la APP - Paciente 
 - Soporte nuevo compañero
 - instalación de oracle 12
 - instalación de postgres11</text>
  </threadedComment>
  <threadedComment ref="CR9" dT="2021-06-25T15:25:19.32" personId="{BD1330D9-4FEF-4715-8C6A-15F4CBFCA3FD}" id="{1D347D24-FB5E-4CCB-A7DE-3C57034CF206}" parentId="{E5443FFC-0A5E-47D8-A3A0-7875FC29C802}">
    <text>Avance:
-----------------------------------
- v2.5.1.0: [48977] Otros correctivos de Informes - Profesional
&gt; realizado
- v2.5.1.0: [49429] Error al crear informe para pacientee &gt; estimar y corregir
&gt; realizado</text>
  </threadedComment>
  <threadedComment ref="CS9" dT="2021-06-25T15:24:06.23" personId="{BD1330D9-4FEF-4715-8C6A-15F4CBFCA3FD}" id="{3D83542A-F23F-41FE-9CFC-69E6B1309871}">
    <text>## EMILIO
 Tareas planificadas:
 - v2.5.1.0: [49488] Correctivos en tablas de informes
 - v2.5.1.0: [49489] Realizar de nuevo informe inactivo
 - v2.5.1.0: [48976] Primer registro de usuario - Falla
 - Subir todo al SVN, actualizar JIRA
Backlog:
 - v2.5.1.0: Estabilizar informes
 - v2.5.1.0: [37551] Integración con EHR: elaboración de notas de evolución &gt; DT y DL remote
 - v2.5.1.0: [44814] Back. Login multidispositivo &gt; DT y DL
 - v2.5.2.0: [45931] Integración Remote - EMPI
 - v2.5.2.0: [44807] Back. Ver informes en la APP - Paciente 
 - Soporte nuevo compañero
 - instalación de oracle 12
 - instalación de postgres11</text>
  </threadedComment>
  <threadedComment ref="CS9" dT="2021-06-29T15:39:28.04" personId="{BD1330D9-4FEF-4715-8C6A-15F4CBFCA3FD}" id="{45AEB2D6-0DF0-44A8-8EF6-3E4987D273ED}" parentId="{3D83542A-F23F-41FE-9CFC-69E6B1309871}">
    <text>Avance:
-----------------------------------
- v2.5.1.0: [49488] Correctivos en tablas de informes
&gt; realizado
- v2.5.1.0: [49489] Realizar de nuevo informe inactivo
&gt; realizado
- v2.5.1.0: [48976] Primer registro de usuario - Falla
&gt; realizado</text>
  </threadedComment>
  <threadedComment ref="CW9" dT="2021-06-29T15:36:46.66" personId="{BD1330D9-4FEF-4715-8C6A-15F4CBFCA3FD}" id="{F104B072-D58B-4E0A-B201-778D9A9F7CCA}">
    <text>## EMILIO
Diario: commit y actualizar JIRA / EXCEL
Tareas planificadas:
- v2.5.1.0: [48772] Correctivos informes &gt; devuelta
- v2.5.1.0: [48977] Otros correctivos de Informes - Profesional &gt; devuelta
- v2.5.1.0: [49598] Correctivos de Informes - profesional &gt; nueva
Backlog:
- v2.5.1.0: Estabilizar informes
- v2.5.1.0: [37551] Integración con EHR: elaboración de notas de evolución &gt; DT y DL remote
- v2.5.1.0: [44814] Back. Login multidispositivo &gt; DT y DL
- v2.5.2.0: [45931] Integración Remote - EMPI
- v2.5.2.0: [44807] Back. Ver informes en la APP - Paciente 
- Soporte nuevo compañero
- instalación de oracle 12
- instalación de postgres11</text>
  </threadedComment>
  <threadedComment ref="CW9" dT="2021-06-30T15:48:16.62" personId="{BD1330D9-4FEF-4715-8C6A-15F4CBFCA3FD}" id="{5BB2F483-FCA4-47CC-8AE2-2CABB08FF1B1}" parentId="{F104B072-D58B-4E0A-B201-778D9A9F7CCA}">
    <text>Avance:
-----------------------------------
- v2.5.1.0: [48772] Correctivos informes &gt; devuelta
&gt; realizado se corrigieron datos en bd de pacientes con apellidos nulos y se borro la cache
- v2.5.1.0: [48977] Otros correctivos de Informes - Profesional &gt; devuelta
&gt; realizado, revisado con cecilia diferentes ajustes
- v2.5.1.0: [37551] Integración con EHR: elaboración de notas de evolución &gt; DT y DL remote
&gt; casi terminado</text>
  </threadedComment>
  <threadedComment ref="CX9" dT="2021-06-30T15:47:24.54" personId="{BD1330D9-4FEF-4715-8C6A-15F4CBFCA3FD}" id="{9F96DD1F-4E94-4E35-AC49-E06F87BCFB1A}">
    <text>## EMILIO
 Recordatorio diario: commit y actualizar JIRA / EXCEL (Sino funciona el JIRA dejar comentario con el avance)
Tareas planificadas:
 - v2.5.1.0: [44004] OTG-AUTHN-007 Prueba sobre la política de contraseñas &gt; devuelta
Backlog:
 - v2.5.1.0: Estabilizar informes
 - v2.5.1.0: [37551] Integración con EHR: elaboración de notas de evolución &gt; DT y DL remote
 - v2.5.1.0: [44814] Back. Login multidispositivo &gt; DT y DL
 - Soporte nuevo compañero
 - instalación de oracle 12
 - instalación de postgres11
Siguiente:
 - v2.5.2.0: [42660] Control de acceso a Remote OnPremise &gt; estimar y desarrollo
 - v2.5.2.0: [45931] Integración Remote - EMPI &gt; estimar y desarrollo
 - v2.5.2.0: [EHCOSPROD-44840] Back. Añadir gamificaciones en la APP - Profesional &gt; estimar y desarrollo</text>
  </threadedComment>
  <threadedComment ref="CX9" dT="2021-07-01T14:36:59.25" personId="{BD1330D9-4FEF-4715-8C6A-15F4CBFCA3FD}" id="{B4336844-A33F-4C3D-A643-413A5CBF8163}" parentId="{9F96DD1F-4E94-4E35-AC49-E06F87BCFB1A}">
    <text>Avance:
-----------------------------------
- v2.5.1.0: [44004] OTG-AUTHN-007 Prueba sobre la política de contraseñas &gt; devuelta
&gt; empezando
&gt; Problemas con el despliegue en QA por orden de arranque</text>
  </threadedComment>
  <threadedComment ref="CY9" dT="2021-07-01T14:33:57.28" personId="{BD1330D9-4FEF-4715-8C6A-15F4CBFCA3FD}" id="{9AFCB831-8A6C-422C-939C-0F3024569E67}">
    <text>## EMILIO
Recordatorio diario: 
- Actualizar JIRA / EXCEL (Sino funciona el JIRA dejar comentario con el avance)
Tareas planificadas:
- v2.5.1.0: [44004] OTG-AUTHN-007 Prueba sobre la política de contraseñas &gt; devuelta
- v2.5.1.0: [49742] Soporte de idioma seleccionado en clinic para informes &gt; Script para sincronizar locale de clinic 
- v2.5.1.0: [37551] Integración con EHR: elaboración de notas de evolución &gt; DT y DL remote
- v2.5.1.0: [44814] Back. Login multidispositivo &gt; DT y DL
Siguiente:
- v2.5.1.0: Estabilizar informes
- v2.5.2.0: [42660] Control de acceso a Remote OnPremise &gt; estimar y desarrollo
- v2.5.2.0: [45931] Integración Remote - EMPI &gt; estimar y desarrollo
- v2.5.2.0: [44840] Back. Añadir gamificaciones en la APP - Profesional &gt; estimar y desarrollo
Backlog:
- Soporte nuevo compañero
- instalación de oracle 12
- instalación de postgres11</text>
  </threadedComment>
  <threadedComment ref="CY9" dT="2021-07-02T13:39:11.25" personId="{BD1330D9-4FEF-4715-8C6A-15F4CBFCA3FD}" id="{9E24037F-BDD2-4C0A-8157-57C58D5E68C3}" parentId="{9AFCB831-8A6C-422C-939C-0F3024569E67}">
    <text>Avance:
-----------------------------------
- v2.5.1.0: [44004] OTG-AUTHN-007 Prueba sobre la política de contraseñas &gt; devuelta
&gt; realizado, devuelta, pero rechazada porque un admin no tiene que tener restricciones
- v2.5.1.0: [49742] Soporte de idioma seleccionado en clinic para informes &gt; Script para sincronizar locale de clinic 
&gt; Pendiente de subir scripts
&gt; ausencia por ir al oftalmologo</text>
  </threadedComment>
  <threadedComment ref="CZ9" dT="2021-07-02T13:38:41.12" personId="{BD1330D9-4FEF-4715-8C6A-15F4CBFCA3FD}" id="{E26EE7EA-3C54-45AC-A470-9A2AC01BB4A2}">
    <text>## EMILIO
Recordatorio diario: 
- Actualizar JIRA / EXCEL (Sino funciona el JIRA dejar comentario con el avance)
Tareas planificadas:
- Subir DTs a TEAMS y JIRA
- v2.5.1.0: [49742] Soporte de idioma seleccionado en clinic para informes &gt; Script para sincronizar locale de clinic &gt; Pendiente de subir scripts
- v2.5.1.0: [49794] Etiquetas de informes
- v2.5.1.0: [48977] Otros correctivos de Informes - Profesional
Siguiente:
- v2.5.1.0: Estabilizar informes
- v2.5.1.0: [37551] Integración con EHR: elaboración de notas de evolución &gt; DT y DL remote
- v2.5.1.0: [44814] Back. Login multidispositivo &gt; DT y DL
- v2.5.2.0: [42660] Control de acceso a Remote OnPremise &gt; estimar y desarrollo
- v2.5.2.0: [45931] Integración Remote - EMPI &gt; estimar y desarrollo
- v2.5.2.0: [44840] Back. Añadir gamificaciones en la APP - Profesional &gt; estimar y desarrollo
Backlog:
- Soporte nuevo compañero
- instalación de oracle 12
- instalación de postgres11</text>
  </threadedComment>
  <threadedComment ref="CZ9" dT="2021-07-05T14:50:17.00" personId="{BD1330D9-4FEF-4715-8C6A-15F4CBFCA3FD}" id="{5D2FE0E7-D6F6-4835-8824-65B353C15360}" parentId="{E26EE7EA-3C54-45AC-A470-9A2AC01BB4A2}">
    <text xml:space="preserve">Avance:
-----------------------------------
- v2.5.1.0: [49794] Etiquetas de informes
&gt; realizado
- v2.5.1.0: [48977] Otros correctivos de Informes - Profesional
&gt; realizado
&gt; Despliegue en QA
&gt; Soporte a Javier con problemas de telecare.zul por bloqueo de JSON FIREBASE
</text>
  </threadedComment>
  <threadedComment ref="DC9" dT="2021-07-05T14:49:30.14" personId="{BD1330D9-4FEF-4715-8C6A-15F4CBFCA3FD}" id="{D5067BBD-5951-4FE9-B0A0-C0A0A50623B8}">
    <text>## EMILIO
Recordatorio diario: 
- Actualizar JIRA / EXCEL
Tareas planificadas:
- Subir DTs a TEAMS y JIRA
- v2.5.1.0: [37551] Integración con EHR: elaboración de notas de evolución &gt; DT y DL remote
- v2.5.1.0: [44814] Back. Login multidispositivo &gt; DT y DL
- Preparar itininerario de formación en Confluence
Siguiente:
- v2.5.2.0: [48075] [Desarrollo] Control de licencias on-premise &gt; estimar y desarrollo para Javier
- v2.5.2.0: [45931] Integración Remote - EMPI &gt; desarrollo de pantallas
Backlog:
- Soporte nuevos compañeros
- instalación de oracle 12
- instalación de postgres11</text>
  </threadedComment>
  <threadedComment ref="DC9" dT="2021-07-06T15:02:34.69" personId="{BD1330D9-4FEF-4715-8C6A-15F4CBFCA3FD}" id="{046406EF-B651-40DD-A89C-94483071501F}" parentId="{D5067BBD-5951-4FE9-B0A0-C0A0A50623B8}">
    <text>Avance:
-----------------------------------
- v2.5.1.0: [37551] Integración con EHR: elaboración de notas de evolución &gt; DT y DL remote
&gt; realizado
- Preparar itinerario de formación en Confluence
&gt; realizado
&gt; Soporte a Javier
- v2.5.2.0: [48075] [Desarrollo] Control de licencias on-premise &gt; estimar y desarrollo para Javier
&gt; empezando estimación</text>
  </threadedComment>
  <threadedComment ref="DD9" dT="2021-07-06T15:01:15.45" personId="{BD1330D9-4FEF-4715-8C6A-15F4CBFCA3FD}" id="{89DFC10F-09C1-4063-A158-CE69947747A2}">
    <text>## EMILIO
Recordatorio diario: 
- Actualizar JIRA / EXCEL
Tareas planificadas:
- v2.5.1.0: [44814] Back. Login multidispositivo &gt; DT y DL
- v2.5.2.0: [48075] [Desarrollo] Control de licencias on-premise &gt; estimar y desarrollo para Javier
Siguiente:
- v2.5.2.0: [45931] Integración Remote - EMPI &gt; desarrollo de pantallas
Backlog:
- Soporte nuevos compañeros
- instalación de oracle 12
- instalación de postgres11</text>
  </threadedComment>
  <threadedComment ref="DD9" dT="2021-07-08T09:15:18.09" personId="{BD1330D9-4FEF-4715-8C6A-15F4CBFCA3FD}" id="{F1404262-16DA-47F5-AFED-AC8930897C8D}" parentId="{89DFC10F-09C1-4063-A158-CE69947747A2}">
    <text>Avance:
-----------------------------------
- v2.5.1.0: [44814] Back. Login multidispositivo &gt; DT y DL
&gt; realizado
- v2.5.2.0: [48075] [Desarrollo] Control de licencias on-premise &gt; estimar y desarrollo para Javier
&gt; avanzando en la estimación
&gt; Soporte a Javier con la incidencia del chat.
&gt; Soporte a nuevos compañeros</text>
  </threadedComment>
  <threadedComment ref="DE9" dT="2021-07-08T09:13:54.18" personId="{BD1330D9-4FEF-4715-8C6A-15F4CBFCA3FD}" id="{0B68FBC9-B8C2-465B-B41B-816FFF3BAABC}">
    <text>## EMILIO
Recordatorio diario: 
- Actualizar JIRA / EXCEL
Tareas planificadas:
- v2.5.2.0: [48075] [Desarrollo] Control de licencias on-premise &gt; desarrollo
Siguiente:
- v2.5.2.0: [45931] Integración Remote - EMPI &gt; desarrollo de pantallas
Backlog:
- Soporte nuevos compañeros
- instalación de oracle 12
- instalación de postgres11</text>
  </threadedComment>
  <threadedComment ref="DE9" dT="2021-07-08T14:37:05.85" personId="{BD1330D9-4FEF-4715-8C6A-15F4CBFCA3FD}" id="{A996E1BE-6350-427B-8F68-8A19C1F6A610}" parentId="{0B68FBC9-B8C2-465B-B41B-816FFF3BAABC}">
    <text xml:space="preserve">Avance:
-----------------------------------
- v2.5.2.0: [48075] [Desarrollo] Control de licencias on-premise &gt; estimar y desarrollo para Javier
&gt; terminada la estimación con dudas
</text>
  </threadedComment>
  <threadedComment ref="DF9" dT="2021-07-08T14:36:51.04" personId="{BD1330D9-4FEF-4715-8C6A-15F4CBFCA3FD}" id="{C0B5378D-9A67-4C21-8DD9-26B92C20FED2}">
    <text>## EMILIO
Recordatorio diario: 
- Actualizar JIRA / EXCEL
Tareas planificadas:
- v2.5.2.0: [48075] [Desarrollo] Control de licencias on-premise &gt; desarrollo
Siguiente:
- v2.5.2.0: [45931] Integración Remote - EMPI &gt; desarrollo de pantallas
Backlog:
- Soporte nuevos compañeros
- instalación de oracle 12
- instalación de postgres11</text>
  </threadedComment>
  <threadedComment ref="DF9" dT="2021-07-12T14:46:37.15" personId="{BD1330D9-4FEF-4715-8C6A-15F4CBFCA3FD}" id="{7DC95263-54A6-4A42-8A18-67D323F35DC4}" parentId="{C0B5378D-9A67-4C21-8DD9-26B92C20FED2}">
    <text>Avance:
-----------------------------------
- v2.5.2.0: [48075] [Desarrollo] Control de licencias on-premise &gt; desarrollo
&gt; avance y actualizar JIRA / EXCEL
&gt; generada rama con trunk con errores</text>
  </threadedComment>
  <threadedComment ref="DG9" dT="2021-07-12T14:45:56.82" personId="{BD1330D9-4FEF-4715-8C6A-15F4CBFCA3FD}" id="{4618B023-7655-4C55-811F-EE9ADFC27529}">
    <text>## EMILIO
Recordatorio diario: 
- Actualizar JIRA / EXCEL
Tareas planificadas:
- v2.5.2.0: [48075] [Desarrollo] Control de licencias on-premise &gt; fin: 14/07/2021
- Configurar rama con el trunk y aplicar parche del evolutivo
Siguiente:
- v2.5.2.0: [45931] Integración Remote - EMPI &gt; desarrollo de pantallas UI Marcar/desmarcar a los pacientes que no tiene 
Backlog:
- Soporte nuevos compañeros
- instalación de oracle 12
- instalación de postgres11</text>
  </threadedComment>
  <threadedComment ref="DG9" dT="2021-07-12T14:46:40.43" personId="{BD1330D9-4FEF-4715-8C6A-15F4CBFCA3FD}" id="{4AABE174-23D0-4A68-9000-901A27A63F88}" parentId="{4618B023-7655-4C55-811F-EE9ADFC27529}">
    <text>Avance:
-----------------------------------
- v2.5.2.0: [48075] [Desarrollo] Control de licencias on-premise &gt; desarrollo
&gt; avance y actualizar JIRA / EXCEL
&gt; generada rama con trunk con errores</text>
  </threadedComment>
  <threadedComment ref="DJ9" dT="2021-07-12T14:46:01.37" personId="{BD1330D9-4FEF-4715-8C6A-15F4CBFCA3FD}" id="{628D9818-BBC3-49D4-A983-F17D0746B703}">
    <text>## EMILIO
Recordatorio diario: 
- Actualizar JIRA / EXCEL
Tareas planificadas:
- v2.5.2.0: [48075] [Desarrollo] Control de licencias on-premise &gt; fin: 14/07/2021
- Configurar rama con el trunk y aplicar parche del evolutivo
Siguiente:
- v2.5.2.0: [45931] Integración Remote - EMPI &gt; desarrollo de pantallas UI Marcar/desmarcar a los pacientes que no tiene 
Backlog:
- Soporte nuevos compañeros
- instalación de oracle 12
- instalación de postgres11</text>
  </threadedComment>
  <threadedComment ref="DJ9" dT="2021-07-13T15:04:40.56" personId="{BD1330D9-4FEF-4715-8C6A-15F4CBFCA3FD}" id="{2AB97D6B-0E85-4F17-AA31-A393BC5CE23E}" parentId="{628D9818-BBC3-49D4-A983-F17D0746B703}">
    <text>Avance:
-----------------------------------
- v2.5.2.0: [48075] [Desarrollo] Control de licencias on-premise &gt; fin: 14/07/2021
&gt; avanzando y revisando dudas con Jose de ARQ
- Soporte nuevos compañeros</text>
  </threadedComment>
  <threadedComment ref="DK9" dT="2021-07-13T15:04:20.69" personId="{BD1330D9-4FEF-4715-8C6A-15F4CBFCA3FD}" id="{AA08FCC3-ADD6-4A5E-A9EE-84CE1BE129B3}">
    <text>## EMILIO
Recordatorio diario: 
- Actualizar JIRA / EXCEL
Tareas planificadas:
- v2.5.2.0: [48075] [Desarrollo] Control de licencias on-premise &gt; fin: 14/07/2021
- Casos de prueba de teslink del evolutivo
- Configurar rama con el trunk y aplicar parche del evolutivo
Siguiente:
- v2.5.2.0: [45931] Integración Remote - EMPI &gt; desarrollo de pantallas UI Marcar/desmarcar a los pacientes que no tiene 
Backlog:
- Soporte nuevos compañeros
- instalación de oracle 12
- instalación de postgres11</text>
  </threadedComment>
  <threadedComment ref="DK9" dT="2021-07-14T15:56:21.95" personId="{BD1330D9-4FEF-4715-8C6A-15F4CBFCA3FD}" id="{615DDCDB-EE03-4D4A-A24A-7AFF04CC08A0}" parentId="{AA08FCC3-ADD6-4A5E-A9EE-84CE1BE129B3}">
    <text>Avance:
-----------------------------------
- v2.5.2.0: [48075] [Desarrollo] Control de licencias on-premise &gt; fin: 14/07/2021
&gt; avanzando y revisando dudas con Jose de ARQ
&gt; cambios de version en los pom para la licencia</text>
  </threadedComment>
  <threadedComment ref="DL9" dT="2021-07-14T15:54:25.50" personId="{BD1330D9-4FEF-4715-8C6A-15F4CBFCA3FD}" id="{D8E9E8FE-FA07-4EF0-B02D-EA6EA58EB3C1}">
    <text>## EMILIO
Recordatorio diario: 
- Actualizar JIRA / EXCEL
Tareas planificadas:
- v2.5.2.0: [48075] [Desarrollo] Control de licencias on-premise &gt; fin: 14/07/2021
- Enviar correo con el estado de la tarea antes de las VACACIONES
- Casos de prueba de testlink del evolutivo
- Configurar rama con el trunk y aplicar parche del evolutivo
Siguiente:
- v2.5.2.0: [45931] Integración Remote - EMPI &gt; desarrollo de pantallas UI Marcar/desmarcar a los pacientes que no tiene 
Backlog:
- Soporte nuevos compañeros
- instalación de oracle 12
- instalación de postgres11</text>
  </threadedComment>
  <threadedComment ref="DQ9" dT="2021-07-23T08:37:48.83" personId="{BD1330D9-4FEF-4715-8C6A-15F4CBFCA3FD}" id="{20C53D23-6D6D-49EA-B12E-6A7A301C1A11}">
    <text>## EMILIO
Tareas planificadas:
- v2.5.2.0: [50224] UI marcar/desmarcar a los pacientes que no tienen acceso a información de sistemas externos
Siguiente:
- v2.5.2.0: [50225] UI desarrollo en Perfil 360 para que muestre aviso a los pacientes sin acceso
Backlog:
- instalación de oracle 12
- instalación de postgres11</text>
  </threadedComment>
  <threadedComment ref="DQ9" dT="2021-07-23T08:38:32.37" personId="{BD1330D9-4FEF-4715-8C6A-15F4CBFCA3FD}" id="{B663AAD7-0BF3-47AD-9E21-8B37609F8062}" parentId="{20C53D23-6D6D-49EA-B12E-6A7A301C1A11}">
    <text>Avance:
-----------------------------------
- v2.5.2.0: [48075] [Desarrollo] Control de licencias on-premise &gt; fin: 14/07/2021
&gt; realizado
- v2.5.2.0: [50224] UI marcar/desmarcar a los pacientes que no tienen acceso a información de sistemas externos
&gt; Configurar entorno y con dudas funcionales y bloqueos de otras tareas
- Soporte a compañeros</text>
  </threadedComment>
  <threadedComment ref="DR9" dT="2021-07-23T08:37:53.45" personId="{BD1330D9-4FEF-4715-8C6A-15F4CBFCA3FD}" id="{0CA7EB3D-530C-4F68-A99D-C5F8399F1F44}">
    <text>## EMILIO
Tareas planificadas:
- v2.5.2.0: [50224] UI marcar/desmarcar a los pacientes que no tienen acceso a información de sistemas externos
Siguiente:
- v2.5.2.0: [50225] UI desarrollo en Perfil 360 para que muestre aviso a los pacientes sin acceso
Backlog:
- instalación de oracle 12
- instalación de postgres11</text>
  </threadedComment>
  <threadedComment ref="DR9" dT="2021-07-23T08:38:30.01" personId="{BD1330D9-4FEF-4715-8C6A-15F4CBFCA3FD}" id="{CFE149FA-AEDB-4C1A-8DBD-DCFAF9F6D795}" parentId="{0CA7EB3D-530C-4F68-A99D-C5F8399F1F44}">
    <text>Avance:
-----------------------------------
- v2.5.2.0: [48075] [Desarrollo] Control de licencias on-premise &gt; fin: 14/07/2021
&gt; realizado
- v2.5.2.0: [50224] UI marcar/desmarcar a los pacientes que no tienen acceso a información de sistemas externos
&gt; Configurar entorno y con dudas funcionales y bloqueos de otras tareas
- Soporte a compañeros</text>
  </threadedComment>
  <threadedComment ref="DS9" dT="2021-07-23T08:37:57.62" personId="{BD1330D9-4FEF-4715-8C6A-15F4CBFCA3FD}" id="{A35014AD-78F5-4EDE-847C-65CBABB493ED}">
    <text>## EMILIO
Tareas planificadas:
- v2.5.2.0: [50224] UI marcar/desmarcar a los pacientes que no tienen acceso a información de sistemas externos
Siguiente:
- v2.5.2.0: [50225] UI desarrollo en Perfil 360 para que muestre aviso a los pacientes sin acceso
Backlog:
- instalación de oracle 12
- instalación de postgres11</text>
  </threadedComment>
  <threadedComment ref="DS9" dT="2021-07-23T08:38:25.12" personId="{BD1330D9-4FEF-4715-8C6A-15F4CBFCA3FD}" id="{77D502C4-8F2C-4E15-A82B-8CACDEDF7F77}" parentId="{A35014AD-78F5-4EDE-847C-65CBABB493ED}">
    <text>Avance:
-----------------------------------
- v2.5.2.0: [48075] [Desarrollo] Control de licencias on-premise &gt; fin: 14/07/2021
&gt; realizado
- v2.5.2.0: [50224] UI marcar/desmarcar a los pacientes que no tienen acceso a información de sistemas externos
&gt; Configurar entorno y con dudas funcionales y bloqueos de otras tareas
- Soporte a compañeros</text>
  </threadedComment>
  <threadedComment ref="DT9" dT="2021-07-23T08:38:05.80" personId="{BD1330D9-4FEF-4715-8C6A-15F4CBFCA3FD}" id="{831B3A32-136A-4A0F-8016-8464D5E65401}">
    <text>## EMILIO
Tareas planificadas:
- v2.5.2.0: [50224] UI marcar/desmarcar a los pacientes que no tienen acceso a información de sistemas externos
Siguiente:
- v2.5.2.0: [50225] UI desarrollo en Perfil 360 para que muestre aviso a los pacientes sin acceso
Backlog:
- instalación de oracle 12
- instalación de postgres11</text>
  </threadedComment>
  <threadedComment ref="DT9" dT="2021-07-26T14:34:23.32" personId="{BD1330D9-4FEF-4715-8C6A-15F4CBFCA3FD}" id="{E7F8C1FF-A99C-4278-A0C9-100BCF5FB257}" parentId="{831B3A32-136A-4A0F-8016-8464D5E65401}">
    <text>Avance:
-----------------------------------
- v2.5.2.0: [50224] UI marcar/desmarcar a los pacientes que no tienen acceso a información de sistemas externos
&gt; avanzando con el type master, y revisando cambios en el funcional
&gt; revisado con hector el servicio para la busqueda de empi</text>
  </threadedComment>
  <threadedComment ref="DU9" dT="2021-07-26T14:33:15.29" personId="{BD1330D9-4FEF-4715-8C6A-15F4CBFCA3FD}" id="{05EA63BF-F606-436F-8023-7235A9D7A5B2}">
    <text>## EMILIO
Tareas planificadas:
- v2.5.2.0: [50224] UI marcar/desmarcar a los pacientes que no tienen acceso a información de sistemas externos
Siguiente:
- v2.5.2.0: [50225] UI desarrollo en Perfil 360 para que muestre aviso a los pacientes sin acceso
Backlog:
- instalación de oracle 12
- instalación de postgres11</text>
  </threadedComment>
  <threadedComment ref="DU9" dT="2021-07-26T14:34:44.84" personId="{BD1330D9-4FEF-4715-8C6A-15F4CBFCA3FD}" id="{58DB2BB1-960F-4D7A-8C39-012878F5E4FB}" parentId="{05EA63BF-F606-436F-8023-7235A9D7A5B2}">
    <text>Avance:
-----------------------------------
- v2.5.2.0: [50224] UI marcar/desmarcar a los pacientes que no tienen acceso a información de sistemas externos
&gt; revisado funcional y avanzando
&gt; pruebas de busqueda apuntando a LOCAL, faltan datos para prueba de busqueda</text>
  </threadedComment>
  <threadedComment ref="DX9" dT="2021-07-26T14:33:23.32" personId="{BD1330D9-4FEF-4715-8C6A-15F4CBFCA3FD}" id="{737760DE-A2A3-4512-A87F-30DCEA882919}">
    <text>## EMILIO
Tareas planificadas:
- v2.5.2.0: [50224] UI marcar/desmarcar a los pacientes que no tienen acceso a información de sistemas externos
Siguiente:
- v2.5.2.0: [50225] UI desarrollo en Perfil 360 para que muestre aviso a los pacientes sin acceso
Backlog:
- instalación de oracle 12
- instalación de postgres11</text>
  </threadedComment>
  <threadedComment ref="DX9" dT="2021-07-27T17:07:00.58" personId="{BD1330D9-4FEF-4715-8C6A-15F4CBFCA3FD}" id="{42721FEC-A21A-4E75-82A7-97F3F4BD77BB}" parentId="{737760DE-A2A3-4512-A87F-30DCEA882919}">
    <text>Avance:
-----------------------------------
- v2.5.2.0: [50224] UI marcar/desmarcar a los pacientes que no tienen acceso a información de sistemas externos &gt; fin:27/07
&gt; finalizado marcar desmarcar paciente
- v2.5.2.0: [50225] UI desarrollo en Perfil 360 para que muestre aviso a los pacientes sin acceso
&gt; terminando</text>
  </threadedComment>
  <threadedComment ref="DY9" dT="2021-07-27T17:06:30.30" personId="{BD1330D9-4FEF-4715-8C6A-15F4CBFCA3FD}" id="{567F0B91-62A8-409E-80FA-4584C97AF55A}">
    <text>## EMILIO
Tareas planificadas:
- v2.5.2.0: [50225] UI desarrollo en Perfil 360 para que muestre aviso a los pacientes sin acceso
- v2.5.2.0: [50224] UI marcar/desmarcar a los pacientes que no tienen acceso a información de sistemas externos &gt; fin:27/07
Siguiente:
- v2.5.2.0: [50715] UI. Verificación usuarios en ficha
- v2.5.2.0: [50750] Servicios APP verificación de usuario
- v2.5.1.3: [47898] Añadir filtro de búsqueda por grupo al crear videoconferencias grupales &gt; estimar y desarrollo
Backlog:
- v2.5.2.0: [45315] Rangos vitales &gt; estimar y desarrollo
- instalación de oracle 12
- instalación de postgres11</text>
  </threadedComment>
  <threadedComment ref="DY9" dT="2021-07-29T16:08:16.89" personId="{BD1330D9-4FEF-4715-8C6A-15F4CBFCA3FD}" id="{18F3EDEF-78C7-4769-A681-56AF7AE76B77}" parentId="{567F0B91-62A8-409E-80FA-4584C97AF55A}">
    <text>Avance:
-----------------------------------
- v2.5.2.0: [50225] UI desarrollo en Perfil 360 para que muestre aviso a los pacientes sin acceso
&gt; realizado
- v2.5.2.0: [50224] UI marcar/desmarcar a los pacientes que no tienen acceso a información de sistemas externos &gt; fin:27/07
&gt; realizado
- v2.5.2.0: [50715] UI. Verificación usuarios en ficha
&gt; realizado
- v2.5.2.0: [50750] Servicios APP verificación de usuario
&gt; realizado</text>
  </threadedComment>
  <threadedComment ref="DZ9" dT="2021-07-28T14:51:31.87" personId="{BD1330D9-4FEF-4715-8C6A-15F4CBFCA3FD}" id="{E56DCEA2-F84C-4C6F-9D15-13AB95F82358}">
    <text>## EMILIO
Tareas planificadas:
- v2.5.1.2: [47898] Añadir filtro de búsqueda por grupo al crear videoconferencias grupales &gt; estimar y desarrollo
Siguiente:
- v2.5.2.0: [45315] Rangos vitales &gt; estimar y desarrollo
Backlog:
- instalación de oracle 12
- instalación de postgres11</text>
  </threadedComment>
  <threadedComment ref="DZ9" dT="2021-07-28T14:51:47.86" personId="{BD1330D9-4FEF-4715-8C6A-15F4CBFCA3FD}" id="{595EDC9F-31BB-4241-8316-500FF1AD7191}" parentId="{E56DCEA2-F84C-4C6F-9D15-13AB95F82358}">
    <text>Avance:
-----------------------------------
- v2.5.1.2: [47898] Añadir filtro de búsqueda por grupo al crear videoconferencias grupales &gt; estimar y desarrollo
&gt; estimado en 20h y avanzando en el desarrollo
&gt; Soporte a los compañeros</text>
  </threadedComment>
  <threadedComment ref="EA9" dT="2021-07-29T16:05:50.67" personId="{BD1330D9-4FEF-4715-8C6A-15F4CBFCA3FD}" id="{5367CE38-EDC5-46FA-BAB8-1AC165234630}">
    <text>## EMILIO [~eartigas]
Tareas planificadas:
- v2.5.1.2: [47898] Añadir filtro de búsqueda por grupo al crear videoconferencias grupales &gt; estimar y desarrollo
Siguiente:
- v2.5.2.0: [45315] Rangos vitales &gt; estimar y desarrollo
Backlog:
- instalación de oracle 12
- instalación de postgres11</text>
  </threadedComment>
  <threadedComment ref="EA9" dT="2021-07-30T14:34:34.11" personId="{BD1330D9-4FEF-4715-8C6A-15F4CBFCA3FD}" id="{A0140E37-C919-4A88-8524-ED38377FE03B}" parentId="{5367CE38-EDC5-46FA-BAB8-1AC165234630}">
    <text>Avance:
-----------------------------------
- v2.5.1.2: [47898] Añadir filtro de búsqueda por grupo al crear videoconferencias grupales &gt; fin:03/08
&gt; avanzando, se estima que terminara el desarrollo ya</text>
  </threadedComment>
  <threadedComment ref="EB9" dT="2021-07-30T14:33:51.31" personId="{BD1330D9-4FEF-4715-8C6A-15F4CBFCA3FD}" id="{5A6A2499-CA7B-4A23-9C55-646CE9C91619}">
    <text>## EMILIO [~eartigas]
Tareas planificadas:
- v2.5.1.2: [47898] Añadir filtro de búsqueda por grupo al crear videoconferencias grupales &gt; fin:03/08
Siguiente:
- v2.5.2.0: [45315] Rangos vitales &gt; estimar y desarrollo
Backlog:
- instalación de oracle 12
- instalación de postgres11</text>
  </threadedComment>
  <threadedComment ref="EE9" dT="2021-08-02T15:26:30.43" personId="{BD1330D9-4FEF-4715-8C6A-15F4CBFCA3FD}" id="{D712D1D1-724C-44C3-9B38-BD79819F9805}">
    <text>## EMILIO [~eartigas]
Tareas planificadas:
- v2.5.1.2: [47898] Añadir filtro de búsqueda por grupo al crear videoconferencias grupales &gt; fin:02/08
- [47898] Despliege en PRE BR despligue con soporte informes
- [47898] Documentación 
Siguiente:
- v2.5.2.0: [45315] Rangos vitales &gt; estimar y desarrollo
Backlog:
- v2.5.3: Evolutivo Citas y Profesionales
- instalación de oracle 12
- instalación de postgres11</text>
  </threadedComment>
  <threadedComment ref="EE9" dT="2021-08-03T14:42:14.23" personId="{BD1330D9-4FEF-4715-8C6A-15F4CBFCA3FD}" id="{37841075-62A7-4A2D-8E06-B5C05F669108}" parentId="{D712D1D1-724C-44C3-9B38-BD79819F9805}">
    <text>Avance:
-----------------------------------
- v2.5.1.2: [47898] Añadir filtro de búsqueda por grupo al crear videoconferencias grupales &gt; fin:02/08
- [47898] Despliege en PRE BR despligue con soporte informes
- [47898] Documentación de Api REST
&gt; completadas pruebas incluido ponencias, le falta acceso al testlink
&gt; Soporte a compañeros</text>
  </threadedComment>
  <threadedComment ref="EF9" dT="2021-08-03T14:41:55.20" personId="{BD1330D9-4FEF-4715-8C6A-15F4CBFCA3FD}" id="{973F9035-8241-41DE-B74A-FACB6BD3CCAB}">
    <text>## EMILIO [~eartigas]
Tareas planificadas:
- [47898] Documentación de DT y DL
- v2.5.2.1: [45315] Nueva notificación datos vitales (Rango) &gt; estimar y desarrollo
Siguiente:
Backlog:
- v2.5.3: Evolutivo Citas y Profesionales
- instalación de oracle 12
- instalación de postgres11</text>
  </threadedComment>
  <threadedComment ref="EF9" dT="2021-08-05T08:12:10.44" personId="{BD1330D9-4FEF-4715-8C6A-15F4CBFCA3FD}" id="{3B4D218D-93B1-40E9-846D-317E9AC7F86F}" parentId="{973F9035-8241-41DE-B74A-FACB6BD3CCAB}">
    <text>Avance:
-----------------------------------
- v2.5.2.1: [50984] No se están listando los participantes por Grupo
&gt; realizado pendiente de commit para evitar conflicto con desarrollo de marcos
- v2.5.2.1: [45315] Nueva notificación datos vitales (Rango) &gt; estimar y desarrollo
&gt; empezando analisis pendiente de dudas con grecia</text>
  </threadedComment>
  <threadedComment ref="EG9" dT="2021-08-05T08:11:52.00" personId="{BD1330D9-4FEF-4715-8C6A-15F4CBFCA3FD}" id="{EDEDB25B-7C61-424C-A0F7-CB0946ED0F54}">
    <text>## EMILIO [~eartigas]
Tareas planificadas:
- v2.5.2.0: [50991] Errores en evolutivo - Control de acceso a Remote OnPremise
Siguiente:
- [47898] Documentación de DT y DL
- v2.5.2.1: [45315] Nueva notificación datos vitales (Rango) &gt; estimar y desarrollo
Backlog:
- v2.5.3: Evolutivo Citas y Profesionales
- instalación de oracle 12
- instalación de postgres11</text>
  </threadedComment>
  <threadedComment ref="EG9" dT="2021-08-05T15:21:16.50" personId="{BD1330D9-4FEF-4715-8C6A-15F4CBFCA3FD}" id="{32BD6190-9291-416D-83E4-B15274654C71}" parentId="{EDEDB25B-7C61-424C-A0F7-CB0946ED0F54}">
    <text>Avance:
-----------------------------------
- v2.5.2.0: [50991] Errores en evolutivo - Control de acceso a Remote OnPremise &gt; estimar y desarrollo
&gt; avanzando
&gt; ausente en daily por problemas de internet</text>
  </threadedComment>
  <threadedComment ref="EH9" dT="2021-08-05T15:21:08.22" personId="{BD1330D9-4FEF-4715-8C6A-15F4CBFCA3FD}" id="{28AE9D90-B41F-45CC-99F1-0E114BEB975B}">
    <text>## EMILIO [~eartigas]
Tareas planificadas:
- v2.5.2.0: [50991] Errores en evolutivo - Control de acceso a Remote OnPremise &gt; estimar y desarrollo
Siguiente:
- [47898] Documentación de DT y DL
- v2.5.2.1: [45315] Nueva notificación datos vitales (Rango) &gt; estimar y desarrollo
Backlog:
- v2.5.3: Evolutivo Citas y Profesionales
- instalación de oracle 12
- instalación de postgres11</text>
  </threadedComment>
  <threadedComment ref="EH9" dT="2021-08-06T15:04:30.86" personId="{BD1330D9-4FEF-4715-8C6A-15F4CBFCA3FD}" id="{1CCF4B33-D8CB-4EF3-9DDA-6DB0FBAD8709}" parentId="{28AE9D90-B41F-45CC-99F1-0E114BEB975B}">
    <text>Avance:
-----------------------------------
- [47898] Documentación de DT y DL
&gt; realizado
- v2.5.2.1: [51071] Filtro grupos. No coinciden los resultados
&gt; corregido pero por despiste no se hizo commit
- v2.5.2.1: [45315] Nueva notificación datos vitales (Rango) &gt; estimar y desarrollo
&gt; terminada estimacion
- v2.5.2.0: [50991] Errores en evolutivo - Control de acceso a Remote OnPremise &gt; estimar y desarrollo
&gt; avanzando casi terminado
- vacaciones del 30 de Agosto al 3 de Septiembre
&gt; confirmadas por grecia</text>
  </threadedComment>
  <threadedComment ref="EI9" dT="2021-08-06T15:04:12.25" personId="{BD1330D9-4FEF-4715-8C6A-15F4CBFCA3FD}" id="{F2AA2C60-AFCD-420A-8D5D-8C8A79C27276}">
    <text>## EMILIO [~eartigas]
Tareas planificadas:
- v2.5.2.0: [50991] Errores en evolutivo - Control de acceso a Remote OnPremise &gt; estimar y desarrollo
Siguiente:
- v2.5.2.1: [45315] Nueva notificación datos vitales (Rango) &gt; estimar y desarrollo
Backlog:
- v2.5.3: Evolutivo Citas y Profesionales
- instalación de oracle 12
- instalación de postgres11</text>
  </threadedComment>
  <threadedComment ref="EI9" dT="2021-08-09T14:25:01.34" personId="{BD1330D9-4FEF-4715-8C6A-15F4CBFCA3FD}" id="{7A88ACCD-0F4B-4F3E-BF60-D57A48036B5B}" parentId="{F2AA2C60-AFCD-420A-8D5D-8C8A79C27276}">
    <text>Avance:
-----------------------------------
- v2.5.2.0: [50991] Errores en evolutivo - Control de acceso a Remote OnPremise &gt; fin:10/08
&gt; terminada
- v2.5.2.1: [45315] Nueva notificación datos vitales (Rango) &gt; estimar y desarrollo
&gt; empezando
&gt; Problema de pom para validar las licencias</text>
  </threadedComment>
  <threadedComment ref="EL9" dT="2021-08-09T14:24:34.01" personId="{BD1330D9-4FEF-4715-8C6A-15F4CBFCA3FD}" id="{41E0B457-BA91-4A17-93AF-EF87555FF488}">
    <text>## EMILIO [~eartigas]
Tareas planificadas:
- v2.5.2.1: [45315] Nueva notificación datos vitales (Rango) &gt; estimar y desarrollo
Siguiente:
Backlog:
- v2.5.3: Evolutivo Citas y Profesionales
- instalación de oracle 12
- instalación de postgres11</text>
  </threadedComment>
  <threadedComment ref="EL9" dT="2021-08-10T16:14:56.42" personId="{BD1330D9-4FEF-4715-8C6A-15F4CBFCA3FD}" id="{FA257A57-D54E-46EF-8C71-CD74B5759939}" parentId="{41E0B457-BA91-4A17-93AF-EF87555FF488}">
    <text>Avance:
-----------------------------------
- v2.5.2.1: [45315] Nueva notificación datos vitales (Rango) &gt; estimar y desarrollo
&gt; Sin avance por Problemas de entorno con el trunk por dependencias y servidor
&gt; Soporte a JOSE tiene problemas con dependencias</text>
  </threadedComment>
  <threadedComment ref="EM9" dT="2021-08-10T16:14:34.97" personId="{BD1330D9-4FEF-4715-8C6A-15F4CBFCA3FD}" id="{3EBC7205-213B-4140-900A-9CBBF2A44811}">
    <text>## Emilio [~eartigas]
Tareas planificadas:
- v2.5.2.0: [51127] [Merge from 2.5.1.2 to 2.5.2.0] No se están listando los participantes por Grupo
- v2.5.2.1: [45315] Nueva notificación datos vitales (Rango) &gt; estimar y desarrollo
Siguiente:
Backlog:
- v2.5.3: Evolutivo Citas y Profesionales
- instalación de oracle 12
- instalación de postgres11</text>
  </threadedComment>
  <threadedComment ref="EM9" dT="2021-08-12T08:57:50.91" personId="{BD1330D9-4FEF-4715-8C6A-15F4CBFCA3FD}" id="{43A77DDE-51EE-4272-95C0-2AFA01C75090}" parentId="{3EBC7205-213B-4140-900A-9CBBF2A44811}">
    <text>Avance:
-----------------------------------
- v2.5.2.0: [51127] [Merge from 2.5.1.2 to 2.5.2.0] No se están listando los participantes por Grupo
&gt; revisada
- v2.5.2.1: [45315] Nueva notificación datos vitales (Rango) &gt; estimar y desarrollo
&gt; avance
&gt; Soporte a los compañeros</text>
  </threadedComment>
  <threadedComment ref="EN9" dT="2021-08-12T08:57:31.93" personId="{BD1330D9-4FEF-4715-8C6A-15F4CBFCA3FD}" id="{08C51ACD-14DE-49F5-A566-5A674F562ECB}">
    <text>## Emilio [~eartigas]
Tareas planificadas:
- v2.5.2.1: [45315] Nueva notificación datos vitales (Rango) &gt; estimar y desarrollo
Siguiente:
Backlog:
- v2.5.3: Evolutivo Citas y Profesionales
- instalación de oracle 12
- instalación de postgres11</text>
  </threadedComment>
  <threadedComment ref="EN9" dT="2021-08-13T08:10:33.94" personId="{BD1330D9-4FEF-4715-8C6A-15F4CBFCA3FD}" id="{6471C286-DA84-4FC8-A587-DA78EC69CDF7}" parentId="{08C51ACD-14DE-49F5-A566-5A674F562ECB}">
    <text>Avance:
-----------------------------------
- v2.5.2.1: [42660] Control de acceso a Remote OnPremise
&gt; Cambios para control de licencias
- v2.5.2.1: [45315] Nueva notificación datos vitales (Rango) &gt; estimar y desarrollo
&gt; Pausada
&gt; Soporte Javier</text>
  </threadedComment>
  <threadedComment ref="EO9" dT="2021-08-13T08:10:20.80" personId="{BD1330D9-4FEF-4715-8C6A-15F4CBFCA3FD}" id="{07AFC4A3-6945-4D63-BF33-20CC235475D7}">
    <text>## Emilio [~eartigas]
Tareas planificadas:
- v2.5.2.1: [42660] Control de acceso a Remote OnPremise &gt; Pruebas de control de licencias
- v2.5.2.1: [45315] Nueva notificación datos vitales (Rango) &gt; estimar y desarrollo
Siguiente:
Backlog:
- v2.5.3: Evolutivo Citas y Profesionales
- instalación de oracle 12
- instalación de postgres11</text>
  </threadedComment>
  <threadedComment ref="EO9" dT="2021-08-13T14:59:51.85" personId="{BD1330D9-4FEF-4715-8C6A-15F4CBFCA3FD}" id="{D22E694A-9FF5-4571-A290-128A2B19105F}" parentId="{07AFC4A3-6945-4D63-BF33-20CC235475D7}">
    <text>Avance:
-----------------------------------
- v2.5.2.1: [42660] Control de acceso a Remote OnPremise &gt; Pruebas de control de licencias
&gt; Revisando se detecto problema con accesos de Rolman y se decidio desactivar el codigo para poder validar
&gt; Se realizaron varios despliegues, faltaban scripts.</text>
  </threadedComment>
  <threadedComment ref="EP9" dT="2021-08-13T14:59:38.80" personId="{BD1330D9-4FEF-4715-8C6A-15F4CBFCA3FD}" id="{DA032197-E788-4DE5-BAA7-7408F4E09F23}">
    <text>## Emilio [~eartigas]
Tareas planificadas:
- v2.5.2.1: [42660] Control de acceso a Remote OnPremise &gt; cfg de licencias
- v2.5.2.1: [45315] Nueva notificación datos vitales (Rango) &gt; estimar y desarrollo
Siguiente:
- v2.5.3.0: [50448] Integración con Binah.ai &gt; estimacion para luego asignar a Jose y Carlos
Backlog:
- v2.5.3: Evolutivo Citas y Profesionales
- instalación de oracle 12
- instalación de postgres11</text>
  </threadedComment>
  <threadedComment ref="EP9" dT="2021-08-17T15:03:31.40" personId="{BD1330D9-4FEF-4715-8C6A-15F4CBFCA3FD}" id="{33931A42-D439-45D4-BCFC-9A9510FE4F1A}" parentId="{DA032197-E788-4DE5-BAA7-7408F4E09F23}">
    <text xml:space="preserve">Avance:
-----------------------------------
- v2.5.2.1: [42660] Control de acceso a Remote OnPremise &gt; cfg de licencias
&gt; realizado
&gt; Completar estabilizar EMPI: 51346, 50716
</text>
  </threadedComment>
  <threadedComment ref="ES9" dT="2021-08-17T15:03:06.78" personId="{BD1330D9-4FEF-4715-8C6A-15F4CBFCA3FD}" id="{A4BD6463-D090-4B88-A078-DA0D80C22DA1}">
    <text>## Emilio [~eartigas]
Tareas planificadas:
- Ayuda para estabilizar EMPI
Siguiente:
- v2.5.2.1: [45315] Nueva notificación datos vitales (Rango) &gt; estimar y desarrollo
Backlog:
- instalación de oracle 12
- instalación de postgres11</text>
  </threadedComment>
  <threadedComment ref="ES9" dT="2021-08-17T15:03:21.42" personId="{BD1330D9-4FEF-4715-8C6A-15F4CBFCA3FD}" id="{9F261C1B-DD9C-4175-882E-43677165EDED}" parentId="{A4BD6463-D090-4B88-A078-DA0D80C22DA1}">
    <text xml:space="preserve">Avance:
-----------------------------------
- v2.5.2.1: [42660] Control de acceso a Remote OnPremise &gt; cfg de licencias
&gt; realizado
&gt; Completar estabilizar EMPI: 51346, 50716
</text>
  </threadedComment>
  <threadedComment ref="ET9" dT="2021-08-17T15:02:07.96" personId="{BD1330D9-4FEF-4715-8C6A-15F4CBFCA3FD}" id="{2B38BFD8-8389-4F3C-86FA-AD27823559CC}">
    <text>## Emilio [~eartigas]
Tareas planificadas:
- v2.5.2.1: [45315] Nueva notificación datos vitales (Rango) &gt; estimar y desarrollo
Siguiente:
- v2.5.3.0: [50448] Integración con Binah.ai &gt; estimacion para luego asignar a Jose y Carlos
Backlog:
- v2.5.3.0: Evolutivo Citas y Profesionales &gt; Emilio y Javier
- instalación de oracle 12
- instalación de postgres11</text>
  </threadedComment>
  <threadedComment ref="ET9" dT="2021-08-18T14:43:29.94" personId="{BD1330D9-4FEF-4715-8C6A-15F4CBFCA3FD}" id="{15E43FF5-3F22-49D5-9C29-6F2DE1B61B0C}" parentId="{2B38BFD8-8389-4F3C-86FA-AD27823559CC}">
    <text xml:space="preserve">Avance:
-----------------------------------
&gt; estabilizar jiras para liberación 51436, 51438
&gt; se necesitaron varios despliegues por que no cogia los cambios
</text>
  </threadedComment>
  <threadedComment ref="EU9" dT="2021-08-18T14:43:11.22" personId="{BD1330D9-4FEF-4715-8C6A-15F4CBFCA3FD}" id="{2311B6C2-2763-4D3B-BFD6-5EBF030413D2}">
    <text>## Emilio [~eartigas]
Tareas planificadas:
- Actualizar JIRAS
- v2.5.2.1: [45315] Nueva notificación datos vitales (Rango) &gt; estimar y desarrollo [fin:20/08]
Siguiente:
- v2.5.3.0: [50448] Integración con Binah.ai &gt; estimacion para luego asignar a Jose y Carlos
Backlog:
- v2.5.3.0: Evolutivo Citas y Profesionales &gt; Emilio y Javier
- instalación de oracle 12
- instalación de postgres11</text>
  </threadedComment>
  <threadedComment ref="EU9" dT="2021-08-19T14:42:46.96" personId="{BD1330D9-4FEF-4715-8C6A-15F4CBFCA3FD}" id="{EA2AAE04-F2CC-4A8F-880E-F81B2A28A857}" parentId="{2311B6C2-2763-4D3B-BFD6-5EBF030413D2}">
    <text>Avance:
-----------------------------------
- v2.5.2.1: [45315] Nueva notificación datos vitales (Rango) &gt; estimar y desarrollo [fin:20/08]
&gt; avanzando</text>
  </threadedComment>
  <threadedComment ref="EV9" dT="2021-08-19T14:42:29.57" personId="{BD1330D9-4FEF-4715-8C6A-15F4CBFCA3FD}" id="{4DD1A556-A9F8-45E6-BF7A-3C50AC54844C}">
    <text>## Emilio [~eartigas]
Tareas planificadas:
- Actualizar JIRAS faltan varios dias
- Si es necesario realizar subida a QA para validar la v2.5.2.1
- v2.5.2.1: [45315] Nueva notificación datos vitales (Rango) &gt; estimar y desarrollo [fin:20/08]
Siguiente:
- v2.5.3.0: [50448] Integración con Binah.ai &gt; estimacion para luego asignar a Jose y Carlos
Backlog:
- v2.5.3.0: Evolutivo Citas y Profesionales &gt; Emilio y Javier
- instalación de oracle 12
- instalación de postgres11</text>
  </threadedComment>
  <threadedComment ref="EV9" dT="2021-08-20T14:23:42.96" personId="{BD1330D9-4FEF-4715-8C6A-15F4CBFCA3FD}" id="{FFA3BA54-3211-4C3A-BF4C-8ECF2869182B}" parentId="{4DD1A556-A9F8-45E6-BF7A-3C50AC54844C}">
    <text>Avance:
-----------------------------------
- v2.5.2.1: [45315] Nueva notificación datos vitales (Rango) &gt; estimar y desarrollo [fin:20/08]
&gt; realizado y validado con grecia
&gt; Soporte con los merges de los compañeros
&gt; Reunión de industralización</text>
  </threadedComment>
  <threadedComment ref="EW9" dT="2021-08-20T14:23:07.19" personId="{BD1330D9-4FEF-4715-8C6A-15F4CBFCA3FD}" id="{081B2D17-112A-4B89-ADB4-CE8A7C2A364C}">
    <text>## Emilio [~eartigas]
Tareas planificadas:
- Actualizar JIRAS faltan varios dias
- v2.5.3.0: [50448] Integración con Binah.ai &gt; estimacion para luego asignar a Jose y Carlos
Siguiente:
- v2.5.3.0: Evolutivo Citas y Profesionales &gt; Emilio y Javier
Backlog:
- instalación de oracle 12
- instalación de postgres11</text>
  </threadedComment>
  <threadedComment ref="EW9" dT="2021-08-25T08:30:39.52" personId="{BD1330D9-4FEF-4715-8C6A-15F4CBFCA3FD}" id="{20FC2F74-0123-4E4A-9E7F-8759AD25E179}" parentId="{081B2D17-112A-4B89-ADB4-CE8A7C2A364C}">
    <text>Avance:
-----------------------------------
- Actualizar JIRAS faltan varios dias
&gt; realizado
- v2.5.3.0: [51595] [DT] Integración Binah.ai &gt; estimacion [fin:23/08]</text>
  </threadedComment>
  <threadedComment ref="EZ9" dT="2021-08-24T10:53:10.84" personId="{BD1330D9-4FEF-4715-8C6A-15F4CBFCA3FD}" id="{042530EE-6298-4A77-B4EF-A3CD6B67AA71}">
    <text>## Emilio [~eartigas]
 Tareas planificadas:
 - v2.5.3.0: [51595] [DT] Integración Binah.ai &gt; estimacion
Siguiente:
 - v2.5.3.0: [49317] Modificar servicio relationship
 - v2.5.3.0: Evolutivo Citas y Profesionales &gt; Emilio y Javier
Backlog:
 - instalación de oracle 12
 - instalación de postgres11</text>
  </threadedComment>
  <threadedComment ref="EZ9" dT="2021-08-24T10:54:46.14" personId="{BD1330D9-4FEF-4715-8C6A-15F4CBFCA3FD}" id="{9B36290F-B14F-4FA7-92F2-8B479033A77E}" parentId="{042530EE-6298-4A77-B4EF-A3CD6B67AA71}">
    <text>Avance:
-----------------------------------
- v2.5.3.0: [51595] [DT] Integración Binah.ai &gt; estimacion
&gt; avanzado pendiente de dudas 
- v2.5.3.0: [49317] Modificar servicio relationship 
&gt; realizado subido por error</text>
  </threadedComment>
  <threadedComment ref="FA9" dT="2021-08-25T08:29:57.64" personId="{BD1330D9-4FEF-4715-8C6A-15F4CBFCA3FD}" id="{167ED861-CA0E-46CC-9338-A711FA7A67CD}">
    <text>## Emilio [~eartigas]
Tareas planificadas:
- v2.5.3.0: [49317] Modificar servicio relationship &gt; mover a una rama y retroceder commit del trunk
- v2.5.2.1: [51795] No se genera notificación si esta configurado las notificaciones instantáneas
- v2.5.3.0: [51595] [DT] Integración Binah.ai &gt; estimacion
Siguiente:
- v2.5.3.0: [50007] Back. No se puede acceder al chat 1:1 cuando estás dentro de una video &gt; estimar para carlos
- v2.5.3.0: [49315] Servicios de perfil 360 se deberán poder consultar con profesional &gt; estimar para carlos
- v2.5.3.0: Evolutivo Citas y Profesionales &gt; Emilio y Javier
Backlog:
- instalación de oracle 12
- instalación de postgres11</text>
  </threadedComment>
  <threadedComment ref="FA9" dT="2021-08-25T14:26:56.59" personId="{BD1330D9-4FEF-4715-8C6A-15F4CBFCA3FD}" id="{9BC254AF-C539-4DA5-B533-0B881D439F09}" parentId="{167ED861-CA0E-46CC-9338-A711FA7A67CD}">
    <text>Avance:
-----------------------------------
Mueve las horas imputadas para la estimación a la tarea de DT
&gt; realizado
- v2.5.3.0: [49317] Modificar servicio relationship &gt; mover a una rama y retroceder commit del trunk
&gt; realizado
- v2.5.2.1: [51795] No se genera notificación si esta configurado las notificaciones instantáneas
&gt; realizado
- v2.5.3.0: [51595] [DT] Integración Binah.ai &gt; estimacion
&gt; realizado
&gt; Soporte a Jose</text>
  </threadedComment>
  <threadedComment ref="FB9" dT="2021-08-25T14:26:40.92" personId="{BD1330D9-4FEF-4715-8C6A-15F4CBFCA3FD}" id="{D5180557-AB8A-4A76-97A9-49C0AA51D40A}">
    <text>## Emilio [~eartigas]
Tareas planificadas:
- v2.5.2.0: [42660] Control de acceso a Remote OnPremise &gt; DT y DL
- v2.5.2.1: [45315] Nueva notificación datos vitales (Rango) &gt; DT y DL
Siguiente:
- v2.5.3.0: [49315] Servicios de perfil 360 se deberán poder consultar con profesional &gt; estimar para carlos
- v2.5.3.0: [50007] Back. No se puede acceder al chat 1:1 cuando estás dentro de una video &gt; estimar para carlos
- v2.5.3.0: Evolutivo Citas y Profesionales &gt; Emilio y Javier
Bloqueadas:
- v2.5.3.0: [49317] Modificar servicio relationship &gt; espera merge
- v2.5.3.0: [51436] Error con licencia &gt; espera arq
Backlog:
- instalación de oracle 12
- instalación de postgres11</text>
  </threadedComment>
  <threadedComment ref="FB9" dT="2021-08-26T14:39:45.24" personId="{BD1330D9-4FEF-4715-8C6A-15F4CBFCA3FD}" id="{4199DB6E-9A3B-4942-8BC7-37B3BD7665AD}" parentId="{D5180557-AB8A-4A76-97A9-49C0AA51D40A}">
    <text xml:space="preserve">Avance:
-----------------------------------
- v2.5.2.0: [42660] Control de acceso a Remote OnPremise &gt; DT y DL
&gt; realizado
- v2.5.2.1: [45315] Nueva notificación datos vitales (Rango) &gt; DT y DL
&gt; realizado
- v2.5.3.0: [49315] Servicios de perfil 360 se deberán poder consultar con profesional &gt; estimar para carlos
&gt; realizado
- v2.5.3.0: [50007] Back. No se puede acceder al chat 1:1 cuando estás dentro de una video &gt; estimar para carlos
&gt; realizado
</text>
  </threadedComment>
  <threadedComment ref="FC9" dT="2021-08-26T14:39:05.53" personId="{BD1330D9-4FEF-4715-8C6A-15F4CBFCA3FD}" id="{580D0785-800B-4B8D-8C5E-1C4275C2EF75}">
    <text>## Emilio [~eartigas]
Tareas planificadas:
- Vacaciones de Emilio del 26/08 al 03/09 (5 días + 1 descanso)
Siguiente:
- v2.5.3.0: Evolutivo Citas y Profesionales &gt; Emilio y Javier
Bloqueadas:
- v2.5.3.0: [49317] Modificar servicio relationship &gt; espera merge
- v2.5.3.0: [51436] Error con licencia &gt; espera arq
Backlog:
- instalación de oracle 12
- instalación de postgres11</text>
  </threadedComment>
  <threadedComment ref="FD9" dT="2021-08-18T14:41:09.57" personId="{BD1330D9-4FEF-4715-8C6A-15F4CBFCA3FD}" id="{1122048A-9697-4EA2-8B6E-4A3294D99B00}">
    <text>descanso por sobresfuerzo en estabilizar versión</text>
  </threadedComment>
  <threadedComment ref="FN9" dT="2021-09-02T14:22:23.25" personId="{BD1330D9-4FEF-4715-8C6A-15F4CBFCA3FD}" id="{79F79EBF-D8EE-41D4-8CA8-E8B8A0B9A3D5}">
    <text>Emilio
2.5.3.0: [49317] Modificar servicio relationship &gt; merge al trunk si ya se ha validado el desarollo
2.5.3.0: [51859 -&gt; desarrollo 48021] Asignar cuestionario en plan de contacto: desarrollo junto a Jose Mellado. Preparar entorno de desarrollo, revisar documentación y videos, iniciar desarrollo de la ejecución de la acción en el plan [subida al trunk:15/09/2021]</text>
  </threadedComment>
  <threadedComment ref="FO9" dT="2021-09-13T08:51:42.59" personId="{BD1330D9-4FEF-4715-8C6A-15F4CBFCA3FD}" id="{EBD9C7ED-A111-4DBB-B589-8F89DA0DA3FE}">
    <text>Emilio
2.5.3.0: [51859 -&gt; desarrollo 48021] Asignar cuestionario en plan de contacto: desarrollo junto a Jose Mellado. Revisión de dudas sobre el desarrollo, desarrollo de WorkflowProductFormAssignAction para ejecución de la acción en el plan [subida al trunk:15/09/2021]</text>
  </threadedComment>
  <threadedComment ref="FP9" dT="2021-09-13T08:53:20.39" personId="{BD1330D9-4FEF-4715-8C6A-15F4CBFCA3FD}" id="{6A1B5160-C069-4C70-9F43-721CD7C2A9B3}">
    <text>Emilio
2.5.3.0: [51859 -&gt; desarrollo 48021] Asignar cuestionario en plan de contacto: desarrollo junto a Jose y Javier. Desarrollo de WorkflowProductFormAssignAction para ejecución de la acción en el plan. Carpeta de scripts para ir subiendo scripts generados. Commit en la rama [subida al trunk:15/09/2021].
Soporte al equipo</text>
  </threadedComment>
  <threadedComment ref="FQ9" dT="2021-09-13T08:54:52.94" personId="{BD1330D9-4FEF-4715-8C6A-15F4CBFCA3FD}" id="{44540EAC-4EC3-48EC-A61A-0C611FE47E6B}">
    <text>Emilio
2.5.3.0: [51859 -&gt; desarrollo 48021] Asignar cuestionario en plan de contacto: desarrollo junto a Jose y Javier. Desarrollo de WorkflowProductFormAssignAction para ejecución de la acción en el plan. Modificaciones en pantalla de movimientos de formulario para mostrar el usuario y el plan desde el que se ha asignado. Cambio para los servicios de las apps. Commit en la rama [subida al trunk:15/09/2021].
Soporte al equipo</text>
  </threadedComment>
  <threadedComment ref="FR9" dT="2021-09-13T08:55:50.94" personId="{BD1330D9-4FEF-4715-8C6A-15F4CBFCA3FD}" id="{0239F721-0D9B-47F5-B784-F5B353F2ABDB}">
    <text>Emilio
2.5.3.0: [51859 -&gt; desarrollo 48021] Asignar cuestionario en plan de contacto. Cambio para los servicios de las apps (plan y profesional asociado al movimiento) y actualización de documento de API Rest. Validar cambio con el equipo de las apps. Pruebas y ajustes. Merge del trunk a la rama. Commit en la rama [subida al trunk:15/09/2021].
Soporte al equipo</text>
  </threadedComment>
  <threadedComment ref="FU9" dT="2021-09-14T13:36:33.20" personId="{BD1330D9-4FEF-4715-8C6A-15F4CBFCA3FD}" id="{59C085D6-C438-4A6D-BF27-DB3404BFB63E}">
    <text>## Emilio [~eartigas]
Tareas planificadas:
- Revisar falta subir DT / DL de [45203] MARCADO CE: Algoritmo triaje COVID 
- v2.5.3.0: [51859] [Desarrollo] Asignar cuestionario en plan de contacto [fin:15/09/2021] &gt; completar ajustes y responsable de DT/DL 
Siguiente:
- v2.5.3.0: [51436] Error con licencia
- v2.5.4.0: [51617] [DT] Sincronización de citas &gt; estimar para luego desarollo entre Emilio y Javier
Backlog:
- instalación de oracle 12
- instalación de postgres11</text>
  </threadedComment>
  <threadedComment ref="FU9" dT="2021-09-14T13:36:49.03" personId="{BD1330D9-4FEF-4715-8C6A-15F4CBFCA3FD}" id="{628B1194-591B-4296-BFC0-9378D4E327E0}" parentId="{59C085D6-C438-4A6D-BF27-DB3404BFB63E}">
    <text>Avance:
-----------------------------------
- v2.5.3.0: [51859] [Desarrollo] Asignar cuestionario en plan de contacto [fin:15/09/2021]
&gt; con bloqueo para las pruebas simulado con el sendMail
&gt; Soporte a Jose y Javier
&gt; [52898] Cambio en el servicio para planes</text>
  </threadedComment>
  <threadedComment ref="FV9" dT="2021-09-14T13:36:37.38" personId="{BD1330D9-4FEF-4715-8C6A-15F4CBFCA3FD}" id="{C3869DCE-5345-4FFA-BDEB-D86A58BCAB35}">
    <text>## Emilio [~eartigas]
Tareas planificadas:
- Revisar falta subir DT / DL de [45203] MARCADO CE: Algoritmo triaje COVID 
- v2.5.3.0: [51859] [Desarrollo] Asignar cuestionario en plan de contacto [fin:15/09/2021] &gt; completar ajustes y responsable de DT/DL 
Siguiente:
- v2.5.3.0: [51436] Error con licencia
- v2.5.4.0: [51617] [DT] Sincronización de citas &gt; estimar para luego desarollo entre Emilio y Javier
Backlog:
- instalación de oracle 12
- instalación de postgres11</text>
  </threadedComment>
  <threadedComment ref="FV9" dT="2021-09-15T13:35:57.69" personId="{BD1330D9-4FEF-4715-8C6A-15F4CBFCA3FD}" id="{28DB71A6-D780-4738-BE04-132C1EE3DDA0}" parentId="{C3869DCE-5345-4FFA-BDEB-D86A58BCAB35}">
    <text>Avance:
-----------------------------------
- v2.5.3.0: [51859] [Desarrollo] Asignar cuestionario en plan de contacto [fin:15/09/2021] &gt; completar ajustes y responsable de DT/DL 
&gt; completadas validaciones y actualizado api rest y creados DT/DL</text>
  </threadedComment>
  <threadedComment ref="FW9" dT="2021-09-15T13:35:28.50" personId="{BD1330D9-4FEF-4715-8C6A-15F4CBFCA3FD}" id="{B37701E4-FB75-4D88-B6AB-01BF5AB0E8FB}">
    <text>## Emilio [~eartigas]
Tareas planificadas:
- Revisar falta subir DL de [45203] MARCADO CE: Algoritmo triaje COVID 
- v2.5.3.1: [48591] Cambio de mensajes" videoconferencia 
Siguiente:
- Estabilizacion de la 2.5.3.0
- v2.5.4.0: [50448] Integración con Binah.ai
Backlog:
- instalación de oracle 12
- instalación de postgres11</text>
  </threadedComment>
  <threadedComment ref="FW9" dT="2021-09-16T15:12:26.47" personId="{BD1330D9-4FEF-4715-8C6A-15F4CBFCA3FD}" id="{4873AA4E-0844-43FB-AC15-BE084A67FF38}" parentId="{B37701E4-FB75-4D88-B6AB-01BF5AB0E8FB}">
    <text>Avance:
-----------------------------------
- Revisar falta subir DL de [45203] MARCADO CE: Algoritmo triaje COVID 
- Revisado errores de planes con QA
- v2.5.3.1: [48591] Cambio de mensajes" videoconferencia 
&gt; realizado</text>
  </threadedComment>
  <threadedComment ref="FX9" dT="2021-09-16T15:12:11.58" personId="{BD1330D9-4FEF-4715-8C6A-15F4CBFCA3FD}" id="{FA505516-A0A2-48D6-B85E-F43B9E50D622}">
    <text>## Emilio [~eartigas]
Tareas planificadas:
- v2.5.3.0: [53026] Correctivos_plan de contacto_asignar cuestionario
Siguiente:
- Estabilizacion de la 2.5.3.0
- v2.5.3.1: [52306] Control de licencias - Licencia Caducada
- v2.5.4.0: [35878] Integración EHR: Visor de historia clínica para el paciente y el profesional (informes)
Backlog:
- instalación de oracle 12
- instalación de postgres11</text>
  </threadedComment>
  <threadedComment ref="KG9" dT="2022-01-10T09:40:03.01" personId="{131F0503-5C5C-485C-B315-093A9477DF4B}" id="{011CEB7E-47E8-4463-9DA4-D777E6B285CE}">
    <text>Mudanza</text>
  </threadedComment>
  <threadedComment ref="AE10" dT="2021-04-20T17:35:23.81" personId="{BD1330D9-4FEF-4715-8C6A-15F4CBFCA3FD}" id="{7ABAA6C8-6A39-4C6A-B533-619A97770BCC}">
    <text>## JAVIER
Tareas planificadas:
- [EHCOSPROD-44002] OTG-IDENT-004 Enumeración de usuarios y cuentas de usuario predeterminados o adivinables 
- [EHCOSPROD-44006] OTG-BUSLOGIC-001 Pruebas de Validación de Datos en la Lógica de Negocio
Backlog:
- [EHCOSPROD-44004] OTG-AUTHN-007 Prueba sobre la política de contraseñas
- Requisitos de Auditoria de Seguridad
- Responsive completo de remote
- Formación tecnica de Argentina (Renombrar videos)
https://everisgroup-my.sharepoint.com/:f:/g/personal/lgalvanm_everis_com/ErT2x2FIjDhPqDrxzHnXA2YBj6yQjrsuBuxoH1cQOLL7kQ
- Formación de Metodologia con Emilio: creacion de rama para evolutivo, imputar en dt y actualizar jira...</text>
  </threadedComment>
  <threadedComment ref="AE10" dT="2021-04-22T07:09:12.39" personId="{BD1330D9-4FEF-4715-8C6A-15F4CBFCA3FD}" id="{AC3885D2-6EF7-4C13-B6AE-571C1D1621F9}" parentId="{7ABAA6C8-6A39-4C6A-B533-619A97770BCC}">
    <text xml:space="preserve">Avance:
-----------------------------------
&gt; problemas con svn y evolutivos
&gt; ausencia por problema con electricidad
</text>
  </threadedComment>
  <threadedComment ref="AF10" dT="2021-04-22T07:08:49.73" personId="{BD1330D9-4FEF-4715-8C6A-15F4CBFCA3FD}" id="{93AF157C-CB27-4443-BA2D-AA02EE01D5D2}">
    <text>## JAVIER
Tareas planificadas:
- [EHCOSPROD-44002] OTG-IDENT-004 Enumeración de usuarios y cuentas de usuario predeterminados o adivinables 
- [EHCOSPROD-44006] OTG-BUSLOGIC-001 Pruebas de Validación de Datos en la Lógica de Negocio
Backlog:
- [EHCOSPROD-44004] OTG-AUTHN-007 Prueba sobre la política de contraseñas
- Requisitos de Auditoria de Seguridad
- Responsive completo de remote
- Formación tecnica de Argentina (Renombrar videos)
https://everisgroup-my.sharepoint.com/:f:/g/personal/lgalvanm_everis_com/ErT2x2FIjDhPqDrxzHnXA2YBj6yQjrsuBuxoH1cQOLL7kQ
- Formación de Metodologia de Desarrollo con Emilio: creacion de rama para evolutivo, imputar en dt y actualizar jira...</text>
  </threadedComment>
  <threadedComment ref="AF10" dT="2021-04-22T15:44:07.37" personId="{BD1330D9-4FEF-4715-8C6A-15F4CBFCA3FD}" id="{1366120B-1CB0-4618-A421-3AB21DE789FD}" parentId="{93AF157C-CB27-4443-BA2D-AA02EE01D5D2}">
    <text>Avance:
-----------------------------------
- [EHCOSPROD-44002] OTG-IDENT-004 Enumeración de usuarios y cuentas de usuario predeterminados o adivinables 
&gt; realizado, pendiente de validar con grecia
&gt; Formación de imputar en dt y actualizar jira</text>
  </threadedComment>
  <threadedComment ref="AG10" dT="2021-04-22T15:43:53.82" personId="{BD1330D9-4FEF-4715-8C6A-15F4CBFCA3FD}" id="{4E7B5B4B-2B74-495B-B016-64727AB05145}">
    <text>## JAVIER
Tareas planificadas:
- [EHCOSPROD-44006] OTG-BUSLOGIC-001 Pruebas de Validación de Datos en la Lógica de Negocio
Pendientes:
- [EHCOSPROD-44002] OTG-IDENT-004 Enumeración de usuarios y cuentas de usuario predeterminados o adivinables 
Backlog:
- [EHCOSPROD-44004] OTG-AUTHN-007 Prueba sobre la política de contraseñas
- Requisitos de Auditoria de Seguridad
- Responsive completo de remote
- Formación tecnica de Argentina (Renombrar videos)
https://everisgroup-my.sharepoint.com/:f:/g/personal/lgalvanm_everis_com/ErT2x2FIjDhPqDrxzHnXA2YBj6yQjrsuBuxoH1cQOLL7kQ</text>
  </threadedComment>
  <threadedComment ref="AG10" dT="2021-04-26T16:09:56.06" personId="{BD1330D9-4FEF-4715-8C6A-15F4CBFCA3FD}" id="{BB60D678-1A8E-4BFB-A435-D6175458BE69}" parentId="{4E7B5B4B-2B74-495B-B016-64727AB05145}">
    <text>Avance:
-----------------------------------
&gt; Formación session 2, renombrados
- [EHCOSPROD-44006] OTG-BUSLOGIC-001 Pruebas de Validación de Datos en la Lógica de Negocio
&gt; avanzando</text>
  </threadedComment>
  <threadedComment ref="AH10" dT="2021-04-26T15:21:34.78" personId="{85375F82-BEAD-4443-8C33-F668B9E3206E}" id="{398A0B69-676D-458B-AD84-D15F9017D74F}">
    <text>Tareas planificadas:
Conf. entorno
Video sesión 12 remotehs
Avance:
44002: Finalizado -&gt; pendiente de subida
Conf. entorno
Backlog:</text>
  </threadedComment>
  <threadedComment ref="AH10" dT="2021-04-26T16:09:44.84" personId="{BD1330D9-4FEF-4715-8C6A-15F4CBFCA3FD}" id="{BC4B6141-97D4-4EF0-8201-D86DCF48CB2B}" parentId="{398A0B69-676D-458B-AD84-D15F9017D74F}">
    <text>Avance:
-----------------------------------
- [EHCOSPROD-44006] OTG-BUSLOGIC-001 Pruebas de Validación de Datos en la Lógica de Negocio
&gt; avanzando parametrizando los regex, finaliza hoy
&gt; Formación session 3, renombrados</text>
  </threadedComment>
  <threadedComment ref="AK10" dT="2021-04-26T16:09:34.98" personId="{BD1330D9-4FEF-4715-8C6A-15F4CBFCA3FD}" id="{54CB2A48-095E-4C87-8815-B3F740138D1A}">
    <text>## JAVIER
Tareas planificadas:
- [EHCOSPROD-44006] OTG-BUSLOGIC-001 Pruebas de Validación de Datos en la Lógica de Negocio
Backlog:
- v2.5: [EHCOSPROD-44004] OTG-AUTHN-007 Prueba sobre la política de contraseñas
- Menores v2.5
- Requisitos de Auditoria de Seguridad
- Responsive completo de remote
- Formación tecnica de Argentina (Renombrar videos)</text>
  </threadedComment>
  <threadedComment ref="AK10" dT="2021-04-28T09:54:35.47" personId="{BD1330D9-4FEF-4715-8C6A-15F4CBFCA3FD}" id="{71B6BFC5-2784-444E-95AA-64CACEF41A8D}" parentId="{54CB2A48-095E-4C87-8815-B3F740138D1A}">
    <text>Avance:
-----------------------------------
- v2.5: [EHCOSPROD-44006] OTG-BUSLOGIC-001 Pruebas de Validación de Datos en la Lógica de Negocio
&gt; terminada, pendiente de validacion con grecia</text>
  </threadedComment>
  <threadedComment ref="AL10" dT="2021-04-28T09:54:27.97" personId="{BD1330D9-4FEF-4715-8C6A-15F4CBFCA3FD}" id="{08E19DEE-8594-4B13-BA6C-94104E98ADE6}">
    <text>## JAVIER
Tareas planificadas:
- v2.5: [EHCOSPROD-44006] OTG-BUSLOGIC-001 Pruebas de Validación de Datos en la Lógica de Negocio
Actualizar seguimiento (jira, dt):
- v2.5: [EHCOSPROD-44006] OTG-BUSLOGIC-001 Pruebas de Validación de Datos en la Lógica de Negocio
Backlog:
- v2.5: [EHCOSPROD-44004] OTG-AUTHN-007 Prueba sobre la política de contraseñas
- v2.5: [EHCOSPROD-42090] Literal erróneo en la página de cuestionarios 
- v2.5: [EHCOSPROD-41454] Literal citas programadas
- v2.5: [EHCOSPROD-46541] Color icono invitar usuario
- v2.5: [EHCOSPROD-46345] Tamaño listado de sesiones videoconferencia
- v2.5: [EHCOSPROD-45922] Error búsqueda pacientes en IE
- Menores v2.5
- Requisitos de Auditoria de Seguridad
- Responsive completo de remote
- Formación tecnica de Argentina (Renombrar videos)</text>
  </threadedComment>
  <threadedComment ref="AL10" dT="2021-04-28T14:38:24.92" personId="{BD1330D9-4FEF-4715-8C6A-15F4CBFCA3FD}" id="{3D95B519-1A4F-45A1-AD62-A9A3F88B1041}" parentId="{08E19DEE-8594-4B13-BA6C-94104E98ADE6}">
    <text>Avance:
-----------------------------------
- v2.5: [EHCOSPROD-44006] OTG-BUSLOGIC-001 Pruebas de Validación de Datos en la Lógica de Negocio 
&gt; Pausada por dudas
- v2.5: [EHCOSPROD-42090] Literal erróneo en la página de cuestionarios 
&gt; realizado
- v2.5: [EHCOSPROD-41454] Literal citas programadas
&gt; realizado
- v2.5: [EHCOSPROD-46541] Color icono invitar usuario
&gt; realizado
- v2.5: [EHCOSPROD-46345] Tamaño listado de sesiones videoconferencia
&gt; realizado
- v2.5: [EHCOSPROD-45922] Error búsqueda pacientes en IE
&gt; realizado</text>
  </threadedComment>
  <threadedComment ref="AM10" dT="2021-04-28T14:38:15.97" personId="{BD1330D9-4FEF-4715-8C6A-15F4CBFCA3FD}" id="{FEE68A68-4CD2-49DE-81E2-561809130F7C}">
    <text xml:space="preserve">
## JAVIER
Tareas planificadas:
- v2.5: [EHCOSPROD-45922] Error búsqueda pacientes en IE
- v2.5: [EHCOSPROD-44004] OTG-AUTHN-007 Prueba sobre la política de contraseñas
- v2.5: [EHCOSPROD-44006] OTG-BUSLOGIC-001 Pruebas de Validación de Datos en la Lógica de Negocio &gt; Pausada por dudas
Actualizar seguimiento (jira, dt):
- v2.5: [EHCOSPROD-42090] Literal erróneo en la página de cuestionarios &gt; terminada
- v2.5: [EHCOSPROD-41454] Literal citas programadas &gt; terminada
- v2.5: [EHCOSPROD-46541] Color icono invitar usuario &gt; terminada
- v2.5: [EHCOSPROD-46345] Tamaño listado de sesiones videoconferencia &gt; terminada
Backlog:
- v2.5: [EHCOSPROD-46542] Solicitud de cambio de etiquetas
- v2.5: [EHCOSPROD-46381] Logout en navegador movil
- Menores v2.5
- Requisitos de Auditoria de Seguridad
- Responsive completo de remote
- Formación tecnica de Argentina (Renombrar videos)</text>
  </threadedComment>
  <threadedComment ref="AM10" dT="2021-04-29T15:26:38.59" personId="{BD1330D9-4FEF-4715-8C6A-15F4CBFCA3FD}" id="{3B57D20D-CBF1-4D53-88BB-CD13071FE472}" parentId="{FEE68A68-4CD2-49DE-81E2-561809130F7C}">
    <text>Avance:
-----------------------------------
- v2.5: [EHCOSPROD-45922] Error búsqueda pacientes en IE
&gt; realizado, revisar dudas
- v2.5: [EHCOSPROD-44004] OTG-AUTHN-007 Prueba sobre la política de contraseñas
- v2.5: [EHCOSPROD-46541] Color icono invitar usuario &gt; terminada
&gt; revisar color de entidad
- v2.5: [EHCOSPROD-46542] Solicitud de cambio de etiquetas
&gt; realizada</text>
  </threadedComment>
  <threadedComment ref="AN10" dT="2021-04-29T15:26:28.92" personId="{BD1330D9-4FEF-4715-8C6A-15F4CBFCA3FD}" id="{1A41CA01-7EC5-47E6-A781-A9EF77E9D688}">
    <text>## JAVIER
Tareas planificadas:
- v2.5: [EHCOSPROD-45922] Error búsqueda pacientes en IE
- v2.5: [EHCOSPROD-44004] OTG-AUTHN-007 Prueba sobre la política de contraseñas
- v2.5: [EHCOSPROD-44006] OTG-BUSLOGIC-001 Pruebas de Validación de Datos en la Lógica de Negocio &gt; Pausada por dudas
Pendiente:
- v2.5: [EHCOSPROD-46541] Color icono invitar usuario &gt; terminada
- v2.5: [EHCOSPROD-46345] Tamaño listado de sesiones videoconferencia &gt; terminada
Backlog:
- v2.5: [EHCOSPROD-46381] Logout en navegador movil
- Menores v2.5
- Requisitos de Auditoria de Seguridad
- Responsive completo de remote
- Formación tecnica de Argentina (Renombrar videos)</text>
  </threadedComment>
  <threadedComment ref="AN10" dT="2021-04-30T14:45:43.93" personId="{BD1330D9-4FEF-4715-8C6A-15F4CBFCA3FD}" id="{6ABCD206-3815-4844-A526-1032BE7E343A}" parentId="{1A41CA01-7EC5-47E6-A781-A9EF77E9D688}">
    <text xml:space="preserve">Avance:
-----------------------------------
- v2.5: [EHCOSPROD-45922] Error búsqueda pacientes en IE
&gt; realizado pendiente de validar
- v2.5: […-46541] Color icono invitar usuario
&gt; realizado
- v2.5: [EHCOSPROD-44004] OTG-AUTHN-007 Prueba sobre la política de contraseñas
&gt; realizado
- v2.5: [EHCOSPROD-46345] Tamaño listado de sesiones videoconferencia 
&gt; avanzando con dudas de los pixels
</text>
  </threadedComment>
  <threadedComment ref="AO10" dT="2021-04-30T14:46:31.32" personId="{BD1330D9-4FEF-4715-8C6A-15F4CBFCA3FD}" id="{00F8F942-F271-4C05-8AE4-3A15EBAE3184}">
    <text>## JAVIER
Tareas planificadas:
- v2.5: [EHCOSPROD-44004] OTG-AUTHN-007 Prueba sobre la política de contraseñas
- v2.5: [EHCOSPROD-46345] Tamaño listado de sesiones videoconferencia 
- v2.5: [EHCOSPROD-44006] OTG-BUSLOGIC-001 Pruebas de Validación de Datos en la Lógica de Negocio 
Backlog:
- v2.5: […-45213] GDPR- Al introducir 3 veces una contraseña errónea debe bloquear el usuario &gt; esperar a estimar por Emilio
- v2.5: […-45236] Error Activar App para entidades productivas
- Menores v2.5
- Requisitos de Auditoria de Seguridad
- Responsive completo de remote
- Formación tecnica de Argentina (Renombrar videos)</text>
  </threadedComment>
  <threadedComment ref="AO10" dT="2021-05-03T14:30:43.75" personId="{BD1330D9-4FEF-4715-8C6A-15F4CBFCA3FD}" id="{54D1C1D0-06DB-4624-ACAB-84E69EE487F9}" parentId="{00F8F942-F271-4C05-8AE4-3A15EBAE3184}">
    <text>Avance:
-----------------------------------
- v2.5: [EHCOSPROD-44004] OTG-AUTHN-007 Prueba sobre la política de contraseñas
&gt; avanzando
- v2.5: [EHCOSPROD-46345] Tamaño listado de sesiones videoconferencia 
&gt; realizada, validadas con grecia
- v2.5: [EHCOSPROD-45922] Error búsqueda pacientes en IE
&gt; realizada, validada con grecia
- Formación tecnica de Argentina (Renombrar videos)
&gt; sesion 5</text>
  </threadedComment>
  <threadedComment ref="AR10" dT="2021-05-03T14:29:57.21" personId="{BD1330D9-4FEF-4715-8C6A-15F4CBFCA3FD}" id="{5BFA83B1-9B08-443E-944D-D7C2ED5F4335}">
    <text>## JAVIER
Tareas planificadas:
- v2.5: [EHCOSPROD-44004] OTG-AUTHN-007 Prueba sobre la política de contraseñas
- v2.5: [EHCOSPROD-44006] OTG-BUSLOGIC-001 Pruebas de Validación de Datos en la Lógica de Negocio 
Backlog:
- v2.5: [45213] GDPR- Al introducir 3 veces una contraseña errónea debe bloquear el usuario &gt; esperar a estimar por Emilio
- v2.5: [45236] Error Activar App para entidades productivas
- v2.5: [46993] Cambiar nombre Datos Vitales por Biomedidas
- Menores v2.5
- Requisitos de Auditoria de Seguridad
- Responsive completo de remote
- Formación tecnica de Argentina (Renombrar videos)</text>
  </threadedComment>
  <threadedComment ref="AR10" dT="2021-05-04T16:04:35.74" personId="{BD1330D9-4FEF-4715-8C6A-15F4CBFCA3FD}" id="{BBB45BF8-2B22-44C5-9423-8A2DB6521BA0}" parentId="{5BFA83B1-9B08-443E-944D-D7C2ED5F4335}">
    <text>Avance:
-----------------------------------
- v2.5: [44006] OTG-BUSLOGIC-001 Pruebas de Validación de Datos en la Lógica de Negocio 
&gt; avanzando
&gt; Empezando la session 6</text>
  </threadedComment>
  <threadedComment ref="AS10" dT="2021-05-04T16:04:14.54" personId="{BD1330D9-4FEF-4715-8C6A-15F4CBFCA3FD}" id="{D9D27F8F-4553-43A1-A1AD-6521412D9A53}">
    <text>## JAVIER
Tareas planificadas:
- v2.5: [44006] OTG-BUSLOGIC-001 Pruebas de Validación de Datos en la Lógica de Negocio 
Backlog:
- v2.5: [46993] Cambiar nombre Datos Vitales por Biomedidas
- v2.5: [45236] Error Activar App para entidades productivas
- v2.5.1: [44004] OTG-AUTHN-007 Prueba sobre la política de contraseñas
- v2.5.1: [45213] GDPR - Al introducir 3 veces una contraseña errónea debe bloquear el usuario 
- Menores v2.5
- Requisitos de Auditoria de Seguridad
- Responsive completo de remote
- Formación tecnica de Argentina (Renombrar videos)</text>
  </threadedComment>
  <threadedComment ref="AS10" dT="2021-05-06T17:31:51.93" personId="{BD1330D9-4FEF-4715-8C6A-15F4CBFCA3FD}" id="{2D8EDD55-FFB4-4F95-A6B5-DD54FFC0F1A5}" parentId="{D9D27F8F-4553-43A1-A1AD-6521412D9A53}">
    <text>Avance:
-----------------------------------
- v2.5: [44006] OTG-BUSLOGIC-001 Pruebas de Validación de Datos en la Lógica de Negocio 
&gt; realizado y validado con grecia</text>
  </threadedComment>
  <threadedComment ref="AT10" dT="2021-05-05T15:28:43.74" personId="{BD1330D9-4FEF-4715-8C6A-15F4CBFCA3FD}" id="{DB0DB6E7-700A-4D77-A08F-78776F9B8585}">
    <text>## JAVIER
Tareas planificadas:
- revisar portal.forms.weightings.description en catalan ¿es portugues?
- revisar portal.telecare.sessions.title y portal.telecare.list.instant.groupCalls en portugues 
- configurar svn para 2.4.3 &gt; https://umane.everis.com/svn/EHCOSPROD/RemoteHS/versiones_remote/2.4/codigo_fuente/remotehs
- v2.4.3: [47169] Modifica listados de videoconferencia
- v2.4.3: [47168] Corregir etiqueta estado en catalán
- v2.4.3: [47167] Quitar nombre columna Opciones en Videoconferencias Paciente
Backlog:
- v2.5 &gt; devuelta: [45922] Error búsqueda pacientes en IE 
- v2.5: [45236] Error Activar App para entidades productivas
- v2.5: [46993] Cambiar nombre Datos Vitales por Biomedidas
- v2.5.1: [44004] OTG-AUTHN-007 Prueba sobre la política de contraseñas
- v2.5.1: [45213] GDPR - Al introducir 3 veces una contraseña errónea debe bloquear el usuario 
- Requisitos de Auditoria de Seguridad
- Responsive completo de remote
- Formación tecnica de Argentina (Renombrar videos)</text>
  </threadedComment>
  <threadedComment ref="AT10" dT="2021-05-06T17:30:44.89" personId="{BD1330D9-4FEF-4715-8C6A-15F4CBFCA3FD}" id="{DEA8D362-CEDF-4CCE-9245-E9A5A6B12662}" parentId="{DB0DB6E7-700A-4D77-A08F-78776F9B8585}">
    <text>Avance:
-----------------------------------
- v2.4.3: [47169] Modifica listados de videoconferencia
&gt; realizado
- v2.4.3: [47168] Corregir etiqueta estado en catalán
&gt; realizado
- v2.4.3: [47167] Quitar nombre columna Opciones en Videoconferencias Paciente
&gt; realizado
- v2.5: [46993] Cambiar nombre Datos Vitales por Biomedidas
&gt; avanzando</text>
  </threadedComment>
  <threadedComment ref="AU10" dT="2021-05-06T17:28:17.98" personId="{BD1330D9-4FEF-4715-8C6A-15F4CBFCA3FD}" id="{EF799417-E0DB-4C8D-BCF4-7EF7AC1D16D7}">
    <text>## JAVIER
Tareas planificadas:
- v2.5: [46315] MARCADO CE: Incluir logo marcado CE en portada
- v2.5: [46993] Cambiar nombre Datos Vitales por Biomedidas
- v2.5: [45236] Error Activar App para entidades productivas
Backlog:
- v2.5.1: [44004] OTG-AUTHN-007 Prueba sobre la política de contraseñas
- v2.5.1: [45213] GDPR - Al introducir 3 veces una contraseña errónea debe bloquear el usuario 
- Requisitos de Auditoria de Seguridad
- Responsive completo de remote
- Formación tecnica de Argentina (Renombrar videos)</text>
  </threadedComment>
  <threadedComment ref="AU10" dT="2021-05-10T08:06:30.63" personId="{BD1330D9-4FEF-4715-8C6A-15F4CBFCA3FD}" id="{1629B27F-17D3-48F7-85AE-FB0BDE1E36FB}" parentId="{EF799417-E0DB-4C8D-BCF4-7EF7AC1D16D7}">
    <text>Avance:
-----------------------------------
- v2.5: [46993] Cambiar nombre Datos Vitales por Biomedidas
- v2.5: [46315] MARCADO CE: Incluir logo marcado CE en portada
&gt; avance</text>
  </threadedComment>
  <threadedComment ref="AV10" dT="2021-05-10T08:04:38.84" personId="{BD1330D9-4FEF-4715-8C6A-15F4CBFCA3FD}" id="{A3DB8740-5292-4EE4-BE03-768945540344}">
    <text>## JAVIER
Tareas planificadas:
- v2.5: [46315] MARCADO CE: Incluir logo marcado CE en portada
- v2.5: [45236] Error Activar App para entidades productivas
Backlog:
- v2.5.1: [44004] OTG-AUTHN-007 Prueba sobre la política de contraseñas
- v2.5.1: [45213] GDPR - Al introducir 3 veces una contraseña errónea debe bloquear el usuario 
- Requisitos de Auditoria de Seguridad
- Responsive completo de remote
- Formación tecnica de Argentina (Renombrar videos)</text>
  </threadedComment>
  <threadedComment ref="AV10" dT="2021-05-11T08:31:54.38" personId="{BD1330D9-4FEF-4715-8C6A-15F4CBFCA3FD}" id="{EA6C8576-3456-42D6-9D02-EB7149D12613}" parentId="{A3DB8740-5292-4EE4-BE03-768945540344}">
    <text xml:space="preserve">Avance:
-----------------------------------
- v2.5: [45236] Error Activar App para entidades productivas
&gt; realizado, pendiente de pruebas finales con ayuda de emilio
- v2.5: [46993] Cambiar nombre Datos Vitales por Biomedidas
&gt; realizado
- v2.5: [46315] MARCADO CE: Incluir logo marcado CE en portada
&gt; realizado, con ayuda de osvaldo, devuelta falta parte del icono.
</text>
  </threadedComment>
  <threadedComment ref="AY10" dT="2021-05-11T08:31:42.97" personId="{BD1330D9-4FEF-4715-8C6A-15F4CBFCA3FD}" id="{39D1CB9A-4704-49BF-B98B-7653FF9B80DB}">
    <text>## JAVIER
Tareas planificadas:
- v2.5: [45236] Error Activar App para entidades productivas
- v2.5 &gt; devuelta:[44006] OTG-BUSLOGIC-001 Pruebas de Validación de Datos en la Lógica de Negocio
Backlog:
- v2.5.1: [44004] OTG-AUTHN-007 Prueba sobre la política de contraseñas
- v2.5.1: [45213] GDPR - Al introducir 3 veces una contraseña errónea debe bloquear el usuario 
- Requisitos de Auditoria de Seguridad
- Responsive completo de remote
- Formación tecnica de Argentina (Renombrar videos)</text>
  </threadedComment>
  <threadedComment ref="AY10" dT="2021-05-12T08:39:53.65" personId="{BD1330D9-4FEF-4715-8C6A-15F4CBFCA3FD}" id="{43D12BBA-31AE-4B94-9226-EAA271F3FAD1}" parentId="{39D1CB9A-4704-49BF-B98B-7653FF9B80DB}">
    <text>Avance:
-----------------------------------
- v2.5: [45236] Error Activar App para entidades productivas
&gt; realizado
- v2.5.0.0 &gt; devuelta: [44006] OTG-BUSLOGIC-001 Pruebas de Validación de Datos en la Lógica de Negocio
&gt; realizado
- v2.5.0.0 &gt; devuelta: [46315] MARCADO CE: Incluir logo marcado CE en portada
&gt; realizado, pendiente validar con grecia</text>
  </threadedComment>
  <threadedComment ref="AZ10" dT="2021-05-12T08:39:37.85" personId="{BD1330D9-4FEF-4715-8C6A-15F4CBFCA3FD}" id="{AE9BD549-EEEE-4B49-8DDE-81735361599B}">
    <text>## JAVIER
Tareas planificadas:
- v2.5.0.0 &gt; devuelta: [46993] Cambiar nombre Datos Vitales por Biomedidas
- necesaria extension de eclipse (autodetect encoding)
Backlog:
- v2.5.1.0: [44004] OTG-AUTHN-007 Prueba sobre la política de contraseñas
- v2.5.1.0: [45213] GDPR - Al introducir 3 veces una contraseña errónea debe bloquear el usuario 
- Requisitos de Auditoria de Seguridad
- Responsive completo de remote
- Formación tecnica de Argentina (Renombrar videos)</text>
  </threadedComment>
  <threadedComment ref="AZ10" dT="2021-05-13T07:35:03.83" personId="{BD1330D9-4FEF-4715-8C6A-15F4CBFCA3FD}" id="{06BE98E1-E2FB-4AC1-98E9-14E718FAB8C1}" parentId="{AE9BD549-EEEE-4B49-8DDE-81735361599B}">
    <text>Avance:
-----------------------------------
- v2.5.0.0 &gt; devuelta: [46993] Cambiar nombre Datos Vitales por Biomedidas
&gt; realizado</text>
  </threadedComment>
  <threadedComment ref="BA10" dT="2021-05-13T07:34:55.92" personId="{BD1330D9-4FEF-4715-8C6A-15F4CBFCA3FD}" id="{93783773-83BD-4E71-80C4-3C02D5451103}">
    <text>## JAVIER
Tareas planificadas:
- v2.4.4: [47510] i2cat. Modificar API para envío de los nombres de usuario
- v2.4.4: [47515] Pop up citas y videoconferencia. Homologar etiquetas
Backlog:
- v2.4.4: [47513] Espacio en nombre de sesión
- v2.4.4: [47514] Etiqueta al finalizar sesión
- v2.4.4: [47516] Pop up crear video. No funciona check para seleccionar todos los usuarios.
- v2.4.4: [47518] Quitar espacios en columnas de videoconferencia paciente
- v2.4.4: estabilizar
- v2.5.1.0: [44004] OTG-AUTHN-007 Prueba sobre la política de contraseñas
- v2.5.1.0: [45213] GDPR - Al introducir 3 veces una contraseña errónea debe bloquear el usuario 
- Requisitos de Auditoria de Seguridad
- Responsive completo de remote
- Formación tecnica de Argentina (Renombrar videos)</text>
  </threadedComment>
  <threadedComment ref="BA10" dT="2021-05-14T08:26:46.19" personId="{BD1330D9-4FEF-4715-8C6A-15F4CBFCA3FD}" id="{1959DF38-3DD2-4997-9A2B-5FB779F033BA}" parentId="{93783773-83BD-4E71-80C4-3C02D5451103}">
    <text>Avance:
-----------------------------------
- v2.4.4: [47510] i2cat. Modificar API para envío de los nombres de usuario
- v2.4.4: [47515] Pop up citas y videoconferencia. Homologar etiquetas
- v2.4.4: [47513] Espacio en nombre de sesión
- v2.4.4: [47516] Pop up crear video. No funciona check para seleccionar todos los usuarios.
- v2.4.4: [47514] Etiqueta al finalizar sesión
- v2.4.4: [44006] OTG-BUSLOGIC-001 Pruebas de Validación de Datos en la Lógica de Negocio
&gt; revisando scripts </text>
  </threadedComment>
  <threadedComment ref="BB10" dT="2021-05-14T08:26:26.67" personId="{BD1330D9-4FEF-4715-8C6A-15F4CBFCA3FD}" id="{5A9A3C9E-A15B-4D6D-BC13-4ED3AC0EC8FA}">
    <text>## JAVIER
Tareas planificadas:
- v2.4.4 &gt; devuelta: [47515] Pop up citas y videoconferencia. Homologar etiquetas
- v2.4.4: [47518] Quitar espacios en columnas de videoconferencia paciente
Backlog:
- v2.4.4: estabilizar
- v2.5.1.0: [44004] OTG-AUTHN-007 Prueba sobre la política de contraseñas
- v2.5.1.0: [45213] GDPR - Al introducir 3 veces una contraseña errónea debe bloquear el usuario 
- Requisitos de Auditoria de Seguridad
- Responsive completo de remote
- Formación tecnica de Argentina (Renombrar videos)</text>
  </threadedComment>
  <threadedComment ref="BB10" dT="2021-05-17T08:10:31.14" personId="{BD1330D9-4FEF-4715-8C6A-15F4CBFCA3FD}" id="{4220D64D-EEEB-480B-8259-911C035FB9EE}" parentId="{5A9A3C9E-A15B-4D6D-BC13-4ED3AC0EC8FA}">
    <text xml:space="preserve">Avance:
-----------------------------------
- v2.4.4: [47518] Quitar espacios en columnas de videoconferencia paciente
- v2.4.4 &gt; devuelta: [47515] Pop up citas y videoconferencia. Homologar etiquetas
</text>
  </threadedComment>
  <threadedComment ref="BC10" dT="2021-05-17T08:10:19.35" personId="{BD1330D9-4FEF-4715-8C6A-15F4CBFCA3FD}" id="{868B54CD-83E8-4B75-B3AE-37E8BACCBD49}">
    <text xml:space="preserve">## JAVIER
Tareas planificadas:
- v2.5.0.0 &gt; devuelta: [46315] MARCADO CE: Incluir logo marcado CE en portada
- v2.5.0.0 &gt; devuelta: [44006] OTG-BUSLOGIC-001 Pruebas de Validación de Datos en la Lógica de Negocio
- v2.5.1.0: [45213] GDPR - Al introducir 3 veces una contraseña errónea debe bloquear el usuario
Backlog:
- v2.5.1.0: [44004] OTG-AUTHN-007 Prueba sobre la política de contraseñas
- Requisitos de Auditoria de Seguridad
- Responsive completo de remote
- Formación tecnica de Argentina (Renombrar videos)
</text>
  </threadedComment>
  <threadedComment ref="BC10" dT="2021-05-18T07:53:03.54" personId="{BD1330D9-4FEF-4715-8C6A-15F4CBFCA3FD}" id="{DBE851A7-A163-4C8D-9D1A-FEAEBDF1AF37}" parentId="{868B54CD-83E8-4B75-B3AE-37E8BACCBD49}">
    <text>Avance:
-----------------------------------
- v2.5.0.0 &gt; devuelta: [46315] MARCADO CE: Incluir logo marcado CE en portada
- v2.5.0.0 &gt; devuelta: [44006] OTG-BUSLOGIC-001 Pruebas de Validación de Datos en la Lógica de Negocio</text>
  </threadedComment>
  <threadedComment ref="BF10" dT="2021-05-18T07:52:55.32" personId="{BD1330D9-4FEF-4715-8C6A-15F4CBFCA3FD}" id="{FCD1C621-025B-49EA-A3E0-B25F387ECB2B}">
    <text>## JAVIER
Tareas planificadas:
- v2.5.1.0: [45213] GDPR - Al introducir 3 veces una contraseña errónea debe bloquear el usuario
- v2.5.1.0: [44480] Cambiar el nombre de Gamificación
Backlog:
- v2.5.1.0: [44004] OTG-AUTHN-007 Prueba sobre la política de contraseñas
- Requisitos de Auditoria de Seguridad
- Responsive completo de remote
- Formación tecnica de Argentina (Renombrar videos)</text>
  </threadedComment>
  <threadedComment ref="BF10" dT="2021-05-19T08:18:06.85" personId="{BD1330D9-4FEF-4715-8C6A-15F4CBFCA3FD}" id="{B8781B8F-4B8D-4BFF-AC47-DEB241EF815A}" parentId="{FCD1C621-025B-49EA-A3E0-B25F387ECB2B}">
    <text>Avance:
-----------------------------------
- v2.5.1.0: [44480] Cambiar el nombre de Gamificación
&gt; terminada, pendiente de un ajuste de grecia
- v2.5.1.0: [45213] GDPR - Al introducir 3 veces una contraseña errónea debe bloquear el usuario
&gt; avanzando, termina hoy</text>
  </threadedComment>
  <threadedComment ref="BG10" dT="2021-05-19T08:17:56.28" personId="{BD1330D9-4FEF-4715-8C6A-15F4CBFCA3FD}" id="{2707F584-4EB2-4C21-8F93-8AA87A191BA3}">
    <text>## JAVIER
Tareas planificadas:
- v2.5.1.0: [45213] GDPR - Al introducir 3 veces una contraseña errónea debe bloquear el usuario
- v2.5.1.0: [44480] Cambiar el nombre de Gamificación
Backlog:
- v2.5.1.0: [44004] OTG-AUTHN-007 Prueba sobre la política de contraseñas
- Requisitos de Auditoria de Seguridad
- Responsive completo de remote
- Formación tecnica de Argentina (Renombrar videos)</text>
  </threadedComment>
  <threadedComment ref="BG10" dT="2021-05-20T08:35:44.71" personId="{BD1330D9-4FEF-4715-8C6A-15F4CBFCA3FD}" id="{F6C47255-2842-40F5-981F-7AD2A6D82AAC}" parentId="{2707F584-4EB2-4C21-8F93-8AA87A191BA3}">
    <text>Avance:
-----------------------------------
- v2.5.1.0: [44480] Cambiar el nombre de Gamificación
&gt; realizado
- v2.5.1.0: [45213] GDPR - Al introducir 3 veces una contraseña errónea debe bloquear el usuario
&gt; finalizando la tarea</text>
  </threadedComment>
  <threadedComment ref="BH10" dT="2021-05-20T08:35:36.46" personId="{BD1330D9-4FEF-4715-8C6A-15F4CBFCA3FD}" id="{17006A0B-8D58-4127-BC4F-5D7FBF1FC928}">
    <text>## JAVIER
Tareas planificadas:
- v2.5.1.0: [45213] GDPR - Al introducir 3 veces una contraseña errónea debe bloquear el usuario
- Revisar script 007 - EHCOSPROD-46993.sql faltan textos en catalan y se necesita where con locale
Backlog:
- v2.5.1.0: [44004] OTG-AUTHN-007 Prueba sobre la política de contraseñas
- Requisitos de Auditoria de Seguridad
- Responsive completo de remote
- Formación tecnica de Argentina (Renombrar videos)</text>
  </threadedComment>
  <threadedComment ref="BH10" dT="2021-05-21T09:12:36.57" personId="{BD1330D9-4FEF-4715-8C6A-15F4CBFCA3FD}" id="{E14FCB59-18E6-4987-A769-99CF22085C91}" parentId="{17006A0B-8D58-4127-BC4F-5D7FBF1FC928}">
    <text>Avance:
-----------------------------------
- v2.5.1.0: [45213] GDPR - Al introducir 3 veces una contraseña errónea debe bloquear el usuario
&gt; casi finalizada, con dudas</text>
  </threadedComment>
  <threadedComment ref="BI10" dT="2021-05-21T09:12:25.99" personId="{BD1330D9-4FEF-4715-8C6A-15F4CBFCA3FD}" id="{567425D0-F837-41D5-BE64-1E808D60BF9D}">
    <text>## JAVIER
Tareas planificadas:
- v2.5.1.0: [45213] GDPR - Al introducir 3 veces una contraseña errónea debe bloquear el usuario
- Revisar script 007 - EHCOSPROD-46993.sql faltan textos en catalan y se necesita where con locale
Backlog:
- v2.5.1.0: [44004] OTG-AUTHN-007 Prueba sobre la política de contraseñas
- Requisitos de Auditoria de Seguridad
- Responsive completo de remote
- Formación tecnica de Argentina (Renombrar videos)</text>
  </threadedComment>
  <threadedComment ref="BI10" dT="2021-05-25T08:05:13.34" personId="{BD1330D9-4FEF-4715-8C6A-15F4CBFCA3FD}" id="{B1EEAD07-6E96-432F-BAAE-569CD972FBA2}" parentId="{567425D0-F837-41D5-BE64-1E808D60BF9D}">
    <text xml:space="preserve">Avance:
-----------------------------------
- v2.5.1.0: [4480] Cambiar el nombre de Gamificación
</text>
  </threadedComment>
  <threadedComment ref="BJ10" dT="2021-05-21T09:10:40.35" personId="{BD1330D9-4FEF-4715-8C6A-15F4CBFCA3FD}" id="{FF8171CC-ADA3-4CAD-85C0-95742A2F9001}">
    <text>Festivo en chile</text>
  </threadedComment>
  <threadedComment ref="BM10" dT="2021-05-25T08:05:04.75" personId="{BD1330D9-4FEF-4715-8C6A-15F4CBFCA3FD}" id="{7BA22013-16C7-47AA-9662-CF6926F9E8CF}">
    <text>## JAVIER
Tareas planificadas:
- Revisar script 007 - EHCOSPROD-46993.sql faltan textos en catalan y se necesita where con locale &gt; avisar cuando este en svn
- v2.5.0.2: [48003] Ajustes en i18n Catalan para biomedidas
- v2.5.0.2: [47887] Ponderaciones de cuestionarios
- v2.5.0.2: [47354] Error horario de la cita en el mail de notificacion
Backlog:
- v2.5.1.0: [45213] GDPR - Al introducir 3 veces una contraseña errónea debe bloquear el usuario
- v2.5.1.0: [44004] OTG-AUTHN-007 Prueba sobre la política de contraseñas
- v2.5.1.0: [47926] Error al modificar el contexto de una entidad por idioma
- Requisitos de Auditoria de Seguridad
- Responsive completo de remote
- Formación tecnica de Argentina (Renombrar videos)</text>
  </threadedComment>
  <threadedComment ref="BM10" dT="2021-05-26T08:06:29.73" personId="{BD1330D9-4FEF-4715-8C6A-15F4CBFCA3FD}" id="{FC8BEB40-9D77-457F-9E75-D9F262821405}" parentId="{7BA22013-16C7-47AA-9662-CF6926F9E8CF}">
    <text>Avance:
-----------------------------------
- v2.5.0.2: [48003] Ajustes en i18n Catalan para biomedidas
- v2.5.0.2: [47354] Error horario de la cita en el mail de notificacion</text>
  </threadedComment>
  <threadedComment ref="BN10" dT="2021-05-26T08:06:21.41" personId="{BD1330D9-4FEF-4715-8C6A-15F4CBFCA3FD}" id="{EF5D222B-CE57-477C-8B58-364E3C914A1D}">
    <text>## JAVIER
Tareas planificadas:
&gt; Despliegue en PRE con explicación Emilio
- v2.5.1.0: [45213] GDPR - Al introducir 3 veces una contraseña errónea debe bloquear el usuario
Backlog:
- v2.5.1.0: [44004] OTG-AUTHN-007 Prueba sobre la política de contraseñas
- v2.5.1.0: [47926] Error al modificar el contexto de una entidad por idioma
- v2.5.1.0: [44810] No visualizar decimales en según que datos vitales
- Requisitos de Auditoria de Seguridad
- Responsive completo de remote
- Formación tecnica de Argentina (Renombrar videos)</text>
  </threadedComment>
  <threadedComment ref="BN10" dT="2021-05-27T13:49:17.01" personId="{BD1330D9-4FEF-4715-8C6A-15F4CBFCA3FD}" id="{7E2CA3A8-3A11-4334-96E1-38BCEA9D9774}" parentId="{EF5D222B-CE57-477C-8B58-364E3C914A1D}">
    <text xml:space="preserve">Avance:
-----------------------------------
- Despliegue en PRE
- v2.5.1.0: [45213] GDPR - Al introducir 3 veces una contraseña errónea debe bloquear el usuario
- v2.5.1.0: [44004] OTG-AUTHN-007 Prueba sobre la política de contraseñas
&gt; empezando
</text>
  </threadedComment>
  <threadedComment ref="BO10" dT="2021-05-27T13:49:07.99" personId="{BD1330D9-4FEF-4715-8C6A-15F4CBFCA3FD}" id="{BA84B753-E561-41A2-8590-A244E272DC49}">
    <text>## JAVIER
Tareas planificadas:
&gt; revisar scripts para moverlos a la carpeta correcta
- Despliegue en QA y ejecucion de scrips pendientes
- v2.5.1.0: [44004] OTG-AUTHN-007 Prueba sobre la política de contraseñas
Backlog:
- v2.5.1.0: [47926] Error al modificar el contexto de una entidad por idioma
- v2.5.1.0: [44810] No visualizar decimales en según que datos vitales &gt; falta estimar
- Requisitos de Auditoria de Seguridad
- Responsive completo de remote
- Formación tecnica de Argentina (Renombrar videos)</text>
  </threadedComment>
  <threadedComment ref="BO10" dT="2021-05-27T16:19:21.03" personId="{BD1330D9-4FEF-4715-8C6A-15F4CBFCA3FD}" id="{A8537E86-440F-4033-8145-2B75852944AB}" parentId="{BA84B753-E561-41A2-8590-A244E272DC49}">
    <text xml:space="preserve">Avance:
-----------------------------------
&gt; revisar scripts para moverlos a la carpeta correcta
- Despliegue en QA y ejecucion de scrips pendientes
- v2.5.1.0: [44004] OTG-AUTHN-007 Prueba sobre la política de contraseñas
&gt; terminando 
</text>
  </threadedComment>
  <threadedComment ref="BP10" dT="2021-05-27T16:19:10.48" personId="{BD1330D9-4FEF-4715-8C6A-15F4CBFCA3FD}" id="{F3F19B07-A532-4D86-BA45-D1FF3F93CACE}">
    <text>## JAVIER
Tareas planificadas:
- v2.5.1.0: [44004] OTG-AUTHN-007 Prueba sobre la política de contraseñas
- v2.5.1.0: [47926] Error al modificar el contexto de una entidad por idioma
Backlog:
- v2.5.1.0: [44810] No visualizar decimales en según que datos vitales &gt; falta estimar
- Requisitos de Auditoria de Seguridad
- Responsive completo de remote
- Formación tecnica de Argentina (Renombrar videos)</text>
  </threadedComment>
  <threadedComment ref="BP10" dT="2021-05-28T15:07:22.67" personId="{BD1330D9-4FEF-4715-8C6A-15F4CBFCA3FD}" id="{6C1F121D-8699-4E3D-910C-DD7469AACD0C}" parentId="{F3F19B07-A532-4D86-BA45-D1FF3F93CACE}">
    <text xml:space="preserve">Avance:
-----------------------------------
- v2.5.1.0: [44004] OTG-AUTHN-007 Prueba sobre la política de contraseñas
&gt; terminando hoy
</text>
  </threadedComment>
  <threadedComment ref="BQ10" dT="2021-05-28T15:06:59.48" personId="{BD1330D9-4FEF-4715-8C6A-15F4CBFCA3FD}" id="{51ADA62F-DE32-4EAD-8558-37CC16DE3BA9}">
    <text>## JAVIER
Tareas planificadas:
- v2.5.1.0: [44004] OTG-AUTHN-007 Prueba sobre la política de contraseñas
- v2.5.1.0: [47926] Error al modificar el contexto de una entidad por idioma
Backlog:
- v2.5.1.0: [44810] No visualizar decimales en según que datos vitales &gt; falta estimar
- Requisitos de Auditoria de Seguridad
- Responsive completo de remote
- Formación tecnica de Argentina (Renombrar videos)</text>
  </threadedComment>
  <threadedComment ref="BQ10" dT="2021-05-31T17:12:01.14" personId="{BD1330D9-4FEF-4715-8C6A-15F4CBFCA3FD}" id="{D0EA3F1E-61AF-4F29-AB30-72E164419161}" parentId="{51ADA62F-DE32-4EAD-8558-37CC16DE3BA9}">
    <text>Avance:
-----------------------------------
- v2.5.1.0: [44004] OTG-AUTHN-007 Prueba sobre la política de contraseñas
&gt; avanzando despues de bloqueo para terminar hoy.
- v2.5.1.0: [47926] Error al modificar el contexto de una entidad por idioma
&gt; avanzando</text>
  </threadedComment>
  <threadedComment ref="BT10" dT="2021-05-31T17:11:50.15" personId="{BD1330D9-4FEF-4715-8C6A-15F4CBFCA3FD}" id="{43D55FB0-88C3-4C02-8B08-40E3F8A2C9D0}">
    <text>## JAVIER
Tareas planificadas:
- v2.5.1.0: [44004] OTG-AUTHN-007 Prueba sobre la política de contraseñas
- v2.5.1.0: [47926] Error al modificar el contexto de una entidad por idioma
Backlog:
- v2.5.1.0: [44810] No visualizar decimales en según que datos vitales &gt; falta estimar
- Requisitos de Auditoria de Seguridad
- Responsive completo de remote</text>
  </threadedComment>
  <threadedComment ref="BT10" dT="2021-06-01T16:22:18.50" personId="{BD1330D9-4FEF-4715-8C6A-15F4CBFCA3FD}" id="{BCDC50C2-D822-4620-8047-AEA8CEC1399E}" parentId="{43D55FB0-88C3-4C02-8B08-40E3F8A2C9D0}">
    <text xml:space="preserve">Avance:
-----------------------------------
- v2.5.1.0: [47926] Error al modificar el contexto de una entidad por idioma
&gt; realizado
- v2.5.1.0: [44004] OTG-AUTHN-007 Prueba sobre la política de contraseñas
&gt; casi terminada solucionando bloqueos.
</text>
  </threadedComment>
  <threadedComment ref="BU10" dT="2021-06-01T16:22:10.81" personId="{BD1330D9-4FEF-4715-8C6A-15F4CBFCA3FD}" id="{51632C08-F43C-4C86-B422-3B4153BA8EDF}">
    <text>## JAVIER
Tareas planificadas:
- v2.5.1.0: [44004] OTG-AUTHN-007 Prueba sobre la política de contraseñas
- v2.5.1.0: [44810] No visualizar decimales en según que datos vitales 
Backlog:
- v2.5.1.0: [47976] Falta traducción de calendario de citas en JS
- Requisitos de Auditoria de Seguridad
- Responsive completo de remote</text>
  </threadedComment>
  <threadedComment ref="BU10" dT="2021-06-02T15:32:27.93" personId="{BD1330D9-4FEF-4715-8C6A-15F4CBFCA3FD}" id="{D133F56D-586C-429C-91A9-6021AA925B4B}" parentId="{51632C08-F43C-4C86-B422-3B4153BA8EDF}">
    <text>Avance:
-----------------------------------
- v2.5.1.0: [44810] No visualizar decimales en según que datos vitales 
&gt; realizada
- v2.5.1.0: [44004] OTG-AUTHN-007 Prueba sobre la política de contraseñas
&gt; finalizando con ultimas pruebas.</text>
  </threadedComment>
  <threadedComment ref="BV10" dT="2021-06-02T15:32:18.01" personId="{BD1330D9-4FEF-4715-8C6A-15F4CBFCA3FD}" id="{945FB730-01D2-49FF-8FED-CD8B182FE6AD}">
    <text>## JAVIER
Tareas planificadas:
- v2.5.1.0: [44004] OTG-AUTHN-007 Prueba sobre la política de contraseñas
- v2.5.1.0: [47976] Falta traducción de calendario de citas en JS
Backlog:
- Requisitos de Auditoria de Seguridad
- Responsive completo de remote</text>
  </threadedComment>
  <threadedComment ref="BV10" dT="2021-06-03T16:51:44.16" personId="{BD1330D9-4FEF-4715-8C6A-15F4CBFCA3FD}" id="{928F6F5A-C1E5-454C-BE0C-F7F862DF31FD}" parentId="{945FB730-01D2-49FF-8FED-CD8B182FE6AD}">
    <text>Avance:
-----------------------------------
- v2.5.1.0: [44004] OTG-AUTHN-007 Prueba sobre la política de contraseñas
&gt; con pruebas finales</text>
  </threadedComment>
  <threadedComment ref="BW10" dT="2021-06-03T16:51:16.20" personId="{BD1330D9-4FEF-4715-8C6A-15F4CBFCA3FD}" id="{38F87991-FB23-418B-9D80-B8DA36C30DB8}">
    <text>## JAVIER
Tareas planificadas:
- v2.5.1.0: [44004] OTG-AUTHN-007 Prueba sobre la política de contraseñas
Backlog:
- v2.5.1.0: [48556] Regex. Permitir espacios en calle
- v2.5.1.0: [48551] Trivia salud. Los filtros no funcionan
- Requisitos de Auditoria de Seguridad
- Responsive completo de remote</text>
  </threadedComment>
  <threadedComment ref="BW10" dT="2021-06-08T08:23:56.17" personId="{BD1330D9-4FEF-4715-8C6A-15F4CBFCA3FD}" id="{F9015629-A54C-4D99-8F36-41F17AFE6B6A}" parentId="{38F87991-FB23-418B-9D80-B8DA36C30DB8}">
    <text xml:space="preserve">Avance:
-----------------------------------
- v2.5.1.0: [48556] Regex. Permitir espacios en calle
&gt; terminada
- v2.5.1.0: [44004] OTG-AUTHN-007 Prueba sobre la política de contraseñas
&gt; terminada
</text>
  </threadedComment>
  <threadedComment ref="BX10" dT="2021-06-08T08:20:56.20" personId="{BD1330D9-4FEF-4715-8C6A-15F4CBFCA3FD}" id="{998BA3A0-86DB-4C88-A84D-55BC7575B368}">
    <text>## JAVIER 
Tareas planificadas:
- v2.5.1.0: [44004] OTG-AUTHN-007 Prueba sobre la política de contraseñas
- v2.5.1.0: [48556] Regex. Permitir espacios en calle
- v2.5.1.0: [48551] Trivia salud. Los filtros no funcionan
Backlog
- Requisitos de Auditoria de Seguridad - Responsive completo de remote</text>
  </threadedComment>
  <threadedComment ref="BX10" dT="2021-06-08T08:23:59.14" personId="{BD1330D9-4FEF-4715-8C6A-15F4CBFCA3FD}" id="{39A22428-3EE7-4B0A-8794-F3BEFE223CE6}" parentId="{998BA3A0-86DB-4C88-A84D-55BC7575B368}">
    <text xml:space="preserve">Avance:
-----------------------------------
- v2.5.1.0: [48556] Regex. Permitir espacios en calle
&gt; terminada
- v2.5.1.0: [44004] OTG-AUTHN-007 Prueba sobre la política de contraseñas
&gt; terminada
</text>
  </threadedComment>
  <threadedComment ref="CA10" dT="2021-06-08T08:24:41.45" personId="{BD1330D9-4FEF-4715-8C6A-15F4CBFCA3FD}" id="{26095019-B9A1-455C-8C5B-C5B655970754}">
    <text>## JAVIER
Tareas planificadas:
- v2.5.1.0: [48551] Trivia salud. Los filtros no funcionan
Backlog:
- v2.5.1.0: [48431] Modificar servicio gamification/user/section
- Requisitos de Auditoria de Seguridad
- Responsive completo de remote</text>
  </threadedComment>
  <threadedComment ref="CA10" dT="2021-06-09T10:26:07.14" personId="{BD1330D9-4FEF-4715-8C6A-15F4CBFCA3FD}" id="{7C9088BA-6163-4359-B1FE-1AB7309A3BE7}" parentId="{26095019-B9A1-455C-8C5B-C5B655970754}">
    <text>Avance:
-----------------------------------
- v2.5.1.0: [48551] Trivia salud. Los filtros no funcionan
&gt; realizado
- v2.5.1.0: [48431] Modificar servicio gamification/user/section
&gt; pausada, completando pruebas
- [44810] No visualizar decimales en según que datos vitales
&gt; devuelta y revisandola</text>
  </threadedComment>
  <threadedComment ref="CB10" dT="2021-06-09T10:25:58.40" personId="{BD1330D9-4FEF-4715-8C6A-15F4CBFCA3FD}" id="{8F747919-572C-49FE-AF19-3E670083E086}">
    <text>## JAVIER
Tareas planificadas:
- v2.5.1.0: [44810] No visualizar decimales en según que datos vitales
- v2.5.1.0: [48431] Modificar servicio gamification/user/section
Backlog:
- Requisitos de Auditoria de Seguridad
- Responsive completo de remote</text>
  </threadedComment>
  <threadedComment ref="CB10" dT="2021-06-09T15:59:07.18" personId="{BD1330D9-4FEF-4715-8C6A-15F4CBFCA3FD}" id="{F4B72E30-0B88-44FD-A400-C2418142A5C9}" parentId="{8F747919-572C-49FE-AF19-3E670083E086}">
    <text>Avance:
-----------------------------------
- v2.5.1.0: [44810] No visualizar decimales en según que datos vitales
&gt; finalizando problemas para quitar del eje y de las graficas
- v2.5.1.0: [48431] Modificar servicio gamification/user/section
&gt; finalizado pendiente de pruebas en postman </text>
  </threadedComment>
  <threadedComment ref="CC10" dT="2021-06-09T15:58:58.30" personId="{BD1330D9-4FEF-4715-8C6A-15F4CBFCA3FD}" id="{343248E5-0F9D-4C8F-9D86-5846FB949931}">
    <text xml:space="preserve">## JAVIER
Tareas planificadas:
- v2.5.1.0: [44810] No visualizar decimales en según que datos vitales
- v2.5.1.0: [48431] Modificar servicio gamification/user/section
- Traspaso de conocimiento de i2cat con Osvaldo
- Traspaso de conocimiento de i2cat documentar el entorno de desarrollo
Backlog:
- Requisitos de Auditoria de Seguridad
- Responsive completo de remote
</text>
  </threadedComment>
  <threadedComment ref="CC10" dT="2021-06-10T15:47:01.29" personId="{BD1330D9-4FEF-4715-8C6A-15F4CBFCA3FD}" id="{29D25664-4AD3-45C3-AF2F-E07E0848FADA}" parentId="{343248E5-0F9D-4C8F-9D86-5846FB949931}">
    <text>Avance:
-----------------------------------
- v2.5.1.0: [44810] No visualizar decimales en según que datos vitales
&gt; terminando con dudas con grecia
- v2.5.1.0: [48431] Modificar servicio gamification/user/section
&gt; terminando</text>
  </threadedComment>
  <threadedComment ref="CD10" dT="2021-06-10T15:40:40.62" personId="{BD1330D9-4FEF-4715-8C6A-15F4CBFCA3FD}" id="{FA37DFE1-7E89-4141-B141-E9B3C88A4E01}">
    <text>## JAVIER
Tareas planificadas:
- v2.5.1.0: [44810] No visualizar decimales en según que datos vitales
- v2.5.1.0: [48431] Modificar servicio gamification/user/section
- Traspaso de conocimiento de i2cat con Osvaldo
Backlog:
- v2.5.1.0: [46975] Nombre sesión video N:M caracteres extraños
- v2.5.1.0: [48743] Reactivar push gamificaciones
- Requisitos de Auditoria de Seguridad
- Responsive completo de remote</text>
  </threadedComment>
  <threadedComment ref="CD10" dT="2021-06-11T15:34:17.62" personId="{BD1330D9-4FEF-4715-8C6A-15F4CBFCA3FD}" id="{8FFB3586-2101-4510-84C7-F755602E3483}" parentId="{FA37DFE1-7E89-4141-B141-E9B3C88A4E01}">
    <text xml:space="preserve">Avance:
-----------------------------------
- v2.5.1.0: [48431] Modificar servicio gamification/user/section
&gt; realizado
- v2.5.1.0: [44810] No visualizar decimales en según que datos vitales
&gt; realizado
- Traspaso de conocimiento de i2cat con Osvaldo
&gt; con problemas
</text>
  </threadedComment>
  <threadedComment ref="CE10" dT="2021-06-11T15:32:23.74" personId="{BD1330D9-4FEF-4715-8C6A-15F4CBFCA3FD}" id="{72432014-E14D-4964-A31D-208E8B9A64D4}">
    <text>## JAVIER
 Tareas planificadas:
 - v2.5.1.0: [48743] Reactivar push gamificaciones
 - v2.5.1.0: [48551] Trivia salud. Los filtros no funcionan
 - Traspaso de conocimiento de i2cat con Osvaldo
Backlog:
 - v2.5.1.0: [46975] Nombre sesión video N:M caracteres extraños
 - Requisitos de Auditoria de Seguridad
 - Responsive completo de remote</text>
  </threadedComment>
  <threadedComment ref="CE10" dT="2021-06-14T17:22:07.81" personId="{BD1330D9-4FEF-4715-8C6A-15F4CBFCA3FD}" id="{B4F3540F-B047-467F-A305-8AE8D5E48FFA}" parentId="{72432014-E14D-4964-A31D-208E8B9A64D4}">
    <text>Avance:
-----------------------------------
- v2.5.1.0: [48551] Trivia salud. Los filtros no funcionan
&gt; realizado
- v2.5.1.0: [48743] Reactivar push gamificaciones
&gt; avanzando 
- Traspaso de conocimiento de i2cat con Osvaldo
&gt; sin avance por problemas de seguridad con chrome</text>
  </threadedComment>
  <threadedComment ref="CH10" dT="2021-06-14T17:21:39.17" personId="{BD1330D9-4FEF-4715-8C6A-15F4CBFCA3FD}" id="{97C9F0A4-7F0E-4BCA-837A-2ED3FA2BECA6}">
    <text>## JAVIER
Tareas planificadas:
- v2.5.1.0: [48743] Reactivar push gamificaciones
- Traspaso de conocimiento de i2cat con Osvaldo
Backlog:
- v2.5.1.0: [46975] Nombre sesión video N:M caracteres extraños
- v2.5.1.1: Correctivos
- Requisitos de Auditoria de Seguridad
- Responsive completo de remote</text>
  </threadedComment>
  <threadedComment ref="CH10" dT="2021-06-15T16:50:17.34" personId="{BD1330D9-4FEF-4715-8C6A-15F4CBFCA3FD}" id="{5151048D-EC3C-414C-BAB1-CE1B72D948CC}" parentId="{97C9F0A4-7F0E-4BCA-837A-2ED3FA2BECA6}">
    <text>Avance:
-----------------------------------
- v2.5.1.0: [48743] Reactivar push gamificaciones
&gt; realizado
- v2.5.1.0: [46975] Nombre sesión video N:M caracteres extraños
&gt; empezando</text>
  </threadedComment>
  <threadedComment ref="CI10" dT="2021-06-15T16:47:28.39" personId="{BD1330D9-4FEF-4715-8C6A-15F4CBFCA3FD}" id="{90E76494-A66A-45DF-AD7A-056FD5E466F5}">
    <text>## JAVIER
 Tareas planificadas:
 - v2.5.1.0: [46975] Nombre sesión video N:M caracteres extraños
 - Traspaso de conocimiento de i2cat con Osvaldo
 - Traspaso de conocimiento de i2cat documentar el entorno de desarrollo en Confluence
Backlog:
 - v2.5.1.0: [48976] Primer registro de usuario - Falla
 - v2.5.1.1: Correctivos
 - Requisitos de Auditoria de Seguridad
 - Responsive completo de remote</text>
  </threadedComment>
  <threadedComment ref="CI10" dT="2021-06-16T16:13:32.77" personId="{BD1330D9-4FEF-4715-8C6A-15F4CBFCA3FD}" id="{C041814F-7C6B-47C5-8A06-86FAB7B61482}" parentId="{90E76494-A66A-45DF-AD7A-056FD5E466F5}">
    <text>Avance:
-----------------------------------
- v2.5.1.0: [46975] Nombre sesión video N:M caracteres extraños
&gt; sin avance
- v2.5.1.0: [48976] Primer registro de usuario - Falla
&gt; sin avance
- Problemas con dependencias de Maven en remote
- Configurar clinic a Javier
&gt; avanzando pero sin terminar
- Traspaso de conocimiento de i2cat con Osvaldo</text>
  </threadedComment>
  <threadedComment ref="CJ10" dT="2021-06-16T16:13:10.82" personId="{BD1330D9-4FEF-4715-8C6A-15F4CBFCA3FD}" id="{C49ED3AB-8643-4FCE-A7A8-AAB611EFC637}">
    <text>## JAVIER
Tareas planificadas:
- v2.5.1.0: [46975] Nombre sesión video N:M caracteres extraños
- Traspaso de conocimiento de i2cat con Osvaldo
Backlog:
- v2.5.1.0: [48976] Primer registro de usuario - Falla
- Traspaso de conocimiento de i2cat documentar el entorno de desarrollo en Confluence
- v2.5.1.1: Correctivos
- Requisitos de Auditoria de Seguridad
- Responsive completo de remote</text>
  </threadedComment>
  <threadedComment ref="CJ10" dT="2021-06-17T15:30:18.46" personId="{BD1330D9-4FEF-4715-8C6A-15F4CBFCA3FD}" id="{082D98AE-5B44-486A-BCCF-51EEEE1BFDF4}" parentId="{C49ED3AB-8643-4FCE-A7A8-AAB611EFC637}">
    <text xml:space="preserve">Avance:
-----------------------------------
- v2.5.1.0: [46975] Nombre sesión video N:M caracteres extraños
- v2.5.1.0: [48976] Primer registro de usuario - Falla
</text>
  </threadedComment>
  <threadedComment ref="CK10" dT="2021-06-17T15:30:09.32" personId="{BD1330D9-4FEF-4715-8C6A-15F4CBFCA3FD}" id="{D453F757-A6DB-4EAC-9A89-5E40718923C4}">
    <text>## JAVIER
Tareas planificadas:
- v2.5.1.0: [44004] OTG-AUTHN-007 Prueba sobre la política de contraseñas
Backlog:
- Traspaso de conocimiento de i2cat documentar el entorno de desarrollo en Confluence
- v2.5.1.1: Correctivos
- Requisitos de Auditoria de Seguridad
- Responsive completo de remote</text>
  </threadedComment>
  <threadedComment ref="CK10" dT="2021-06-18T14:23:45.17" personId="{BD1330D9-4FEF-4715-8C6A-15F4CBFCA3FD}" id="{5A54E6B8-C637-4416-95E9-4021CC03FA5F}" parentId="{D453F757-A6DB-4EAC-9A89-5E40718923C4}">
    <text xml:space="preserve">Avance:
-----------------------------------
- v2.5.1.0: [44004] OTG-AUTHN-007 Prueba sobre la política de contraseñas
&gt; realizado no aplicaba
- Traspaso de conocimiento de i2cat documentar el entorno de desarrollo en Confluence
</text>
  </threadedComment>
  <threadedComment ref="CL10" dT="2021-06-18T14:23:37.33" personId="{BD1330D9-4FEF-4715-8C6A-15F4CBFCA3FD}" id="{98A4A814-E0E4-48BC-8CC8-22DA800F0BC2}">
    <text>## JAVIER
Tareas planificadas:
- v2.5.1.0: [48567] Servicio de roomsToday no devuelve sesiones creadas desde la app
- Configurar workspace de informes
Backlog:
- v2.5.1.1: Correctivos
- Requisitos de Auditoria de Seguridad
- Responsive completo de remote</text>
  </threadedComment>
  <threadedComment ref="CL10" dT="2021-06-22T16:45:31.94" personId="{BD1330D9-4FEF-4715-8C6A-15F4CBFCA3FD}" id="{BD954358-9DF6-40AC-A3DD-FA3DADAD0C72}" parentId="{98A4A814-E0E4-48BC-8CC8-22DA800F0BC2}">
    <text>Avance:
-----------------------------------
- v2.5.1.0: [48567] Servicio de roomsToday no devuelve sesiones creadas desde la app
&gt; finalizada</text>
  </threadedComment>
  <threadedComment ref="CP10" dT="2021-06-22T16:45:20.47" personId="{BD1330D9-4FEF-4715-8C6A-15F4CBFCA3FD}" id="{F7852715-18D4-4897-945F-1A49302C3FE9}">
    <text>## JAVIER
Tareas planificadas:
- v2.5.1.0: [44004] OTG-AUTHN-007 Prueba sobre la política de contraseñas 
&gt; devuelta
- v2.5.1.0: [48743] Reactivar push gamificaciones 
&gt; devuelta
- v2.5.1.0: [48432] Servicio para mostrar resultados de gamificaciones (Trivia salud)
&gt; asignada
Backlog:
- v2.5.1.0: [44480] Cambiar el nombre de Gamificación &gt; DT y DL
- v2.5.1.0: [44810] No visualizar decimales en según que datos vitales &gt; DT y DL
- v2.5.1.0: [48432] Servicio para mostrar resultados de gamificaciones (Trivia salud) &gt; DT y DL
- v2.5.1.1: Correctivos
- Requisitos de Auditoria de Seguridad
- Responsive completo de remote</text>
  </threadedComment>
  <threadedComment ref="CP10" dT="2021-06-23T15:36:08.58" personId="{BD1330D9-4FEF-4715-8C6A-15F4CBFCA3FD}" id="{538257D0-6027-465E-AEB8-75FCD6C8605D}" parentId="{F7852715-18D4-4897-945F-1A49302C3FE9}">
    <text>Avance:
-----------------------------------
- v2.5.1.0: [44004] OTG-AUTHN-007 Prueba sobre la política de contraseñas 
&gt; realizado
- v2.5.1.0: [48743] Reactivar push gamificaciones 
&gt; realizado
- v2.5.1.0: [48432] Servicio para mostrar resultados de gamificaciones (Trivia salud)
&gt; empezando</text>
  </threadedComment>
  <threadedComment ref="CQ10" dT="2021-06-23T15:35:13.27" personId="{BD1330D9-4FEF-4715-8C6A-15F4CBFCA3FD}" id="{D6F589D2-2F3F-4C2A-B040-E849564814DC}">
    <text>## JAVIER
Tareas planificadas:
- v2.5.1.0: [49374] No abre pantalla de telecare &gt; devuelta
- v2.5.1.0: [48432] Servicio para mostrar resultados de gamificaciones (Trivia salud)
&gt; evolutivo
Backlog:
- v2.5.1.0: Nuevo JIRA doc api rest gaminificacion, DT y DL ¿?
- v2.5.1.0: [44480] Cambiar el nombre de Gamificación &gt; DT y DL
- v2.5.1.0: [44810] No visualizar decimales en según que datos vitales &gt; DT y DL
- v2.5.1.0: [48432] Servicio para mostrar resultados de gamificaciones (Trivia salud) &gt; DT y DL
- v2.5.1.1: Correctivos
- Requisitos de Auditoria de Seguridad
- Responsive completo de remote</text>
  </threadedComment>
  <threadedComment ref="CQ10" dT="2021-06-24T15:31:03.07" personId="{BD1330D9-4FEF-4715-8C6A-15F4CBFCA3FD}" id="{6C64DA88-EFE3-40E7-9852-D52D23E2770E}" parentId="{D6F589D2-2F3F-4C2A-B040-E849564814DC}">
    <text>Avance:
-----------------------------------
- v2.5.1.0: [48432] Servicio para mostrar resultados de gamificaciones (Trivia salud)
&gt; empezando, avance 5h
- v2.5.1.0: [49374] No abre pantalla de telecare &gt; devuelta
&gt; revisado por dudas con ricardo
&gt; realizado pero devuelta la continua emilio, puede que fuera un error de despliegue</text>
  </threadedComment>
  <threadedComment ref="CR10" dT="2021-06-24T15:27:23.10" personId="{BD1330D9-4FEF-4715-8C6A-15F4CBFCA3FD}" id="{D9EDDADF-E4D2-4A65-9CDE-52552EB0E308}">
    <text>## JAVIER
 Tareas planificadas:
 - v2.5.1.0: [48432] Servicio para mostrar resultados de gamificaciones (Trivia salud)
 &gt; evolutivo
Backlog:
 - v2.5.1.0: [44480] Cambiar el nombre de Gamificación &gt; DT y DL
 - v2.5.1.0: [44810] No visualizar decimales en según que datos vitales &gt; DT y DL
 - v2.5.1.0: [48432] Servicio para mostrar resultados de gamificaciones (Trivia salud) &gt; DT y DL
 - v2.5.1.0: Nuevo JIRA doc api rest gaminificacion, DT y DL ¿?
 - Configurar workspace de informes
 - v2.5.1.1: Correctivos
 - Requisitos de Auditoria de Seguridad
 - Responsive completo de remote</text>
  </threadedComment>
  <threadedComment ref="CR10" dT="2021-06-25T15:26:08.79" personId="{BD1330D9-4FEF-4715-8C6A-15F4CBFCA3FD}" id="{917EFE5F-FEFD-4203-9A6A-57474F9103D2}" parentId="{D9EDDADF-E4D2-4A65-9CDE-52552EB0E308}">
    <text xml:space="preserve">Avance:
-----------------------------------
- v2.5.1.0: [48432] Servicio para mostrar resultados de gamificaciones (Trivia salud)
&gt; desvio por dudas, resueltas por el mismo y espera terminar hoy
&gt; problemas de desconectado por intermitencia de internet
</text>
  </threadedComment>
  <threadedComment ref="CS10" dT="2021-06-25T15:24:14.66" personId="{BD1330D9-4FEF-4715-8C6A-15F4CBFCA3FD}" id="{55B0305F-D47D-4CF4-A15E-7F784F64EEF3}">
    <text>## JAVIER
 Tareas planificadas:
 - v2.5.1.0: [48432] Servicio para mostrar resultados de gamificaciones (Trivia salud)
 &gt; evolutivo
 - v2.5.1.0: [49490] Servicio detalle respuestas trae más preguntas
 - Subir todo al SVN, actualizar JIRA
Backlog:
 - v2.5.1.0: [44480] Cambiar el nombre de Gamificación &gt; DT y DL
 - v2.5.1.0: [44810] No visualizar decimales en según que datos vitales &gt; DT y DL
 - v2.5.1.0: [48432] Servicio para mostrar resultados de gamificaciones (Trivia salud) &gt; DT y DL
 - v2.5.1.0: Nuevo JIRA doc api rest gaminificacion, DT y DL ¿?
 - Configurar workspace de informes
 - v2.5.1.1: Correctivos
 - Requisitos de Auditoria de Seguridad
 - Responsive completo de remote</text>
  </threadedComment>
  <threadedComment ref="CS10" dT="2021-06-29T15:39:19.13" personId="{BD1330D9-4FEF-4715-8C6A-15F4CBFCA3FD}" id="{33D6119F-036A-447D-A771-2DF063689C09}" parentId="{55B0305F-D47D-4CF4-A15E-7F784F64EEF3}">
    <text>Avance:
-----------------------------------
- v2.5.1.0: [48432] Servicio para mostrar resultados de gamificaciones (Trivia salud)
&gt; Con dudas y bloqueos, sin mucho avance por desconocimiento de servicios rest</text>
  </threadedComment>
  <threadedComment ref="CW10" dT="2021-06-29T15:37:50.97" personId="{BD1330D9-4FEF-4715-8C6A-15F4CBFCA3FD}" id="{FCB871B0-8C8E-4719-B8EC-E7A32EC552A4}">
    <text>## JAVIER
Diario: commit y actualizar JIRA / EXCEL
Tareas planificadas:
- v2.5.1.0: [48432] Servicio para mostrar resultados de gamificaciones (Trivia salud)
&gt; evolutivo
- v2.5.1.0: [49490] Servicio detalle respuestas trae más preguntas
Backlog:
- Preguntar a Emilio por explicacion DT y DL
- v2.5.1.0: [44480] Cambiar el nombre de Gamificación &gt; DT y DL
- v2.5.1.0: [44810] No visualizar decimales en según que datos vitales &gt; DT y DL
- v2.5.1.0: [48432] Servicio para mostrar resultados de gamificaciones (Trivia salud) &gt; DT y DL
- v2.5.1.0: Nuevo JIRA doc api rest gaminificacion, DT y DL ¿?
- Configurar workspace de informes
- v2.5.1.1: Correctivos
- Requisitos de Auditoria de Seguridad
- Responsive completo de remote</text>
  </threadedComment>
  <threadedComment ref="CW10" dT="2021-06-30T15:48:53.22" personId="{BD1330D9-4FEF-4715-8C6A-15F4CBFCA3FD}" id="{0640CF7D-5B3E-41DF-9B0B-2FBC867F3779}" parentId="{FCB871B0-8C8E-4719-B8EC-E7A32EC552A4}">
    <text xml:space="preserve">Avance:
-----------------------------------
- v2.5.1.0: [48432] Servicio para mostrar resultados de gamificaciones (Trivia salud)
&gt; realizado se queda devuelta hasta que se realice el merge en el trunk
</text>
  </threadedComment>
  <threadedComment ref="CX10" dT="2021-06-30T15:47:38.34" personId="{BD1330D9-4FEF-4715-8C6A-15F4CBFCA3FD}" id="{41BC8CF4-34B4-4D1A-82D0-28003B36EE4A}">
    <text>## JAVIER
 Recordatorio diario: commit y actualizar JIRA / EXCEL (Sino funciona el JIRA dejar comentario con el avance)
Tareas planificadas:
 - v2.5.1.0: [49490] Servicio detalle respuestas trae más preguntas
Backlog:
 - Preguntar a Emilio para explicacion DT y DL
 - v2.5.1.0: [44810] No visualizar decimales en según que datos vitales &gt; DT y DL
 - v2.5.1.0: [44480] Cambiar el nombre de Gamificación &gt; DT y DL
 - v2.5.1.0: [48432] Servicio para mostrar resultados de gamificaciones (Trivia salud) &gt; DT y DL
 - v2.5.1.0: [44797] Back. Añadir gamificaciones en la APP - Paciente &gt; DT y DL y DOC API REST
 - Configurar workspace de informes
- Requisitos de Auditoria de Seguridad
 - Responsive completo de remote
Siguiente:
 - v2.5.1.1: Correctivos
 - Correctivo video descarga archivos y si es posible toggle micro (maximo 2 dias)
 - v2.5.2: Evolutivos</text>
  </threadedComment>
  <threadedComment ref="CX10" dT="2021-07-01T14:37:26.42" personId="{BD1330D9-4FEF-4715-8C6A-15F4CBFCA3FD}" id="{0B635C2D-CEE7-429B-9E21-F3B9AE9FC94A}" parentId="{41BC8CF4-34B4-4D1A-82D0-28003B36EE4A}">
    <text>Avance:
-----------------------------------
- v2.5.1.0: [49490] Servicio detalle respuestas trae más preguntas
&gt; realizado
- v2.5.1.0: [48432] Servicio para mostrar resultados de gamificaciones (Trivia salud) &gt; DT y DL
&gt; realizado doc
- Preguntar a Emilio para explicacion DT y DL
&gt; Avanzado en preparar entorno i2cat</text>
  </threadedComment>
  <threadedComment ref="CY10" dT="2021-07-01T14:35:43.33" personId="{BD1330D9-4FEF-4715-8C6A-15F4CBFCA3FD}" id="{A970B651-868B-4FF6-AD52-AD30784B4534}">
    <text>## JAVIER
Recordatorio diario: 
- Actualizar JIRA / EXCEL (Sino funciona el JIRA dejar comentario con el avance)
Tareas planificadas:
- v2.5.1.0: [44797] Back. Añadir gamificaciones en la APP - Paciente &gt; DT y DL y DOC API REST
- v2.5.1.0: [44810] No visualizar decimales en según que datos vitales &gt; DT y DL
- v2.5.1.0: [44480] Cambiar el nombre de Gamificación &gt; DT y DL
- v2.5.1.1: [49403] Si hay un apóstrofe en el chat 1:1 no se visualiza el mensaje (NO SUBIR AL TRUNK)
Siguiente:
- v2.5.1.1: Correctivos
- video v2.17.X: [48719] iOS. Problemas funcionamiento compartir documentos en APP chat i2Cat
- Correctivo video descarga archivos y si es posible toggle micro (maximo 2 dias)
- v2.5.2: Evolutivos
Backlog:
- Configurar workspace de informes</text>
  </threadedComment>
  <threadedComment ref="CY10" dT="2021-07-02T13:39:30.23" personId="{BD1330D9-4FEF-4715-8C6A-15F4CBFCA3FD}" id="{B6606969-4E69-4041-A017-C069F3549E2F}" parentId="{A970B651-868B-4FF6-AD52-AD30784B4534}">
    <text>Avance:
-----------------------------------
- v2.5.1.0: [44797] Back. Añadir gamificaciones en la APP - Paciente &gt; DT y DL y DOC API REST
- v2.5.1.0: [44810] No visualizar decimales en según que datos vitales &gt; DT y DL
- v2.5.1.0: [44480] Cambiar el nombre de Gamificación &gt; DT y DL</text>
  </threadedComment>
  <threadedComment ref="CZ10" dT="2021-07-02T13:38:31.48" personId="{BD1330D9-4FEF-4715-8C6A-15F4CBFCA3FD}" id="{626CEC62-7FF2-4923-B665-3EBD8ADEC40D}">
    <text>## JAVIER
Recordatorio diario: 
- Actualizar JIRA / EXCEL (Sino funciona el JIRA dejar comentario con el avance)
Tareas planificadas:
- Subir DTs a TEAMS y JIRA
- v2.5.1.0: [44004] OTG-AUTHN-007 Prueba sobre la política de contraseñas &gt; DT y DL
- v2.5.1.1: [49403] Si hay un apóstrofe en el chat 1:1 no se visualiza el mensaje (NO SUBIR AL TRUNK)
Siguiente:
- v2.5.1.1: Correctivos
- video v2.17.X: [48719] iOS. Problemas funcionamiento compartir documentos en APP chat i2Cat
- Correctivo video descarga archivos y si es posible toggle micro (maximo 2 dias)
- v2.5.2: Evolutivos
Backlog:
- Configurar workspace de informes</text>
  </threadedComment>
  <threadedComment ref="CZ10" dT="2021-07-05T14:54:00.94" personId="{BD1330D9-4FEF-4715-8C6A-15F4CBFCA3FD}" id="{4D4CD453-CAF6-45EC-B33A-00CC3FB576BC}" parentId="{626CEC62-7FF2-4923-B665-3EBD8ADEC40D}">
    <text>Avance:
-----------------------------------
- v2.5.1.1: [49403] Si hay un apóstrofe en el chat 1:1 no se visualiza el mensaje (NO SUBIR AL TRUNK)
&gt; avanzando con problemas por bloqueo JSON FIREBASE
- v2.5.1.1: [47878] Tamaño video 1:1 (NO SUBIR AL TRUNK)
&gt; avanzando con problemas por bloqueo JSON FIREBASE
- Subir DTs a TEAMS y JIRA
- v2.5.1.0: [44004] OTG-AUTHN-007 Prueba sobre la política de contraseñas &gt; DT y DL
&gt; realizado</text>
  </threadedComment>
  <threadedComment ref="DC10" dT="2021-07-05T14:53:20.44" personId="{BD1330D9-4FEF-4715-8C6A-15F4CBFCA3FD}" id="{AFC71BD6-DEB9-4749-A0DE-44702DFD97A0}">
    <text>## JAVIER
Recordatorio diario: 
- Actualizar JIRA / EXCEL 
Tareas planificadas:
- v2.5.1.0: [48432] Servicio para mostrar resultados de gamificaciones (Trivia salud) &gt; actualizar Excel Validaciones Desarrollador
- v2.5.1.0: [44797] Back. Añadir gamificaciones en la APP - Paciente &gt; DOC API REST
- v2.5.1.1: [49403] Si hay un apóstrofe en el chat 1:1 no se visualiza el mensaje (SUBIR A RAMA MANTENIMIENTO)
- v2.5.1.1: [47878] Tamaño video 1:1 (SUBIR A RAMA MANTENIMIENTO)
- SUBIR A RAMA MANTENIMIENTO:
https://umane.everis.com/svn/EHCOSPROD/RemoteHS/versiones_remote/2.5.1/codigo_fuente/remotehs
Siguiente:
- v2.5.1.1: Correctivos
- video v2.17.X: [48719] iOS. Problemas funcionamiento compartir documentos en APP chat i2Cat
- Correctivo video descarga archivos y si es posible toggle micro (maximo 2 dias)
- v2.5.2.0: [48075] [Desarrollo] Control de licencias on-premise &gt; desarrollo
- v2.5.2: Evolutivos
- v2.5.2.0: [45931] Integración Remote - EMPI &gt; desarrollo de pantallas
Backlog:
- Configurar workspace de informes</text>
  </threadedComment>
  <threadedComment ref="DC10" dT="2021-07-06T15:03:26.77" personId="{BD1330D9-4FEF-4715-8C6A-15F4CBFCA3FD}" id="{6755EDBE-2A6D-4DBC-BEE5-6AC8F9B4035D}" parentId="{AFC71BD6-DEB9-4749-A0DE-44702DFD97A0}">
    <text>Avance:
-----------------------------------
- v2.5.1.1: [47878] Tamaño video 1:1 (SUBIR A RAMA MANTENIMIENTO)
&gt; realizado
- v2.5.1.0: [48432] Servicio para mostrar resultados de gamificaciones (Trivia salud) &gt; actualizar Excel Validaciones Desarrollador
&gt; realizado
- v2.5.1.0: [44797] Back. Añadir gamificaciones en la APP - Paciente &gt; DOC API REST
&gt; realizado
- v2.5.1.1: [49403] Si hay un apóstrofe en el chat 1:1 no se visualiza el mensaje (SUBIR A RAMA MANTENIMIENTO)
&gt; dudas por error en comentario de jira</text>
  </threadedComment>
  <threadedComment ref="DD10" dT="2021-07-06T15:03:16.68" personId="{BD1330D9-4FEF-4715-8C6A-15F4CBFCA3FD}" id="{813E4094-1437-4E14-AB34-E1A13445C411}">
    <text>## JAVIER
Recordatorio diario: 
- Actualizar JIRA / EXCEL 
Tareas planificadas:
- v2.5.1.1: [49403] Si hay un apóstrofe en el chat 1:1 no se visualiza el mensaje (SUBIR A RAMA MANTENIMIENTO)
- v2.5.1.1: [49924] error labels entidades con Informes desactivados (SUBIR A RAMA MANTENIMIENTO)
Siguiente:
- v2.5.1.1: Correctivos
- video v2.17.X: [48719] iOS. Problemas funcionamiento compartir documentos en APP chat i2Cat
- Correctivo video descarga archivos y si es posible toggle micro (maximo 2 dias)
- v2.5.2.0: [48075] [Desarrollo] Control de licencias on-premise &gt; desarrollo
- v2.5.2: Evolutivos
- v2.5.2.0: [45931] Integración Remote - EMPI &gt; desarrollo de pantallas
Backlog:
- Configurar workspace de informes</text>
  </threadedComment>
  <threadedComment ref="DD10" dT="2021-07-08T09:16:21.65" personId="{BD1330D9-4FEF-4715-8C6A-15F4CBFCA3FD}" id="{38BE928A-A122-4579-B35B-1F7000E812D5}" parentId="{813E4094-1437-4E14-AB34-E1A13445C411}">
    <text>Avance:
-----------------------------------
- v2.5.1.1: [49403] Si hay un apóstrofe en el chat 1:1 no se visualiza el mensaje (SUBIR A RAMA MANTENIMIENTO)
&gt; realizado
- v2.5.1.1: [49924] error labels entidades con Informes desactivados (SUBIR A RAMA MANTENIMIENTO)
&gt; realizado</text>
  </threadedComment>
  <threadedComment ref="DE10" dT="2021-07-08T09:14:05.52" personId="{BD1330D9-4FEF-4715-8C6A-15F4CBFCA3FD}" id="{3578A84E-B916-4236-BD69-1D5969BF70C2}">
    <text>## JAVIER
Recordatorio diario: 
- Actualizar JIRA / EXCEL 
Tareas planificadas:
- video v2.17.X: [48719] iOS. Problemas funcionamiento compartir documentos en APP chat i2Cat
Siguiente:
- v2.5.1.1: Correctivos
- Correctivo video descarga archivos y si es posible toggle micro (maximo 2 dias)
- v2.5.2: Evolutivos
- v2.5.2.0: [45931] Integración Remote - EMPI &gt; desarrollo de pantallas
Backlog:
- Configurar workspace de informes</text>
  </threadedComment>
  <threadedComment ref="DE10" dT="2021-07-08T14:37:41.51" personId="{BD1330D9-4FEF-4715-8C6A-15F4CBFCA3FD}" id="{B0D6AF7D-A114-4369-BC04-F6BB243B809D}" parentId="{3578A84E-B916-4236-BD69-1D5969BF70C2}">
    <text>Avance:
-----------------------------------
- video v2.17.X: [48719] iOS. Problemas funcionamiento compartir documentos en APP chat i2Cat
&gt; empezando con problema en local para el envio de mensajes en local.
&gt; ausencia: mañana por renovar dni</text>
  </threadedComment>
  <threadedComment ref="DF10" dT="2021-07-08T14:37:21.55" personId="{BD1330D9-4FEF-4715-8C6A-15F4CBFCA3FD}" id="{64487E26-7EB8-44D5-94EB-15DBFE2ED4BC}">
    <text xml:space="preserve">## JAVIER
Recordatorio diario: 
- Actualizar JIRA / EXCEL 
Tareas planificadas:
- video v2.17.X: [48719] iOS. Problemas funcionamiento compartir documentos en APP chat i2Cat
- Revisar videos de formacion de i2cat
Dudas:
- Preguntar a referente de angular
- Curso de angular
Siguiente:
- v2.5.1.1: Correctivos
- Correctivo video descarga archivos y si es posible toggle micro (maximo 2 dias)
- v2.5.2: Evolutivos
- v2.5.2.0: [45931] Integración Remote - EMPI &gt; desarrollo de pantallas
Backlog:
- Configurar workspace de informes
</text>
  </threadedComment>
  <threadedComment ref="DF10" dT="2021-07-12T14:48:09.06" personId="{BD1330D9-4FEF-4715-8C6A-15F4CBFCA3FD}" id="{4B397E3C-0113-4CE4-85E9-9ADB0459D595}" parentId="{64487E26-7EB8-44D5-94EB-15DBFE2ED4BC}">
    <text xml:space="preserve">Avance:
-----------------------------------
- video v2.17.X: [48719] iOS. Problemas funcionamiento compartir documentos en APP chat i2Cat
&gt; Bloqueado con problemas en local con el chat
- Preguntar a referente de angular
- Revisar videos de formacion de i2cat &gt; https://everisgroup.sharepoint.com/:f:/s/ehCOSPRM/EtKzy6_xLNRAsrm0Y0pcDWsBHd6a00LbrcUJZ8UpgkMUWA?e=pSDYWZ
</text>
  </threadedComment>
  <threadedComment ref="DG10" dT="2021-07-12T14:47:17.61" personId="{BD1330D9-4FEF-4715-8C6A-15F4CBFCA3FD}" id="{6105B2D0-7EF9-4D38-9211-DA9680AEB882}">
    <text>## JAVIER
Recordatorio diario: 
- Actualizar JIRA / EXCEL 
Tareas planificadas:
- video v2.17.X: [48719] iOS. Problemas funcionamiento compartir documentos en APP chat i2Cat &gt; realizar cambios a ciegas
- v2.5.2.0: [45931] Integración Remote - EMPI &gt; desarrollo de pantallas busqueda de creacion / modificacion
Dudas:
- Curso de angular
Siguiente:
Backlog:
- v2.5.1.1: Correctivos
- v2.5.2: Evolutivos
- Configurar workspace de informes</text>
  </threadedComment>
  <threadedComment ref="DG10" dT="2021-07-12T14:48:12.54" personId="{BD1330D9-4FEF-4715-8C6A-15F4CBFCA3FD}" id="{5AC59858-E34D-4FA0-8BB2-FB79C161F483}" parentId="{6105B2D0-7EF9-4D38-9211-DA9680AEB882}">
    <text>Avance:
-----------------------------------
- v2.5.1.1: Correctivos &gt; realizados por cambio de prioridad
- v2.5.1.1: [47878] Tamaño video 1:1
- v2.5.1.1: [49924] error labels entidades con Informes desactivados</text>
  </threadedComment>
  <threadedComment ref="DJ10" dT="2021-07-12T14:47:13.78" personId="{BD1330D9-4FEF-4715-8C6A-15F4CBFCA3FD}" id="{047AE3F1-B2B9-426C-B80A-FBE460B09515}">
    <text>## JAVIER
Recordatorio diario: 
- Actualizar JIRA / EXCEL 
Tareas planificadas:
- video v2.17.X: [48719] iOS. Problemas funcionamiento compartir documentos en APP chat i2Cat &gt; realizar cambios a ciegas
- v2.5.2.0: [45931] Integración Remote - EMPI &gt; desarrollo de pantallas busqueda de creacion / modificacion
Dudas:
- Curso de angular
Siguiente:
Backlog:
- v2.5.1.1: Correctivos
- v2.5.2: Evolutivos
- Configurar workspace de informes</text>
  </threadedComment>
  <threadedComment ref="DJ10" dT="2021-07-13T15:08:18.60" personId="{BD1330D9-4FEF-4715-8C6A-15F4CBFCA3FD}" id="{3A15C453-D909-47B6-B3B5-B52EDDD5C364}" parentId="{047AE3F1-B2B9-426C-B80A-FBE460B09515}">
    <text>Avance:
-----------------------------------
- video v2.17.X: [48719] iOS. Problemas funcionamiento compartir documentos en APP chat i2Cat &gt; realizar cambios a ciegas y desplegar en video PRE
&gt; Se realizo pero no ha funcionado la solucion, se retrocede.
- v2.5.2.0: [45931] Integración Remote - EMPI &gt; desarrollo de pantallas busqueda de creacion / modificacion
&gt; revisando dt y df
- Soporte nuevos compañeros </text>
  </threadedComment>
  <threadedComment ref="DK10" dT="2021-07-13T15:07:50.41" personId="{BD1330D9-4FEF-4715-8C6A-15F4CBFCA3FD}" id="{733B17D9-A14F-44C2-BC75-4A7060768099}">
    <text>## JAVIER
Recordatorio diario: 
- Actualizar JIRA / EXCEL 
Tareas planificadas:
&gt; desplegar en PRE VIDEO sin cambios
- v2.5.2.0: [50223] UI para búsqueda de pacientes en EMPI (creación/modificación de pacientes)
Siguiente:
Backlog:
- v2.5.1.1: Correctivos
- v2.5.2: Evolutivos
- Configurar workspace de informes
- Curso de angular</text>
  </threadedComment>
  <threadedComment ref="DK10" dT="2021-07-14T15:56:41.23" personId="{BD1330D9-4FEF-4715-8C6A-15F4CBFCA3FD}" id="{74727C6A-9836-42EA-8B39-D29EDDC4C271}" parentId="{733B17D9-A14F-44C2-BC75-4A7060768099}">
    <text>Avance:
-----------------------------------
&gt; desplegar en PRE VIDEO retrocediendo version
- v2.5.2.0: [50223] UI para búsqueda de pacientes en EMPI (creación/modificación de pacientes)
&gt; avanzando 
- Soporte a los compañeros</text>
  </threadedComment>
  <threadedComment ref="DL10" dT="2021-07-14T15:55:01.03" personId="{BD1330D9-4FEF-4715-8C6A-15F4CBFCA3FD}" id="{A373C851-A712-4131-B717-481BD357C7FB}">
    <text xml:space="preserve">## JAVIER
Recordatorio diario: 
- Actualizar JIRA / EXCEL 
Tareas planificadas:
&gt; desplegar en PRE VIDEO sin cambios
- v2.5.2.0: [50223] UI para búsqueda de pacientes en EMPI (creación/modificación de pacientes)
Siguiente:
Backlog:
- v2.5.1.1: Correctivos
- v2.5.2: Evolutivos
- Configurar workspace de informes
- Curso de angular
</text>
  </threadedComment>
  <threadedComment ref="DL10" dT="2021-07-15T15:50:01.91" personId="{BD1330D9-4FEF-4715-8C6A-15F4CBFCA3FD}" id="{A1468433-F1B4-4B76-9354-FC8AD7EC6695}" parentId="{A373C851-A712-4131-B717-481BD357C7FB}">
    <text xml:space="preserve">
Avance:
-----------------------------------
- v2.5.2.0: [50223] UI para búsqueda de pacientes en EMPI (creación/modificación de pacientes)
&gt; cambiada de estado a en progreso y actualizado restante en JIRA
- Soporte a los compañeros</text>
  </threadedComment>
  <threadedComment ref="DM10" dT="2021-07-15T15:48:26.94" personId="{BD1330D9-4FEF-4715-8C6A-15F4CBFCA3FD}" id="{2118FA03-911E-49A9-B8BA-35B3C1E5315D}">
    <text>## JAVIER
Recordatorio diario: 
- Actualizar JIRA / EXCEL 
Tareas planificadas:
- v2.5.2.0: [50223] UI para búsqueda de pacientes en EMPI (creación/modificación de pacientes)
- Preguntar dudas a Hector Peris Gimeno 
Siguiente:
- v2.5.2.0: [50225] UI desarrollo en Perfil 360 para que muestre aviso a los pacientes sin acceso
- v2.5.2.0: [50226] UI Gestión de entidades (EMPI activo/inactivo, etc.)
Backlog:
- v2.5.1.1: Correctivos
- v2.5.2: Evolutivos
- Configurar workspace de informes
- Curso de angular</text>
  </threadedComment>
  <threadedComment ref="DQ10" dT="2021-07-23T08:38:50.69" personId="{BD1330D9-4FEF-4715-8C6A-15F4CBFCA3FD}" id="{A8B092A2-4A3D-4497-BE33-3E8E579831C5}">
    <text>## JAVIER
Tareas planificadas:
- v2.5.2.0: [50223] UI para búsqueda de pacientes en EMPI (creación/modificación de pacientes)
Siguiente:
- [50617]: Error nullpointer al generar video
- [49618]: pendiente de análisis. Iniciar desarrollo el miércoles 21/07
Backlog:
- Configurar workspace de informes
- Curso de angular</text>
  </threadedComment>
  <threadedComment ref="DR10" dT="2021-07-23T08:38:54.94" personId="{BD1330D9-4FEF-4715-8C6A-15F4CBFCA3FD}" id="{4774DD5D-5054-4804-93A7-AD4AAE9EEEB3}">
    <text>## JAVIER
Tareas planificadas:
- v2.5.2.0: [50223] UI para búsqueda de pacientes en EMPI (creación/modificación de pacientes)
Siguiente:
- [50617]: Error nullpointer al generar video
- [49618]: pendiente de análisis. Iniciar desarrollo el miércoles 21/07
Backlog:
- Configurar workspace de informes
- Curso de angular</text>
  </threadedComment>
  <threadedComment ref="DS10" dT="2021-07-23T08:38:58.70" personId="{BD1330D9-4FEF-4715-8C6A-15F4CBFCA3FD}" id="{8AC3EBE0-D827-45AC-A3B5-B690815C7D38}">
    <text>## JAVIER
Tareas planificadas:
- v2.5.2.0: [50223] UI para búsqueda de pacientes en EMPI (creación/modificación de pacientes)
Siguiente:
- [50617]: Error nullpointer al generar video
- [49618]: pendiente de análisis. Iniciar desarrollo el miércoles 21/07
Backlog:
- Configurar workspace de informes
- Curso de angular</text>
  </threadedComment>
  <threadedComment ref="DS10" dT="2021-07-23T08:39:18.91" personId="{BD1330D9-4FEF-4715-8C6A-15F4CBFCA3FD}" id="{2D2F8994-5165-4857-AEC8-516BECF29AF8}" parentId="{8AC3EBE0-D827-45AC-A3B5-B690815C7D38}">
    <text>Avance:
-----------------------------------
- v2.5.2.0: [50223] UI para búsqueda de pacientes en EMPI (creación/modificación de pacientes)
&gt; bloqueado por desarrollo relacionado pendiente
- v2.5.2.0: [50603] Agregar validación perfil paciente
- v2.5.2.0: [50226] UI Gestión de entidades (EMPI activo/inactivo, etc.) &gt; se desestima</text>
  </threadedComment>
  <threadedComment ref="DT10" dT="2021-07-23T08:39:02.48" personId="{BD1330D9-4FEF-4715-8C6A-15F4CBFCA3FD}" id="{62C34E72-4ABB-4575-94F6-B5D2F64C6ED3}">
    <text>## JAVIER
Tareas planificadas:
- v2.5.2.0: [50223] UI para búsqueda de pacientes en EMPI (creación/modificación de pacientes)
Siguiente:
- [50617]: Error nullpointer al generar video
- [49618]: pendiente de análisis. Iniciar desarrollo el miércoles 21/07
Backlog:
- Configurar workspace de informes
- Curso de angular</text>
  </threadedComment>
  <threadedComment ref="DT10" dT="2021-07-26T14:35:17.97" personId="{BD1330D9-4FEF-4715-8C6A-15F4CBFCA3FD}" id="{5287DA49-8B73-4B28-84B9-DA6130456FC5}" parentId="{62C34E72-4ABB-4575-94F6-B5D2F64C6ED3}">
    <text>Avance:
-----------------------------------
- v2.5.2.0: [50223] UI para búsqueda de pacientes en EMPI (creación/modificación de pacientes)
&gt; bloquedado en espera de una reunion para la busqueda de empi
- v2.5.2.0: [50617]: Error nullpointer al generar video
&gt; realizada
&gt; Soporte a compañeros</text>
  </threadedComment>
  <threadedComment ref="DU10" dT="2021-07-26T14:33:30.91" personId="{BD1330D9-4FEF-4715-8C6A-15F4CBFCA3FD}" id="{93ECD306-846C-4B36-8CA0-7A59CB4775D9}">
    <text>## JAVIER
Tareas planificadas:
- v2.5.2.0: [50223] UI para búsqueda de pacientes en EMPI (creación/modificación de pacientes)
Siguiente:
- v2.5.2.0: [49610] Integración EMPI - No permitir modificar datos al paciente
- v2.5.2.0: [49618] Error chat web-web en grupos &gt; revisada en espera de DF
Backlog:
- Configurar workspace de informes
- Curso de angular</text>
  </threadedComment>
  <threadedComment ref="DU10" dT="2021-07-26T14:35:31.19" personId="{BD1330D9-4FEF-4715-8C6A-15F4CBFCA3FD}" id="{3A9BF36F-6CDC-4E5B-8282-30E4F4B468C9}" parentId="{93ECD306-846C-4B36-8CA0-7A59CB4775D9}">
    <text>Avance:
-----------------------------------
- v2.5.2.0: [50223] UI para búsqueda de pacientes en EMPI (creación/modificación de pacientes)
&gt; reunion con hector para demo de busqueda y problemas con la configuracion de EMPI QA
&gt; problemas con eclipse para las dependencias de jrebel
&gt; termina hoy</text>
  </threadedComment>
  <threadedComment ref="DX10" dT="2021-07-26T14:33:34.49" personId="{BD1330D9-4FEF-4715-8C6A-15F4CBFCA3FD}" id="{297D0B6B-D64A-4BCB-85E5-43F46EC4E65A}">
    <text>## JAVIER
Tareas planificadas:
- v2.5.2.0: [50223] UI para búsqueda de pacientes en EMPI (creación/modificación de pacientes)
Siguiente:
- v2.5.2.0: [49610] Integración EMPI - No permitir modificar datos al paciente
- v2.5.2.0: [49618] Error chat web-web en grupos &gt; revisada en espera de DF
Backlog:
- Configurar workspace de informes
- Curso de angular</text>
  </threadedComment>
  <threadedComment ref="DX10" dT="2021-07-27T17:07:28.30" personId="{BD1330D9-4FEF-4715-8C6A-15F4CBFCA3FD}" id="{6FEC7016-5E06-429F-8E16-B1C90CDE3409}" parentId="{297D0B6B-D64A-4BCB-85E5-43F46EC4E65A}">
    <text>Avance:
-----------------------------------
- v2.5.2.0: [50223] UI para búsqueda de pacientes en EMPI (creación/modificación de pacientes) &gt; fin:26/07
&gt; bloqueado por empi apagado, consultado dudas con hector
- v2.5.2.0: [50717] UI. Botón Añadir
&gt; realizado
- v2.5.2.0: [49610] Integración EMPI - No permitir modificar datos al paciente
&gt; avanzando</text>
  </threadedComment>
  <threadedComment ref="DY10" dT="2021-07-27T17:07:09.69" personId="{BD1330D9-4FEF-4715-8C6A-15F4CBFCA3FD}" id="{25196DBB-A831-47F5-866A-C0F433AF4999}">
    <text>## JAVIER
Tareas planificadas:
- v2.5.2.0: [49610] Integración EMPI - No permitir modificar datos al paciente
Siguiente:
- v2.5.2.0: [50223] UI para búsqueda de pacientes en EMPI (creación/modificación de pacientes) &gt; fin:26/07
Backlog:
- Configurar workspace de informes
- Curso de angular</text>
  </threadedComment>
  <threadedComment ref="DY10" dT="2021-07-29T16:08:37.66" personId="{BD1330D9-4FEF-4715-8C6A-15F4CBFCA3FD}" id="{7F5924D3-866F-48CD-BD12-532693B7687E}" parentId="{25196DBB-A831-47F5-866A-C0F433AF4999}">
    <text>Avance:
-----------------------------------
- v2.5.2.0: [49610] Integración EMPI - No permitir modificar datos al paciente
&gt; realizado
- v2.5.2.0: [50223] UI para búsqueda de pacientes en EMPI (creación/modificación de pacientes) &gt; fin:26/07
&gt; avanzando con la busqueda</text>
  </threadedComment>
  <threadedComment ref="DZ10" dT="2021-07-28T14:51:58.11" personId="{BD1330D9-4FEF-4715-8C6A-15F4CBFCA3FD}" id="{8B2E206F-659D-472C-AD66-8E371AC5224A}">
    <text>## JAVIER
Tareas planificadas:
- v2.5.2.0: [50223] UI para búsqueda de pacientes en EMPI (creación/modificación de pacientes) &gt; fin:26/07
Siguiente:
- v2.5.2.0: [50803] UI Filtros búsqueda
- v2.5.2.0: [50799] UI acción Sincronizar si el paciente no existe en EMPI
- v2.5.2.0: [50800] UI acción Eliminar si el paciente existe en EMPI
Backlog:
- Configurar workspace de informes
- Curso de angular</text>
  </threadedComment>
  <threadedComment ref="DZ10" dT="2021-07-28T14:52:18.70" personId="{BD1330D9-4FEF-4715-8C6A-15F4CBFCA3FD}" id="{5B3C3336-6635-4B37-A6BD-84EA4760B74E}" parentId="{8B2E206F-659D-472C-AD66-8E371AC5224A}">
    <text>Avance:
-----------------------------------
- v2.5.2.0: [50223] UI para búsqueda de pacientes en EMPI (creación/modificación de pacientes)
&gt; bloqueado, se revisaran las dudas para terminar hoy
- v2.5.2.0: [50803] UI Filtros búsqueda
&gt; avanzando
&gt; Problemas con el pc
&gt; Soporte compañeros</text>
  </threadedComment>
  <threadedComment ref="EA10" dT="2021-07-29T16:07:08.64" personId="{BD1330D9-4FEF-4715-8C6A-15F4CBFCA3FD}" id="{25AAE538-C541-40FD-9339-9CA4E46D62B5}">
    <text>## JAVIER [~jparedma]
Tareas planificadas:
- v2.5.2.0: [50223] UI para búsqueda de pacientes en EMPI (creación/modificación de pacientes)
Siguiente:
- v2.5.2.0: [50803] UI Filtros búsqueda
- v2.5.2.0: [50799] UI acción Sincronizar si el paciente no existe en EMPI
Backlog:
- Configurar workspace de informes
- Curso de angular</text>
  </threadedComment>
  <threadedComment ref="EB10" dT="2021-07-30T14:34:54.93" personId="{BD1330D9-4FEF-4715-8C6A-15F4CBFCA3FD}" id="{95D9EE36-3705-4B57-8360-D37BACA046CA}">
    <text>## JAVIER [~jparedma]
Tareas planificadas:
- v2.5.2.0: [50223] UI para búsqueda de pacientes en EMPI (creación/modificación de pacientes) &gt; fin:02/08
Siguiente:
- v2.5.2.0: [50803] UI Filtros búsqueda
- v2.5.2.0: [50799] UI acción Sincronizar si el paciente no existe en EMPI
Backlog:
- Configurar workspace de informes
- Curso de angular</text>
  </threadedComment>
  <threadedComment ref="EB10" dT="2021-07-30T14:35:09.47" personId="{BD1330D9-4FEF-4715-8C6A-15F4CBFCA3FD}" id="{67055AF7-B820-4DB8-9AC1-DAF869039A2E}" parentId="{95D9EE36-3705-4B57-8360-D37BACA046CA}">
    <text xml:space="preserve">Avance:
-----------------------------------
- v2.5.2.0: [50223] UI para búsqueda de pacientes en EMPI (creación/modificación de pacientes) &gt; fin:02/08
&gt; realizado en los campos obligatorios para empi, avanzando crear paciente en remote
</text>
  </threadedComment>
  <threadedComment ref="EB10" dT="2021-08-02T15:26:57.18" personId="{BD1330D9-4FEF-4715-8C6A-15F4CBFCA3FD}" id="{9E5AABBD-86B6-4768-8761-417A5EFC02CF}" parentId="{95D9EE36-3705-4B57-8360-D37BACA046CA}">
    <text>Avance:
-----------------------------------
- v2.5.2.0: [50223] UI para búsqueda de pacientes en EMPI (creación/modificación de pacientes) &gt; fin:02/08
&gt; casi terminado a falta de pruebas por falta de OID
&gt; falta la busqueda solo funciona por DNI</text>
  </threadedComment>
  <threadedComment ref="EE10" dT="2021-08-02T15:27:05.09" personId="{BD1330D9-4FEF-4715-8C6A-15F4CBFCA3FD}" id="{D2418E64-2249-4B3F-92B9-C1B600B2FBA8}">
    <text>## JAVIER [~jparedma]
Tareas planificadas:
- v2.5.2.0: [50223] UI para búsqueda de pacientes en EMPI (creación/modificación de pacientes) &gt; fin:02/08
Siguiente:
- v2.5.2.0: [50799] UI acción Sincronizar si el paciente no existe en EMPI
- v2.5.2.0: [50905] Completar servicio para notificaciones de EMPI
Backlog:
- v2.5.2.1: [50803] UI Filtros búsqueda
- v2.5.3: Evolutivos Planes de contacto asignacion de cuestionarios
- Configurar workspace de informes
- Curso de angular</text>
  </threadedComment>
  <threadedComment ref="EE10" dT="2021-08-03T14:42:36.12" personId="{BD1330D9-4FEF-4715-8C6A-15F4CBFCA3FD}" id="{69D012AE-2395-46A9-9397-6D32811E49B7}" parentId="{D2418E64-2249-4B3F-92B9-C1B600B2FBA8}">
    <text xml:space="preserve">Avance:
-----------------------------------
- v2.5.2.0: [50223] UI para búsqueda de pacientes en EMPI (creación/modificación de pacientes) &gt; fin:02/08
&gt; terminada
- v2.5.2.0: [50799] UI acción Sincronizar si el paciente no existe en EMPI
&gt; Avanzando con dudas esperando correo con solucion de hector.
- v2.5.2.0: [50905] Completar servicio para notificaciones de EMPI
&gt; Avanzando
</text>
  </threadedComment>
  <threadedComment ref="EF10" dT="2021-08-03T14:42:22.71" personId="{BD1330D9-4FEF-4715-8C6A-15F4CBFCA3FD}" id="{D2EEC561-7564-4453-9784-781D931B1A25}">
    <text>## JAVIER [~jparedma]
Tareas planificadas:
- v2.5.2.0: [50799] UI acción Sincronizar si el paciente no existe en EMPI
Siguiente:
- v2.5.2.0: [50905] Completar servicio para notificaciones de EMPI
Backlog:
- v2.5.2.1: [50803] UI Filtros búsqueda
- v2.5.3: Evolutivos Planes de contacto asignacion de cuestionarios
- Configurar workspace de informes
- Curso de angular</text>
  </threadedComment>
  <threadedComment ref="EF10" dT="2021-08-05T08:12:39.78" personId="{BD1330D9-4FEF-4715-8C6A-15F4CBFCA3FD}" id="{C4169B3D-3D25-452B-84E9-CE05B15E4BEF}" parentId="{D2EEC561-7564-4453-9784-781D931B1A25}">
    <text xml:space="preserve">Avance:
-----------------------------------
- v2.5.2.0: [50799] UI acción Sincronizar si el paciente no existe en EMPI
&gt; Se avanzo parcialmente, reunio con hector para desplegar en QA, pero hubo bloqueos con un servicio de hector que no compilaba.
&gt; ¿se esta realizando un sobreesfuerzo se podra compensar?
</text>
  </threadedComment>
  <threadedComment ref="EG10" dT="2021-08-05T08:12:19.52" personId="{BD1330D9-4FEF-4715-8C6A-15F4CBFCA3FD}" id="{ADBB78EC-555A-4044-8C75-370F1A2E055C}">
    <text>## JAVIER [~jparedma]
Tareas planificadas:
- v2.5.2.0: [50799] UI acción Sincronizar si el paciente no existe en EMPI
Siguiente:
- v2.5.2.0: [50905] Completar servicio para notificaciones de EMPI
- v2.5.2.0: [50994] Errores en el evolutivo - Integración Remote - EMPI
Backlog:
- v2.5.2.1: [50803] UI Filtros búsqueda
- v2.5.3: Evolutivos Planes de contacto asignacion de cuestionarios
- Configurar workspace de informes
- Curso de angular</text>
  </threadedComment>
  <threadedComment ref="EG10" dT="2021-08-05T15:21:40.83" personId="{BD1330D9-4FEF-4715-8C6A-15F4CBFCA3FD}" id="{7CA9A497-3CE2-4F26-AB97-856DBF894A2D}" parentId="{ADBB78EC-555A-4044-8C75-370F1A2E055C}">
    <text>Avance:
-----------------------------------
- v2.5.2.0: [50799] UI acción Sincronizar si el paciente no existe en EMPI
&gt; realizado y comiteado
- v2.5.2.0: [50905] Completar servicio para notificaciones de EMPI
&gt; avanzando y casi terminada</text>
  </threadedComment>
  <threadedComment ref="EH10" dT="2021-08-05T15:21:26.80" personId="{BD1330D9-4FEF-4715-8C6A-15F4CBFCA3FD}" id="{C94650E4-6856-467F-94AC-72EA0B406E01}">
    <text>## JAVIER [~jparedma]
Tareas planificadas:
- v2.5.2.0: [50905] Completar servicio para notificaciones de EMPI
&gt; merge al trunk y despliegue en QA avisar a Ricardo
Siguiente:
- v2.5.2.0: [50994] Errores en el evolutivo - Integración Remote - EMPI
- [50905] DT y DL
Backlog:
- v2.5.2.1: [50803] UI Filtros búsqueda
- v2.5.3: Evolutivos Planes de contacto asignacion de cuestionarios
- Configurar workspace de informes
- Curso de angular</text>
  </threadedComment>
  <threadedComment ref="EH10" dT="2021-08-06T15:05:00.56" personId="{BD1330D9-4FEF-4715-8C6A-15F4CBFCA3FD}" id="{94E14CFC-4133-41BF-AD29-C206C4C7F032}" parentId="{C94650E4-6856-467F-94AC-72EA0B406E01}">
    <text>Avance:
-----------------------------------
- v2.5.2.0: [50905] Completar servicio para notificaciones de EMPI
&gt; realizada
- v2.5.2.0: [50994] Errores en el evolutivo - Integración Remote - EMPI
&gt; avanzando
&gt; Soporte a Jose para explicarle EMPI
&gt; Soporte a Carlos con su jira</text>
  </threadedComment>
  <threadedComment ref="EI10" dT="2021-08-06T15:04:43.73" personId="{BD1330D9-4FEF-4715-8C6A-15F4CBFCA3FD}" id="{D99ACD53-34A6-4DB3-97D7-237912D8F16B}">
    <text>## JAVIER [~jparedma]
Tareas planificadas:
- v2.5.2.0: [50905] Completar servicio para notificaciones de EMPI
&gt; merge al trunk y despliegue en QA avisar a Ricardo
&gt; revisar comentarios y ajustes
- Revisar script: Covid_2.5.2\01_schema\006 - EHCOSPROD-50223.sql
- Revisar script: Covid_2.5.2\01_schema\009 - EHCOSPROD-50779.sql
Siguiente:
- v2.5.2.0: [50994] Errores en el evolutivo - Integración Remote - EMPI
- [50905] DT y DL
Backlog:
- v2.5.2.1: [50803] UI Filtros búsqueda
- v2.5.3: Evolutivos Planes de contacto asignacion de cuestionarios
- Configurar workspace de informes
- Curso de angular</text>
  </threadedComment>
  <threadedComment ref="EI10" dT="2021-08-09T14:25:31.54" personId="{BD1330D9-4FEF-4715-8C6A-15F4CBFCA3FD}" id="{FC77E1A6-2398-4D35-81A8-969265E4E81F}" parentId="{D99ACD53-34A6-4DB3-97D7-237912D8F16B}">
    <text>Avance:
-----------------------------------
- v2.5.2.0: [50905] Completar servicio para notificaciones de EMPI
&gt; realizado sin completar merge por problemas
- Revisar script: Covid_2.5.2\01_schema\006 - EHCOSPROD-50223.sql
&gt; realizado
- Revisar script: Covid_2.5.2\01_schema\009 - EHCOSPROD-50779.sql
&gt; realizado
&gt; Soporte a Jose</text>
  </threadedComment>
  <threadedComment ref="EL10" dT="2021-08-09T14:25:14.06" personId="{BD1330D9-4FEF-4715-8C6A-15F4CBFCA3FD}" id="{E7FFB3DB-20CC-4FC7-BFC5-C68873D044E0}">
    <text>## JAVIER [~jparedma]
Tareas planificadas:
- v2.5.2.0: [51114] Incidencias EMPI
- v2.5.2.0: [51115] Correctivos EMPI
Siguiente:
- [50905] DT y DL
Backlog:
- v2.5.2.1: [50803] UI Filtros búsqueda
- v2.5.3: Evolutivos Planes de contacto asignacion de cuestionarios
- Configurar workspace de informes
- Curso de angular</text>
  </threadedComment>
  <threadedComment ref="EL10" dT="2021-08-12T08:59:23.08" personId="{BD1330D9-4FEF-4715-8C6A-15F4CBFCA3FD}" id="{B21CDB0A-B7DA-4E70-AA4F-77C4F3DE279A}" parentId="{E7FFB3DB-20CC-4FC7-BFC5-C68873D044E0}">
    <text>Avance:
-----------------------------------
- v2.5.2.0: [51114] Incidencias EMPI
&gt; avanzado
&gt; Problemas con las dependencias del TRUNK
&gt; Soporte a CARLOS.</text>
  </threadedComment>
  <threadedComment ref="EM10" dT="2021-08-10T16:15:10.92" personId="{BD1330D9-4FEF-4715-8C6A-15F4CBFCA3FD}" id="{E07251B5-1E3E-4AA2-A8AB-FF2061D748B0}">
    <text>## Javier [~jparedma]
Tareas planificadas:
- v2.5.2.0: [51114] Incidencias EMPI
- v2.5.2.0: [51115] Correctivos EMPI
- v2.5.2.0: [51172] Sincronizar con EMPI
Siguiente:
- [50905] DT y DL
Backlog:
- v2.5.2.1: [50803] UI Filtros búsqueda
- v2.5.3: Evolutivos Planes de contacto asignacion de cuestionarios
- Configurar workspace de informes
- Curso de angular</text>
  </threadedComment>
  <threadedComment ref="EM10" dT="2021-08-10T16:15:31.51" personId="{BD1330D9-4FEF-4715-8C6A-15F4CBFCA3FD}" id="{B53567A4-E584-444D-9324-947073337947}" parentId="{E07251B5-1E3E-4AA2-A8AB-FF2061D748B0}">
    <text>Avance:
-----------------------------------
- v2.5.2.0: [51114] Incidencias EMPI
&gt; avanzando casi terminado
- v2.5.2.0: [51115] Correctivos EMPI
&gt; avanzando casi terminado
- v2.5.2.0: [51172] Sincronizar con EMPI
&gt; avanzando
&gt; Soporte a Jose y Carlos</text>
  </threadedComment>
  <threadedComment ref="EN10" dT="2021-08-12T08:58:09.13" personId="{BD1330D9-4FEF-4715-8C6A-15F4CBFCA3FD}" id="{B2047231-9B47-448E-93E6-5612F4D49D57}">
    <text>## Javier [~jparedma]
Tareas planificadas:
- v2.5.2.0: [51114] Incidencias EMPI
- v2.5.2.0: [51115] Correctivos EMPI
- v2.5.2.0: [51172] Sincronizar con EMPI
Siguiente:
- [50905] DT y DL
Backlog:
- v2.5.2.1: [50803] UI Filtros búsqueda
- v2.5.3: Evolutivos Planes de contacto asignacion de cuestionarios
- Configurar workspace de informes
- Curso de angular</text>
  </threadedComment>
  <threadedComment ref="EN10" dT="2021-08-13T08:10:56.69" personId="{BD1330D9-4FEF-4715-8C6A-15F4CBFCA3FD}" id="{61B7D9A0-E9A2-4ED4-9CEF-86D343F938B4}" parentId="{B2047231-9B47-448E-93E6-5612F4D49D57}">
    <text>Avance:
-----------------------------------
- v2.5.2.0: [51114] Incidencias EMPI
&gt; realizado
- v2.5.2.0: [51115] Correctivos EMPI
&gt; realizado, pero devuelto puntos 1 y 2
- v2.5.2.0: [51172] Sincronizar con EMPI
&gt; realizado, pero devuelto punto 5 
&gt; Soporte a Jose</text>
  </threadedComment>
  <threadedComment ref="EO10" dT="2021-08-13T08:10:44.14" personId="{BD1330D9-4FEF-4715-8C6A-15F4CBFCA3FD}" id="{A926531E-C198-4F0B-AB8C-80895FC71C8C}">
    <text>## Javier [~jparedma]
Tareas planificadas:
- v2.5.2.0: [51115] Correctivos EMPI &gt; Devuelto puntos 1 y 2
- v2.5.2.0: [51172] Sincronizar con EMPI &gt; Punto 5 se devuelve
Siguiente:
- [50905] DT y DL
Backlog:
- v2.5.2.1: [50803] UI Filtros búsqueda
- v2.5.3: Evolutivos Planes de contacto asignacion de cuestionarios
- Configurar workspace de informes
- Curso de angular</text>
  </threadedComment>
  <threadedComment ref="EO10" dT="2021-08-13T15:00:11.02" personId="{BD1330D9-4FEF-4715-8C6A-15F4CBFCA3FD}" id="{CD13B642-27C4-4984-8A33-2FB6F49A606B}" parentId="{A926531E-C198-4F0B-AB8C-80895FC71C8C}">
    <text>Avance:
-----------------------------------
- v2.5.2.0: [51115] Correctivos EMPI 
&gt; realizado
- v2.5.2.0: [51172] Sincronizar con EMPI &gt; Punto 5 se devuelve
&gt; realizado
- v2.5.2.0: [51264] Incidencias EMPI
&gt; casi terminado
- v2.5.2.0: [51265] Búsqueda en EMPI. Error</text>
  </threadedComment>
  <threadedComment ref="EP10" dT="2021-08-13T15:00:20.12" personId="{BD1330D9-4FEF-4715-8C6A-15F4CBFCA3FD}" id="{E3833FCD-06B0-4E08-BD27-CA2BE21F1531}">
    <text>## Javier [~jparedma]
Tareas planificadas:
- v2.5.2.0: [51264] Incidencias EMPI
- v2.5.2.0: [51265] Búsqueda en EMPI. Error
- v2.5.2.0: [51346] Modificar ficha de usuario
Siguiente:
- [50905] DT y DL
Backlog:
- v2.5.2.1: [50803] UI Filtros búsqueda
- v2.5.3: Evolutivos Planes de contacto asignacion de cuestionarios
- Configurar workspace de informes
- Curso de angular</text>
  </threadedComment>
  <threadedComment ref="EP10" dT="2021-08-17T15:03:46.59" personId="{BD1330D9-4FEF-4715-8C6A-15F4CBFCA3FD}" id="{B540EA89-D765-43D0-AAC9-EC0DBDFD06FC}" parentId="{E3833FCD-06B0-4E08-BD27-CA2BE21F1531}">
    <text>Avance:
-----------------------------------
- v2.5.2.0: [51264] Incidencias EMPI
&gt; realizada
- v2.5.2.0: [51265] Búsqueda en EMPI. Error
&gt; realizada</text>
  </threadedComment>
  <threadedComment ref="EZ10" dT="2021-08-18T14:41:02.90" personId="{BD1330D9-4FEF-4715-8C6A-15F4CBFCA3FD}" id="{50E9C6D3-BD7D-433D-BF7F-AAE7F4673F3F}">
    <text>descanso por sobresfuerzo en estabilizar versión</text>
  </threadedComment>
  <threadedComment ref="FA10" dT="2021-08-25T08:31:11.86" personId="{BD1330D9-4FEF-4715-8C6A-15F4CBFCA3FD}" id="{D4D04416-0FA4-4ACB-BABD-5B70CD40CFE1}">
    <text>## Javier [~jparedma]
Tareas planificadas:
- [50905] DT y DL
Siguiente:
- v2.5.3.0: Evolutivo CDAs
Backlog:
- v2.5.3.0: Evolutivo Citas y Profesionales &gt; Emilio y Javier
- Configurar mirth en local
- Configurar workspace de informes
- Curso de angular</text>
  </threadedComment>
  <threadedComment ref="FA10" dT="2021-08-25T14:27:20.34" personId="{BD1330D9-4FEF-4715-8C6A-15F4CBFCA3FD}" id="{0B869573-16B3-4554-9B17-4F2B6113A91B}" parentId="{D4D04416-0FA4-4ACB-BABD-5B70CD40CFE1}">
    <text>Avance:
-----------------------------------
- v2.5.2.0: [45931] Integración Remote - EMPI &gt; DT y DL
&gt; realizado</text>
  </threadedComment>
  <threadedComment ref="FB10" dT="2021-08-25T14:27:08.56" personId="{BD1330D9-4FEF-4715-8C6A-15F4CBFCA3FD}" id="{FD2A5D6D-A54D-4B33-8771-2ABE8B61F8E8}">
    <text>## Javier [~jparedma]
Tareas planificadas:
- v2.5.3.0: [46510] Integración Remote - Perfil 360 (CDA)
Siguiente:
- v2.5.3.0: Evolutivo Citas y Profesionales &gt; Emilio y Javier
Backlog:
- Configurar mirth en local
- Configurar workspace de informes
- Curso de angular</text>
  </threadedComment>
  <threadedComment ref="FB10" dT="2021-08-26T14:40:10.49" personId="{BD1330D9-4FEF-4715-8C6A-15F4CBFCA3FD}" id="{0859998F-BCF3-4459-AD58-3BC3EC2204FA}" parentId="{FD2A5D6D-A54D-4B33-8771-2ABE8B61F8E8}">
    <text>Avance:
-----------------------------------
&gt; Problemas con el pc
- v2.5.3.0: [46510] Integración Remote - Perfil 360 (CDA) [fin:10/09/2021]
&gt; revision tecnica</text>
  </threadedComment>
  <threadedComment ref="FC10" dT="2021-08-26T14:39:54.80" personId="{BD1330D9-4FEF-4715-8C6A-15F4CBFCA3FD}" id="{C7B65A5D-6B33-42C8-87E1-E6EAED08419C}">
    <text>## Javier [~jparedma]
Tareas planificadas:
- Configurando el pc personal para desarrollo
- v2.5.3.0: [46510] Integración Remote - Perfil 360 (CDA) [fin:10/09/2021]
Siguiente:
- v2.5.3.0: Evolutivo Citas y Profesionales &gt; Emilio y Javier
Backlog:
- Configurar mirth en local
- Configurar workspace de informes
- Curso de angular</text>
  </threadedComment>
  <threadedComment ref="FC10" dT="2021-08-27T14:50:09.89" personId="{BD1330D9-4FEF-4715-8C6A-15F4CBFCA3FD}" id="{9A347782-2A04-4458-AAC8-A1856D92DA08}" parentId="{C7B65A5D-6B33-42C8-87E1-E6EAED08419C}">
    <text>Avance:
-----------------------------------
- Configurando el pc personal para desarrollo
&gt; Sin avance 
&gt; Soporte a Carlos y Jose
- v2.5.3.0: [46510] Integración Remote - Perfil 360 (CDA) [¿fin?:10/09/2021]
&gt; Sin avance por problemas en pc, *retraso*</text>
  </threadedComment>
  <threadedComment ref="FD10" dT="2021-08-27T14:49:30.44" personId="{BD1330D9-4FEF-4715-8C6A-15F4CBFCA3FD}" id="{9E641378-BA8F-490E-9C61-AD9A6BB63CCC}">
    <text>## Javier [~jparedma]
Tareas planificadas:
- Configurando el nuevo pc para desarrollo
- v2.5.3.0: [46510] Integración Remote - Perfil 360 (CDA) [¿fin?:10/09/2021]
Siguiente:
- v2.5.3.0: Evolutivo Citas y Profesionales &gt; Emilio y Javier
Backlog:
- Configurar mirth en local
- Configurar workspace de informes
- Curso de angular</text>
  </threadedComment>
  <threadedComment ref="FD10" dT="2021-08-30T14:51:02.57" personId="{BD1330D9-4FEF-4715-8C6A-15F4CBFCA3FD}" id="{BA907005-8AFA-40D9-BAB6-08B0350D499B}" parentId="{9E641378-BA8F-490E-9C61-AD9A6BB63CCC}">
    <text>Avance:
-----------------------------------
- Configurando el nuevo pc para desarrollo
&gt; realizado
&gt; Dando soporte a compañeros</text>
  </threadedComment>
  <threadedComment ref="FG10" dT="2021-08-30T14:50:43.38" personId="{BD1330D9-4FEF-4715-8C6A-15F4CBFCA3FD}" id="{5EF0C17E-896A-4081-B90F-C07E67823774}">
    <text>## Javier [~jparedma]
Tareas planificadas:
- v2.5.3.0: [46510] Integración Remote - Perfil 360 (CDA) [fin:14/09/2021]
Siguiente:
- v2.5.3.0: Evolutivo Citas y Profesionales &gt; Emilio y Javier
Backlog:
- Configurar mirth en local
- Configurar workspace de informes
- Curso de angular</text>
  </threadedComment>
  <threadedComment ref="FG10" dT="2021-08-31T14:53:39.39" personId="{BD1330D9-4FEF-4715-8C6A-15F4CBFCA3FD}" id="{A792DA84-5D99-4C5F-8BA0-C6D40B85382D}" parentId="{5EF0C17E-896A-4081-B90F-C07E67823774}">
    <text>Avance:
-----------------------------------
&gt; Posible ausencia por dentista.
- Configurando el nuevo pc para desarrollo
&gt; Problemas con librerias y vpn de azure
&gt; Soporte a Carlos y Jose
- v2.5.3.0: [46510] Integración Remote - Perfil 360 (CDA) [fin:14/09/2021]
&gt; empezando</text>
  </threadedComment>
  <threadedComment ref="FH10" dT="2021-08-31T14:53:18.84" personId="{BD1330D9-4FEF-4715-8C6A-15F4CBFCA3FD}" id="{223FC48E-9541-42C6-A5EA-CE5C25CD36D0}">
    <text>## Javier [~jparedma]
Tareas planificadas:
- v2.5.3.0: [46510] Integración Remote - Perfil 360 (CDA) [fin:14/09/2021]
Siguiente:
- v2.5.3.0: Evolutivo Citas y Profesionales &gt; Emilio y Javier
Backlog:
- Configurar mirth en local
- Configurar workspace de informes
- Curso de angular</text>
  </threadedComment>
  <threadedComment ref="FH10" dT="2021-09-01T14:39:26.54" personId="{BD1330D9-4FEF-4715-8C6A-15F4CBFCA3FD}" id="{293EB085-285C-4BCF-9A1D-6F7C7DF1CA24}" parentId="{223FC48E-9541-42C6-A5EA-CE5C25CD36D0}">
    <text>Avance:
-----------------------------------
- v2.5.3.0: [46510] Integración Remote - Perfil 360 (CDA) [fin:10/09/2021]
&gt; avanzando, realizado test argentina
&gt; Soporte a Carlos y Jose
&gt; Ausencia el lunes 6 por un examen medico.</text>
  </threadedComment>
  <threadedComment ref="FI10" dT="2021-09-01T14:39:05.89" personId="{BD1330D9-4FEF-4715-8C6A-15F4CBFCA3FD}" id="{B933F918-ED4C-41BA-95B5-025639FAF451}">
    <text>## Javier [~jparedma]
Tareas planificadas:
- v2.5.3.0: [46510] Integración Remote - Perfil 360 (CDA) [fin:10/09/2021]
Siguiente:
- v2.5.3.0: Evolutivo Citas y Profesionales &gt; Emilio y Javier
Backlog:
- Configurar mirth en local
- Configurar workspace de informes
- Curso de angular</text>
  </threadedComment>
  <threadedComment ref="FI10" dT="2021-09-02T14:22:48.89" personId="{BD1330D9-4FEF-4715-8C6A-15F4CBFCA3FD}" id="{62247078-86F9-47CA-850D-D5FE46A4307B}" parentId="{B933F918-ED4C-41BA-95B5-025639FAF451}">
    <text xml:space="preserve">Avance:
-----------------------------------
- v2.5.3.0: [46510] Integración Remote - Perfil 360 (CDA) [fin:10/09/2021]
&gt; avanzando con problemas de dependencias
&gt; Soporte a Jose
</text>
  </threadedComment>
  <threadedComment ref="FJ10" dT="2021-09-02T14:22:33.50" personId="{BD1330D9-4FEF-4715-8C6A-15F4CBFCA3FD}" id="{AC5DA78A-609F-4605-86AD-2AB7E6B0C104}">
    <text>## Javier [~jparedma]
Tareas planificadas:
- v2.5.3.0: [46510] Integración Remote - Perfil 360 (CDA) [fin:10/09/2021]
Siguiente:
- v2.5.3.0: Evolutivo Citas y Profesionales &gt; Emilio y Javier
Backlog:
- Configurar mirth en local
- Configurar workspace de informes
- Curso de angular</text>
  </threadedComment>
  <threadedComment ref="FK10" dT="2021-09-03T14:46:00.43" personId="{85375F82-BEAD-4443-8C33-F668B9E3206E}" id="{ACCF1F73-8CF9-420F-BCD3-E229190C3C55}">
    <text>Tareas planificadas:
EHCOSPROD-51896: Perfil 360 CDA -&gt; se desbloqueo, finalizaría el lunes si no hay más dudas
Avance:
EHCOSPROD-51896: Perfil 360 CDA -&gt; se desbloqueo, finalizaría el lunes si no hay más dudas</text>
  </threadedComment>
  <threadedComment ref="FN10" dT="2021-09-01T14:33:05.04" personId="{BD1330D9-4FEF-4715-8C6A-15F4CBFCA3FD}" id="{8780F487-C400-4D90-BC3F-B61F5C14F312}">
    <text>Javier
2.5.3.0: [51896 -&gt; desarrollo 46510] Perfil 360 CDA: parte identificación del paciente con los datos recibidos del CDA. Comenzar a trabajar estructura del CDA para Antecedentes
[subida al trunk:14/09/2021]
- Ausencia en la tarde por asistir a pruebas médicas</text>
  </threadedComment>
  <threadedComment ref="FN10" dT="2021-09-03T14:46:39.01" personId="{85375F82-BEAD-4443-8C33-F668B9E3206E}" id="{D4F670F6-57CA-409C-AD34-23FE1BA0036E}" parentId="{8780F487-C400-4D90-BC3F-B61F5C14F312}">
    <text>La ausencia será por medio día, pero será recuperada en el transcurso de la semana</text>
  </threadedComment>
  <threadedComment ref="FO10" dT="2021-09-13T08:52:21.87" personId="{BD1330D9-4FEF-4715-8C6A-15F4CBFCA3FD}" id="{A3AE92E5-42CE-4894-A370-9CC562875014}">
    <text>Javier
2.5.3.0: [51896 -&gt; desarrollo 46510] Perfil 360 CDA: Comenzar con la sincronización de los cambios subidos por parte de Hector al branchy validar que no hay ningún error o problema (documentación en EHCOSPROD-45942). Continuar con la parte de identificación del paciente con los datos recibidos del CDA y tratamiento del CDA para obtener datos de Antecedentes. [subida al trunk:14/09/2021]. Pendiente commit en la rama y registro de horas y avance del lunes (la parte que trabajó)</text>
  </threadedComment>
  <threadedComment ref="FP10" dT="2021-09-13T08:53:35.00" personId="{BD1330D9-4FEF-4715-8C6A-15F4CBFCA3FD}" id="{23D50C3B-6C7F-412C-86F9-04BF47271705}">
    <text>Javier
2.5.3.0: [51859 -&gt; desarrollo 48021] Asignar cuestionario en plan de contacto: desarrollo junto a Emilio y Jose. Preparar entorno, leer documentación funcional y revisar análisis técnico. Scripts para usuario ficticio. Desarrollo del controlador asociado al formulario de configuración de la acción al incluirla en el plan. Commit en la rama [subida al trunk:15/09/2021].
2.5.3.0: [51896 -&gt; desarrollo 46510] Perfil 360 CDA: Pospuesto para otra versión</text>
  </threadedComment>
  <threadedComment ref="FQ10" dT="2021-09-13T08:55:12.77" personId="{BD1330D9-4FEF-4715-8C6A-15F4CBFCA3FD}" id="{B995AC09-40DB-4E7A-A6CD-1D90833C65A3}">
    <text>Javier
2.5.3.0: [51859 -&gt; desarrollo 48021] Asignar cuestionario en plan de contacto: desarrollo junto a Emilio y Jose. Desarrollo del controlador asociado al formulario de configuración de la acción al incluirla en el plan. Commit en la rama [subida al trunk:15/09/2021].
2.5.3.0: [51896 -&gt; desarrollo 46510] Perfil 360 CDA: Pospuesto para otra versión</text>
  </threadedComment>
  <threadedComment ref="FR10" dT="2021-09-13T08:56:04.47" personId="{BD1330D9-4FEF-4715-8C6A-15F4CBFCA3FD}" id="{F0B6AA10-36AF-4A24-9F75-63E0CC9F73C4}">
    <text>Javier
2.5.3.0: [51859 -&gt; desarrollo 48021] Asignar cuestionario en plan de contacto. Desarrollo del controlador asociado al formulario de configuración y edición de la acción en el plan. Búsqueda con filtros para cargar listado de cuestionarios, validaciones antes de guardar. Documentación y pruebas. Commit en la rama [subida al trunk:15/09/2021].
2.5.3.0: [51896 -&gt; desarrollo 46510] Perfil 360 CDA: Pospuesto para otra versión</text>
  </threadedComment>
  <threadedComment ref="FU10" dT="2021-09-14T13:36:57.36" personId="{BD1330D9-4FEF-4715-8C6A-15F4CBFCA3FD}" id="{1EC35338-E41E-4017-BB97-EFEB200412D3}">
    <text>## Javier [~jparedma]
Tareas planificadas:
- v2.5.3.0: [51859] [Desarrollo] Asignar cuestionario en plan de contacto [fin:15/09/2021] &gt; completar ajustes y responsable Merge al trunk y scripts
Siguiente:
- v2.5.3.1: [46510] Integración Remote - Perfil 360 (CDA) [fin:10/09/2021] &gt; se necesitara una nueva rama desde la v2.5.3.1
- v2.5.4.0: Evolutivo Citas y Profesionales &gt; Emilio y Javier
Backlog:
- Configurar mirth en local
- Configurar workspace de informes
- Curso de angular</text>
  </threadedComment>
  <threadedComment ref="FU10" dT="2021-09-14T13:37:12.28" personId="{BD1330D9-4FEF-4715-8C6A-15F4CBFCA3FD}" id="{9C0DCEA9-08D6-4C75-AB1D-14F7F2C7498F}" parentId="{1EC35338-E41E-4017-BB97-EFEB200412D3}">
    <text>Avance:
-----------------------------------
- v2.5.3.0: [51859] [Desarrollo] Asignar cuestionario en plan de contacto [fin:15/09/2021] 
&gt; avanzando con la logica de validar y guardar</text>
  </threadedComment>
  <threadedComment ref="FV10" dT="2021-09-14T13:37:01.25" personId="{BD1330D9-4FEF-4715-8C6A-15F4CBFCA3FD}" id="{2D6F14EE-CEA5-47F6-A3CC-93542BED9EE8}">
    <text>## Javier [~jparedma]
Tareas planificadas:
- v2.5.3.0: [51859] [Desarrollo] Asignar cuestionario en plan de contacto [fin:15/09/2021] &gt; completar ajustes y responsable Merge al trunk y scripts
Siguiente:
- v2.5.3.1: [46510] Integración Remote - Perfil 360 (CDA) [fin:10/09/2021] &gt; se necesitara una nueva rama desde la v2.5.3.1
- v2.5.4.0: Evolutivo Citas y Profesionales &gt; Emilio y Javier
Backlog:
- Configurar mirth en local
- Configurar workspace de informes
- Curso de angular</text>
  </threadedComment>
  <threadedComment ref="FV10" dT="2021-09-15T13:36:37.67" personId="{BD1330D9-4FEF-4715-8C6A-15F4CBFCA3FD}" id="{55341D5F-DE8C-48A9-9138-7BDEFDA4EC8F}" parentId="{2D6F14EE-CEA5-47F6-A3CC-93542BED9EE8}">
    <text>Avance:
-----------------------------------
- v2.5.3.0: [51859] [Desarrollo] Asignar cuestionario en plan de contacto [fin:15/09/2021] &gt; completar ajustes y responsable Merge al trunk y scripts 
&gt; completado validaciones y merge al trunk</text>
  </threadedComment>
  <threadedComment ref="FW10" dT="2021-09-15T13:36:23.49" personId="{BD1330D9-4FEF-4715-8C6A-15F4CBFCA3FD}" id="{D5730D8C-EEBB-4095-B336-092AE9F9DA6C}">
    <text>## Javier [~jparedma]
Tareas planificadas:
- v2.5.3.0: [51859] [Desarrollo] Asignar cuestionario en plan de contacto [fin:15/09/2021] &gt; completar DT/DL
Siguiente:
- v2.5.3.1: [46510] Integración Remote - Perfil 360 (CDA) [fin:10/09/2021] &gt; se necesitara una nueva rama desde la v2.5.3.1 y se necesitara una nueva version de empi jar
Backlog:
- Configurar mirth en local
- Configurar workspace de informes
- Curso de angular</text>
  </threadedComment>
  <threadedComment ref="FW10" dT="2021-09-16T15:12:57.07" personId="{BD1330D9-4FEF-4715-8C6A-15F4CBFCA3FD}" id="{06111B32-EC28-4E5A-9BB9-6106648995A3}" parentId="{D5730D8C-EEBB-4095-B336-092AE9F9DA6C}">
    <text>Avance:
-----------------------------------
- v2.5.3.1: [46510] Integración Remote - Perfil 360 (CDA) [fin:10/09/2021] 
&gt; Avanzando con el parseo se pospone la busqueda del paciente por dependencia de empi.
- v2.5.3.0: [51859] [Desarrollo] Asignar cuestionario en plan de contacto [fin:15/09/2021] &gt; completar DT/DL</text>
  </threadedComment>
  <threadedComment ref="FX10" dT="2021-09-16T15:12:38.99" personId="{BD1330D9-4FEF-4715-8C6A-15F4CBFCA3FD}" id="{52258FB8-2A32-402D-B261-6E4A2CA5F5D5}">
    <text>## Javier [~jparedma]
Tareas planificadas:
- v2.5.3.1: [46510] Integración Remote - Perfil 360 (CDA) [fin:10/09/2021] &gt; se necesitara una nueva rama desde la v2.5.3.1 y se necesitara una nueva version de empi jar
Siguiente:
- v2.5.4.0: [52965] Integración Remote - Perfil 360 (EMPI en API Citas)
Backlog:
- Configurar mirth en local
- Configurar workspace de informes
- Curso de angular</text>
  </threadedComment>
  <threadedComment ref="EB11" dT="2021-08-17T15:05:04.65" personId="{BD1330D9-4FEF-4715-8C6A-15F4CBFCA3FD}" id="{22DE9141-0F91-42AB-A91D-AF16D0DB9BA8}">
    <text>Primeras semanas:
-----------------------------------
&gt; 4 meses en la empresa con conocimiento de java y levantar servidores (SJ4)
- Revisando los videos de formación Java8 y boostrap
- vistos los videos del 1 al 5 + bootstrap + imputacion de horas jira
- Formación JAVA
- Píldoras formativas
- Documentación Funcional
&gt; Soporte de Javier para solicitar contraseña admin
- Preparación de entorno y workspace con codigo_fuente 2.5.1.X
&gt; configurado svn con credenciales de Javier
&gt; configurado maven con repositorio local
&gt; configurado eclipse
&gt; configurado BD y arrancar aplicación remotehs
&gt; Subir al confluence como configurar el entorno
- Documentación Técnica (Sessiones de Argentina)</text>
  </threadedComment>
  <threadedComment ref="EE11" dT="2021-08-02T15:29:18.78" personId="{BD1330D9-4FEF-4715-8C6A-15F4CBFCA3FD}" id="{E8A6E2EF-3520-4A81-BB24-7D9BAB18C43C}">
    <text xml:space="preserve">## Jose Mellado Hinojosa [~jmelladh]
Tareas planificadas:
- v2.5.2.1: [48653] API perfil 360: guardar datos para usuarios inactivos
</text>
  </threadedComment>
  <threadedComment ref="EE11" dT="2021-08-03T14:43:29.39" personId="{BD1330D9-4FEF-4715-8C6A-15F4CBFCA3FD}" id="{B8BEB349-3768-4B45-A4D1-3F8CAD4D0739}" parentId="{E8A6E2EF-3520-4A81-BB24-7D9BAB18C43C}">
    <text>Avance:
-----------------------------------
- v2.5.2.1: [48653] API perfil 360: guardar datos para usuarios inactivos
&gt; configurando el entorno</text>
  </threadedComment>
  <threadedComment ref="EF11" dT="2021-08-03T14:43:14.98" personId="{BD1330D9-4FEF-4715-8C6A-15F4CBFCA3FD}" id="{8995E464-DA8F-4DF6-B3B3-50207C0001A8}">
    <text xml:space="preserve">## Jose Mellado Hinojosa [~jmelladh]
Tareas planificadas:
- v2.5.2.1: [48653] API perfil 360: guardar datos para usuarios inactivos
</text>
  </threadedComment>
  <threadedComment ref="EF11" dT="2021-08-05T08:13:25.19" personId="{BD1330D9-4FEF-4715-8C6A-15F4CBFCA3FD}" id="{58C2EE15-A9FC-4CD1-902D-03E893834F96}" parentId="{8995E464-DA8F-4DF6-B3B3-50207C0001A8}">
    <text>Avance:
-----------------------------------
- v2.5.2.1: [48653] API perfil 360: guardar datos para usuarios inactivos
&gt; realizado, terminando pruebas.</text>
  </threadedComment>
  <threadedComment ref="EG11" dT="2021-08-05T08:12:59.03" personId="{BD1330D9-4FEF-4715-8C6A-15F4CBFCA3FD}" id="{B334C446-4268-4017-80C7-49DAC32DCC7D}">
    <text xml:space="preserve">## Jose Mellado Hinojosa [~jmelladh]
Tareas planificadas:
- v2.5.2.1: [48653] API perfil 360: guardar datos para usuarios inactivos
</text>
  </threadedComment>
  <threadedComment ref="EG11" dT="2021-08-05T15:23:52.80" personId="{BD1330D9-4FEF-4715-8C6A-15F4CBFCA3FD}" id="{B4B7838A-C243-4FBB-BAEF-29FB2A612C6C}" parentId="{B334C446-4268-4017-80C7-49DAC32DCC7D}">
    <text>Avance:
-----------------------------------
- v2.5.2.1: [48653] API perfil 360: guardar datos para usuarios inactivos
&gt; terminado, pendiente de pruebas de episodios, citas y intervenciones</text>
  </threadedComment>
  <threadedComment ref="EH11" dT="2021-08-05T15:23:35.68" personId="{BD1330D9-4FEF-4715-8C6A-15F4CBFCA3FD}" id="{83266182-E360-4950-A2EA-7AF5BA363FBB}">
    <text>## Jose Mellado Hinojosa [~jmelladh]
Tareas planificadas:
- v2.5.2.0: [50994] Errores en el evolutivo - Integración Remote - EMPI
Siguiente:
- [51045] Fallas en servicios de biomedidas</text>
  </threadedComment>
  <threadedComment ref="EH11" dT="2021-08-06T15:06:12.20" personId="{BD1330D9-4FEF-4715-8C6A-15F4CBFCA3FD}" id="{DBA5E9C5-ABF3-45B5-BE06-6CD5446E0F87}" parentId="{83266182-E360-4950-A2EA-7AF5BA363FBB}">
    <text xml:space="preserve">Avance:
-----------------------------------
- v2.5.2.0: [50994] Errores en el evolutivo - Integración Remote - EMPI
&gt; configurando nuevo entorno y explicado por Javier como funciona EMPI.
</text>
  </threadedComment>
  <threadedComment ref="EI11" dT="2021-08-06T15:06:06.61" personId="{BD1330D9-4FEF-4715-8C6A-15F4CBFCA3FD}" id="{E90362A7-1ED2-4F93-8F1F-E7636709A00B}">
    <text>## Jose Mellado Hinojosa [~jmelladh]
Tareas planificadas:
- v2.5.2.0: [50994] Errores en el evolutivo - Integración Remote - EMPI
Siguiente:
- [51045] Fallas en servicios de biomedidas</text>
  </threadedComment>
  <threadedComment ref="EI11" dT="2021-08-09T14:26:34.70" personId="{BD1330D9-4FEF-4715-8C6A-15F4CBFCA3FD}" id="{F7F7847D-C6D8-4CA0-B2BD-2B859C499C4A}" parentId="{E90362A7-1ED2-4F93-8F1F-E7636709A00B}">
    <text>Avance:
-----------------------------------
- v2.5.2.0: [50994] Errores en el evolutivo - Integración Remote - EMPI
&gt; casi terminado</text>
  </threadedComment>
  <threadedComment ref="EL11" dT="2021-08-09T14:26:09.16" personId="{BD1330D9-4FEF-4715-8C6A-15F4CBFCA3FD}" id="{6EAC2F30-5B8D-44D4-9239-6A003E2FC5D4}">
    <text>## Jose Mellado Hinojosa [~jmelladh]
Tareas planificadas:
- v2.5.2.0: [50994] Errores en el evolutivo - Integración Remote - EMPI
Siguiente:
- [51045] Fallas en servicios de biomedidas</text>
  </threadedComment>
  <threadedComment ref="EL11" dT="2021-08-10T16:16:33.67" personId="{BD1330D9-4FEF-4715-8C6A-15F4CBFCA3FD}" id="{C78201E7-3AFF-4530-AC5E-102C1B5A7A49}" parentId="{6EAC2F30-5B8D-44D4-9239-6A003E2FC5D4}">
    <text>Avance:
-----------------------------------
- v2.5.2.0: [50994] Errores en el evolutivo - Integración Remote - EMPI
&gt; Problemas con dependencias en el trunk, su commit lo realiza Javier</text>
  </threadedComment>
  <threadedComment ref="EM11" dT="2021-08-10T16:16:26.45" personId="{BD1330D9-4FEF-4715-8C6A-15F4CBFCA3FD}" id="{61624489-8043-49C0-A3C9-C9F6243EC1BB}">
    <text>## Jose Mellado Hinojosa [~jmelladh]
Tareas planificadas:
- v2.5.2.0: [50994] Errores en el evolutivo - Integración Remote - EMPI
Siguiente:
- [51045] Fallas en servicios de biomedidas</text>
  </threadedComment>
  <threadedComment ref="EM11" dT="2021-08-12T09:00:15.52" personId="{BD1330D9-4FEF-4715-8C6A-15F4CBFCA3FD}" id="{757A01DE-7DF9-4135-8433-2BAD311DBA4D}" parentId="{61624489-8043-49C0-A3C9-C9F6243EC1BB}">
    <text>Avance:
-----------------------------------
- v2.5.2.0: [50994] Errores en el evolutivo - Integración Remote - EMPI
&gt; Sin avance por problemas con dependencia HDK, se soluciona con una copia del repositorio.
&gt; Faltan dos puntos para completar la tarea.</text>
  </threadedComment>
  <threadedComment ref="EN11" dT="2021-08-12T09:00:00.07" personId="{BD1330D9-4FEF-4715-8C6A-15F4CBFCA3FD}" id="{C9F8833B-BA9A-48F5-9936-AF714825C223}">
    <text>## Jose Mellado Hinojosa [~jmelladh]
Tareas planificadas:
- v2.5.2.0: [50994] Errores en el evolutivo - Integración Remote - EMPI
Siguiente:
- [51045] Fallas en servicios de biomedidas</text>
  </threadedComment>
  <threadedComment ref="EN11" dT="2021-08-13T08:12:06.16" personId="{BD1330D9-4FEF-4715-8C6A-15F4CBFCA3FD}" id="{35364B02-0319-44AE-B237-F7CB5A9DAA26}" parentId="{C9F8833B-BA9A-48F5-9936-AF714825C223}">
    <text>Avance:
-----------------------------------
- v2.5.2.0: [50994] Errores en el evolutivo - Integración Remote - EMPI &gt; Puntos 3 y 4 se devuelven</text>
  </threadedComment>
  <threadedComment ref="EO11" dT="2021-08-13T08:11:51.72" personId="{BD1330D9-4FEF-4715-8C6A-15F4CBFCA3FD}" id="{0AC90B90-BC17-4EB0-BD68-FF4904964121}">
    <text>## Jose Mellado Hinojosa [~jmelladh]
Tareas planificadas:
- v2.5.2.0: [50994] Errores en el evolutivo - Integración Remote - EMPI &gt; Puntos 3 y 4 se devuelven
Siguiente:
- [51045] Fallas en servicios de biomedidas</text>
  </threadedComment>
  <threadedComment ref="EO11" dT="2021-08-13T15:01:31.85" personId="{BD1330D9-4FEF-4715-8C6A-15F4CBFCA3FD}" id="{4DA6DE35-BF18-472B-8BC3-D691694915B7}" parentId="{0AC90B90-BC17-4EB0-BD68-FF4904964121}">
    <text>Avance:
-----------------------------------
- v2.5.2.0: [50994] Errores en el evolutivo - Integración Remote - EMPI &gt; Puntos 3 y 4 se devuelven
&gt; casi terminado</text>
  </threadedComment>
  <threadedComment ref="EP11" dT="2021-08-13T15:01:16.60" personId="{BD1330D9-4FEF-4715-8C6A-15F4CBFCA3FD}" id="{21CB310C-60F0-4DED-B5F3-E9704E98F442}">
    <text xml:space="preserve">## Jose Mellado Hinojosa [~jmelladh]
Tareas planificadas:
- v2.5.2.0: [50994] Errores en el evolutivo - Integración Remote - EMPI
</text>
  </threadedComment>
  <threadedComment ref="EP11" dT="2021-08-17T15:06:05.50" personId="{BD1330D9-4FEF-4715-8C6A-15F4CBFCA3FD}" id="{5D56F18D-5EF5-4DE4-BAE1-00420F9E2F30}" parentId="{21CB310C-60F0-4DED-B5F3-E9704E98F442}">
    <text>Avance:
-----------------------------------
- v2.5.2.0: [50994] Errores en el evolutivo - Integración Remote - EMPI
&gt; realizado</text>
  </threadedComment>
  <threadedComment ref="ES11" dT="2021-08-18T14:41:21.52" personId="{BD1330D9-4FEF-4715-8C6A-15F4CBFCA3FD}" id="{9D867D0E-A387-40B7-A9F4-65EB48A9DE86}">
    <text>descanso por sobresfuerzo en estabilizar versión</text>
  </threadedComment>
  <threadedComment ref="ET11" dT="2021-08-17T15:05:18.26" personId="{BD1330D9-4FEF-4715-8C6A-15F4CBFCA3FD}" id="{A984B942-B6A0-46C4-95E3-CFD855189BEC}">
    <text>## Jose Mellado Hinojosa [~jmelladh]
Tareas planificadas:
- v2.5.2.1: [47552] Filtros usuarios videoconferencia.
Siguiente: 
- v2.5.3.0: [50448] Integración con Binah.ai 
- v2.5.3: Evolutivos Planes de contacto asignacion de cuestionarios
- 49315, 47886</text>
  </threadedComment>
  <threadedComment ref="ET11" dT="2021-08-18T14:45:43.47" personId="{BD1330D9-4FEF-4715-8C6A-15F4CBFCA3FD}" id="{EE7F9AED-DC44-49E0-9907-7DE43F5F312D}" parentId="{A984B942-B6A0-46C4-95E3-CFD855189BEC}">
    <text>Avance:
-----------------------------------
- v2.5.2.1: [47552] Filtros usuarios videoconferencia. [fin:19/08]
&gt; Avanzado según estimación, faltarian las pruebas.</text>
  </threadedComment>
  <threadedComment ref="EU11" dT="2021-08-18T14:45:15.69" personId="{BD1330D9-4FEF-4715-8C6A-15F4CBFCA3FD}" id="{AE0F2325-1565-4CF6-9E8F-4B105C9E7491}">
    <text>## Jose Mellado Hinojosa [~jmelladh]
Tareas planificadas:
- Actualizar JIRAS
- Merge al trunk de ramas de la v2.5.2.1
- v2.5.2.1: [47552] Filtros usuarios videoconferencia. [fin:19/08]
Siguiente: 
- v2.5.3.0: [50448] Integración con Binah.ai 
- v2.5.3: Evolutivos Planes de contacto asignacion de cuestionarios
- 49315, 47886</text>
  </threadedComment>
  <threadedComment ref="EU11" dT="2021-08-19T14:43:45.53" personId="{BD1330D9-4FEF-4715-8C6A-15F4CBFCA3FD}" id="{5891F9A2-E736-4151-ABA8-6264DAF2231D}" parentId="{AE0F2325-1565-4CF6-9E8F-4B105C9E7491}">
    <text xml:space="preserve">Avance:
-----------------------------------
- v2.5.2.1: [47552] Filtros usuarios videoconferencia. [fin:19/08]
&gt; finalizando con ayuda de emilio, pendiente de validar con grecia
</text>
  </threadedComment>
  <threadedComment ref="EV11" dT="2021-08-19T14:43:31.50" personId="{BD1330D9-4FEF-4715-8C6A-15F4CBFCA3FD}" id="{5B89D3A4-2258-488B-97A9-03AF21BC69AC}">
    <text>## Jose Mellado Hinojosa [~jmelladh]
Tareas planificadas:
- Actualizar JIRAS y EXCEL
- Merge al trunk de ramas de la v2.5.2.1 &gt; 48653, 49608
- v2.5.2.1: [47552] Filtros usuarios videoconferencia. [fin:19/08]
Siguiente: 
- v2.5.3.0: [47886] Modificación pregunta cuestionario
- v2.5.3.0: [50448] Integración con Binah.ai 
- v2.5.3.0: Evolutivos Planes de contacto asignacion de cuestionarios
Backlog:
- v2.5.3.0: [51488] Mejora de rendimiento con nuevas vistas
- 49315, 47886</text>
  </threadedComment>
  <threadedComment ref="EV11" dT="2021-08-20T14:24:37.42" personId="{BD1330D9-4FEF-4715-8C6A-15F4CBFCA3FD}" id="{418494E3-963F-4E1E-8757-544E580149C1}" parentId="{5B89D3A4-2258-488B-97A9-03AF21BC69AC}">
    <text>Avance:
-----------------------------------
- Merge al trunk de ramas de la v2.5.2.1 &gt; 48653, 49608
&gt; realizado
- v2.5.2.1: [47552] Filtros usuarios videoconferencia. [fin:19/08] &gt; PAUSADA
&gt; realizado y pausado por merges de otros jiras.</text>
  </threadedComment>
  <threadedComment ref="EW11" dT="2021-08-20T14:24:25.18" personId="{BD1330D9-4FEF-4715-8C6A-15F4CBFCA3FD}" id="{037FD1E6-92EB-4E96-9F41-2BB146BDE047}">
    <text>## Jose Mellado Hinojosa [~jmelladh]
Tareas planificadas:
- Actualizar JIRAS y EXCEL
- v2.5.3.0: [47886] Modificación pregunta cuestionario
Siguiente: 
- v2.5.3.0: [50448] Integración con Binah.ai 
- v2.5.3.0: Evolutivos Planes de contacto asignacion de cuestionarios
Backlog:
- v2.5.3.0: [51488] Mejora de rendimiento con nuevas vistas
- 49315, 47886</text>
  </threadedComment>
  <threadedComment ref="EW11" dT="2021-08-25T08:32:23.94" personId="{BD1330D9-4FEF-4715-8C6A-15F4CBFCA3FD}" id="{DCC1E497-E6C5-4AD0-9E0F-E21951261C0E}" parentId="{037FD1E6-92EB-4E96-9F41-2BB146BDE047}">
    <text>Avance:
-----------------------------------
- v2.5.2.1: [47552] Filtros usuarios videoconferencia. [fin:19/08] &gt; PAUSADA
&gt; realizado
&gt; Revisado una devuelta con Carlos
- v2.5.3.0: [47886] Modificación pregunta cuestionario
&gt; preparando rama
- v2.5.2.1: [47552] Filtros usuarios videoconferencia. &gt; DT y DL
&gt; realizado</text>
  </threadedComment>
  <threadedComment ref="EZ11" dT="2021-08-24T10:53:50.02" personId="{BD1330D9-4FEF-4715-8C6A-15F4CBFCA3FD}" id="{7CB4D25E-7399-4459-8FA0-67B0CB5CE91A}">
    <text>## Jose Mellado Hinojosa [~jmelladh]
 Tareas planificadas:
 - Actualizar JIRAS y EXCEL
 - [47552] Revisar hoja de Validaciones desarrollador
 - v2.5.3.0: [47886] Modificación pregunta cuestionario
Siguiente: 
 - v2.5.3.0: [45726] Incluir el perfil 360 vista paciente para el profesional
Backlog:
 - v2.5.3.0: Evolutivos Planes de contacto asignacion de cuestionarios
 - v2.5.3.0: [50448] Integración con Binah.ai &gt; en espera de SDK
 - v2.5.3.0: [51488] Mejora de rendimiento con nuevas vistas </text>
  </threadedComment>
  <threadedComment ref="EZ11" dT="2021-08-24T10:55:16.96" personId="{BD1330D9-4FEF-4715-8C6A-15F4CBFCA3FD}" id="{2AEC94E3-DCE9-40DB-BE1C-ECE79DAEFD59}" parentId="{7CB4D25E-7399-4459-8FA0-67B0CB5CE91A}">
    <text>Avance:
-----------------------------------
- v2.5.2.1: [47552] Filtros usuarios videoconferencia. [fin:19/08] &gt; PAUSADA
&gt; realizado
&gt; Revisado una devuelta con Carlos
- v2.5.3.0: [47886] Modificación pregunta cuestionario
&gt; preparando rama</text>
  </threadedComment>
  <threadedComment ref="EZ11" dT="2021-08-25T08:32:37.77" personId="{BD1330D9-4FEF-4715-8C6A-15F4CBFCA3FD}" id="{C84F2F36-3CAA-4029-9673-68AA463A5D17}" parentId="{7CB4D25E-7399-4459-8FA0-67B0CB5CE91A}">
    <text>Avance:
-----------------------------------
- Actualizar JIRAS y EXCEL
&gt; realizado
- [47552] Revisar hoja de Validaciones desarrollador
&gt; realizado
- v2.5.3.0: [47886] Modificación pregunta cuestionario
&gt; avanzando</text>
  </threadedComment>
  <threadedComment ref="FA11" dT="2021-08-25T08:32:17.33" personId="{BD1330D9-4FEF-4715-8C6A-15F4CBFCA3FD}" id="{274CD180-AC63-417C-98D9-2B7027A427B6}">
    <text>## Jose Mellado Hinojosa [~jmelladh]
Tareas planificadas:
- v2.5.3.0: [47886] Modificación pregunta cuestionario
Siguiente: 
- v2.5.3.0: [45726] Incluir el perfil 360 vista paciente para el profesional &gt; esperar estimación
Backlog:
- v2.5.3.0: Evolutivos Planes de contacto asignacion de cuestionarios
- v2.5.3.0: [50448] Integración con Binah.ai &gt; en espera de SDK</text>
  </threadedComment>
  <threadedComment ref="FA11" dT="2021-08-25T14:28:15.67" personId="{BD1330D9-4FEF-4715-8C6A-15F4CBFCA3FD}" id="{4AEA0E09-CFD9-4CB4-A9B8-6C474FF6E77D}" parentId="{274CD180-AC63-417C-98D9-2B7027A427B6}">
    <text>Avance:
-----------------------------------
- v2.5.3.0: [47886] Modificación pregunta cuestionario
&gt; avanzando con dudas tecnicas.</text>
  </threadedComment>
  <threadedComment ref="FB11" dT="2021-08-25T14:28:03.86" personId="{BD1330D9-4FEF-4715-8C6A-15F4CBFCA3FD}" id="{FD33FE2C-4AC6-4EC7-8375-7066AA5D5684}">
    <text>## Jose Mellado Hinojosa [~jmelladh]
Tareas planificadas:
- v2.5.2.1: [48653] API perfil 360: guardar datos para usuarios inactivos &gt; DT y DL
- v2.5.3.0: [47886] Modificación pregunta cuestionario
Siguiente: 
- v2.5.3.0: [45726] Incluir el perfil 360 vista paciente para el profesional &gt; esperar estimación
Backlog:
- v2.5.3.0: Evolutivos Planes de contacto asignacion de cuestionarios
- v2.5.3.0: [50448] Integración con Binah.ai &gt; en espera de SDK</text>
  </threadedComment>
  <threadedComment ref="FB11" dT="2021-08-26T14:41:05.19" personId="{BD1330D9-4FEF-4715-8C6A-15F4CBFCA3FD}" id="{91B51687-F16F-4332-9A7A-75DA93C51061}" parentId="{FD33FE2C-4AC6-4EC7-8375-7066AA5D5684}">
    <text>Avance:
-----------------------------------
- v2.5.2.1: [48653] API perfil 360: guardar datos para usuarios inactivos &gt; DT y DL 
&gt; realizado
- v2.5.3.0: [47886] Modificación pregunta cuestionario
&gt; avanzando</text>
  </threadedComment>
  <threadedComment ref="FC11" dT="2021-08-26T14:40:51.82" personId="{BD1330D9-4FEF-4715-8C6A-15F4CBFCA3FD}" id="{0133F64C-3482-456E-9688-898ADE5BEF29}">
    <text>## Jose Mellado Hinojosa [~jmelladh]
Tareas planificadas:
- IMPORTANTE falta actualizar la excel con avance
- v2.5.3.0: [47886] Modificación pregunta cuestionario [fin:30/08/2021]
Siguiente: 
- v2.5.3.0: [45726] Incluir el perfil 360 vista paciente para el profesional &gt; esperar estimación
Backlog:
- v2.5.3.0: Evolutivos Planes de contacto asignacion de cuestionarios
- v2.5.3.0: [50448] Integración con Binah.ai &gt; en espera de SDK</text>
  </threadedComment>
  <threadedComment ref="FC11" dT="2021-08-27T14:50:59.94" personId="{BD1330D9-4FEF-4715-8C6A-15F4CBFCA3FD}" id="{9C085C3B-6F8C-4505-8D2E-7D01E463B5B6}" parentId="{0133F64C-3482-456E-9688-898ADE5BEF29}">
    <text>Avance:
-----------------------------------
- v2.5.3.0: [47886] Modificación pregunta cuestionario [¿fin?:30/08/2021]
&gt; bloqueo con dudas tecnicas, *retraso*</text>
  </threadedComment>
  <threadedComment ref="FD11" dT="2021-08-27T14:50:45.85" personId="{BD1330D9-4FEF-4715-8C6A-15F4CBFCA3FD}" id="{B34F56CD-967A-44E9-AE6F-597577D42B38}">
    <text>## Jose Mellado Hinojosa [~jmelladh]
Tareas planificadas:
- IMPORTANTE revisar EXCEL 3h vs JIRA 30h
- v2.5.3.0: [47886] Modificación pregunta cuestionario [¿fin?:30/08/2021]
Siguiente: 
- v2.5.3.0: [45726] Incluir el perfil 360 vista paciente para el profesional &gt; esperar estimación
Backlog:
- v2.5.3.0: Evolutivos Planes de contacto asignacion de cuestionarios
- v2.5.3.0: [50448] Integración con Binah.ai &gt; en espera de SDK</text>
  </threadedComment>
  <threadedComment ref="FD11" dT="2021-08-30T14:55:04.87" personId="{BD1330D9-4FEF-4715-8C6A-15F4CBFCA3FD}" id="{2102E711-DA0A-487E-98F2-4E9641F1E730}" parentId="{B34F56CD-967A-44E9-AE6F-597577D42B38}">
    <text>Avance:
-----------------------------------
- v2.5.3.0: [47886] Modificación pregunta cuestionario [fin:01/09/2021]
&gt; Avance despues de reu tec, Revisando pruebas de rest con cecilia.
- IMPORTANTE revisar EXCEL 3h vs JIRA 30h
&gt; Aclarado</text>
  </threadedComment>
  <threadedComment ref="FG11" dT="2021-08-30T14:54:48.24" personId="{BD1330D9-4FEF-4715-8C6A-15F4CBFCA3FD}" id="{FB1F8604-0767-414C-9C84-861042D4732B}">
    <text>## Jose Mellado Hinojosa [~jmelladh]
Tareas planificadas:
- v2.5.3.0: [47886] Modificación pregunta cuestionario [fin:01/09/2021]
Siguiente: 
- v2.5.3.0: Evolutivos Planes de contacto asignacion de cuestionarios &gt; pendiente de estimar
Backlog:
- v2.5.3.0: [50448] Integración con Binah.ai &gt; en espera de SDK</text>
  </threadedComment>
  <threadedComment ref="FG11" dT="2021-08-31T14:55:22.37" personId="{BD1330D9-4FEF-4715-8C6A-15F4CBFCA3FD}" id="{206BA754-3421-4A01-8365-8077DB09E26C}" parentId="{FB1F8604-0767-414C-9C84-861042D4732B}">
    <text xml:space="preserve">Avance:
-----------------------------------
- v2.5.3.0: [47886] Modificación pregunta cuestionario [fin:01/09/2021]
&gt; realizado con DT y DL
</text>
  </threadedComment>
  <threadedComment ref="FH11" dT="2021-08-31T14:55:03.18" personId="{BD1330D9-4FEF-4715-8C6A-15F4CBFCA3FD}" id="{E4C2FB5A-12E0-4E97-B969-1C1255BDA821}">
    <text>## Jose Mellado Hinojosa [~jmelladh]
Tareas planificadas:
- Merges al trunk pendientes 47886
- v2.5.3.0: [45726] Incluir el perfil 360 vista paciente para el profesional &gt; esperar estimación
Siguiente: 
- v2.5.3.0: Evolutivos Planes de contacto asignacion de cuestionarios &gt; pendiente de estimar
Backlog:
- v2.5.3.0: [50448] Integración con Binah.ai &gt; en espera de SDK</text>
  </threadedComment>
  <threadedComment ref="FH11" dT="2021-09-01T14:40:56.18" personId="{BD1330D9-4FEF-4715-8C6A-15F4CBFCA3FD}" id="{52374FAD-46D3-4358-932C-F44C7FDFF7E8}" parentId="{E4C2FB5A-12E0-4E97-B969-1C1255BDA821}">
    <text>Avance:
-----------------------------------
- Merges al trunk pendientes 47886
&gt; realizado
- v2.5.3.0: [45726] Incluir el perfil 360 vista paciente para el profesional [fin:02/09/2021]
&gt; avanzando segun planif</text>
  </threadedComment>
  <threadedComment ref="FI11" dT="2021-09-01T14:40:36.41" personId="{BD1330D9-4FEF-4715-8C6A-15F4CBFCA3FD}" id="{5740CF05-2CD6-4E3C-9756-87946DD26489}">
    <text>## Jose Mellado Hinojosa [~jmelladh]
Tareas planificadas:
- v2.5.3.0: [45726] Incluir el perfil 360 vista paciente para el profesional [fin:02/09/2021]
Siguiente: 
- v2.5.3.0: Evolutivos Planes de contacto asignacion de cuestionarios &gt; pendiente de estimar
Backlog:
- v2.5.3.0: [50448] Integración con Binah.ai &gt; en espera de SDK
- v2.5.3.0: [51488] Mejora de rendimiento con nuevas vistas</text>
  </threadedComment>
  <threadedComment ref="FI11" dT="2021-09-02T14:23:21.58" personId="{BD1330D9-4FEF-4715-8C6A-15F4CBFCA3FD}" id="{CE2A5238-A3A3-44B2-BEE4-8686A8001FE9}" parentId="{5740CF05-2CD6-4E3C-9756-87946DD26489}">
    <text xml:space="preserve">Avance:
-----------------------------------
- v2.5.3.0: [45726] Incluir el perfil 360 vista paciente para el profesional [fin:02/09/2021]
&gt; realizada, con dudas de como validar
</text>
  </threadedComment>
  <threadedComment ref="FJ11" dT="2021-09-02T14:23:02.30" personId="{BD1330D9-4FEF-4715-8C6A-15F4CBFCA3FD}" id="{A9AB8843-7C49-4D6D-95C8-029AFAC1068F}">
    <text>## Jose Mellado Hinojosa [~jmelladh]
Tareas planificadas:
- v2.5.3.0: [45726] Incluir el perfil 360 vista paciente para el profesional [fin:02/09/2021] &gt; Falta DT y DL
- v2.5.3.0: [52462] Incidencias cuestionario-escala [fin:03/09/2021]
Siguiente: 
- v2.5.3.0: [51859] [Desarrollo] Asignar cuestionario en plan de contacto - Jose [fin:15/09/2021]
Backlog:
- v2.5.3.0: [50448] Integración con Binah.ai &gt; en espera de SDK
- v2.5.3.0: [51488] Mejora de rendimiento con nuevas vistas </text>
  </threadedComment>
  <threadedComment ref="FK11" dT="2021-09-03T14:46:13.77" personId="{85375F82-BEAD-4443-8C33-F668B9E3206E}" id="{0C909A4E-5FD7-4B4C-913E-6A971BBEF332}">
    <text>Tareas planificadas:
EHCOSPROD-51780: Devolución evolutivo de cuestionarios
Se resolverá bloqueo con Javier P.
Avance:
EHCOSPROD-45726: Creación de scripts, finalizada y subida a SVN
EHCOSPROD-51780: Devolución evolutivo de cuestionarios -&gt; con bloqueo</text>
  </threadedComment>
  <threadedComment ref="FN11" dT="2021-09-13T08:51:17.67" personId="{BD1330D9-4FEF-4715-8C6A-15F4CBFCA3FD}" id="{AA5F8BCC-6924-488C-BD44-AD4711C04D68}">
    <text>Jose Mellado
2.5.3.0: [EHCOSPROD-47886]: estabilización del desarrollo (EHCOSPROD-52462, cambiar estado Jira) y merge al trunk [subida al trunk: 07/09/2021]
2.5.3.0: [51859 -&gt; desarrollo 48021] Asignar cuestionario en plan de contacto: desarrollo junto a Emilio. Parte de configuración de la acción al incluirla en el plan [subida al trunk:15/09/2021]</text>
  </threadedComment>
  <threadedComment ref="FO11" dT="2021-09-13T08:52:37.02" personId="{BD1330D9-4FEF-4715-8C6A-15F4CBFCA3FD}" id="{B3959DF4-DCCD-4CED-82E1-6F36530DD618}">
    <text>Jose Mellado
2.5.3.0: [51859 -&gt; desarrollo 48021] Asignar cuestionario en plan de contacto: desarrollo junto a Emilio. Formulario de configuración de la acción al incluirla en el plan [subida al trunk:15/09/2021]</text>
  </threadedComment>
  <threadedComment ref="FP11" dT="2021-09-13T08:54:38.03" personId="{BD1330D9-4FEF-4715-8C6A-15F4CBFCA3FD}" id="{479E9F25-C860-4461-92D2-81F5146A8F88}">
    <text>Jose Mellado
2.5.3.0: [51859 -&gt; desarrollo 48021] Asignar cuestionario en plan de contacto: desarrollo junto a Emilio y Javier. Formulario de configuración de la acción al incluirla en el plan. Commit en la rama [subida al trunk:15/09/2021]</text>
  </threadedComment>
  <threadedComment ref="FQ11" dT="2021-09-13T08:55:23.75" personId="{BD1330D9-4FEF-4715-8C6A-15F4CBFCA3FD}" id="{BDD4C9B6-D3BE-4CA9-AFE3-FA4D829B1602}">
    <text>Jose Mellado
2.5.3.0: [51859 -&gt; desarrollo 48021] Asignar cuestionario en plan de contacto: desarrollo junto a Emilio y Javier. Formulario de configuración de la acción al incluirla en el plan. Commit en la rama [subida al trunk:15/09/2021]</text>
  </threadedComment>
  <threadedComment ref="FR11" dT="2021-09-13T08:56:17.65" personId="{BD1330D9-4FEF-4715-8C6A-15F4CBFCA3FD}" id="{237C17D7-905E-4D1C-AAB0-3AA73E30157D}">
    <text>2.5.3.0: [51859 -&gt; desarrollo 48021] Asignar cuestionario en plan de contacto. Traducciones para labels pendiente realizar. Completar en el formulario para que aparezca el nombre del profesional configurado en el cfg 'ehrs.patjourney_form_fictitious user.value'. Documentación y pruebas. Commit en la rama [subida al trunk:15/09/2021]</text>
  </threadedComment>
  <threadedComment ref="FU11" dT="2021-09-14T13:37:27.08" personId="{BD1330D9-4FEF-4715-8C6A-15F4CBFCA3FD}" id="{B028E302-EDBD-4412-9C87-BF01C055CCB0}">
    <text>## Jose Mellado Hinojosa [~jmelladh]
Tareas planificadas:
- v2.5.3.0: [51859] [Desarrollo] Asignar cuestionario en plan de contacto [fin:15/09/2021] &gt; completar ajustes y revisar
&gt; Revisar en WIKI la metodologia de scirpts al menos falta:
- traducciones test
- label opcionales en test
&gt; revisar scripts de [EHCOSPROD-48021] Planes de contacto: incluir acciones (asignar cuestionario)
&gt; revisar scripts de [EHCOSPROD-45726] Incluir el perfil 360 vista paciente para el profesional:
Siguiente: 
- v2.5.3.0: [45726] Incluir el perfil 360 vista paciente para el profesional [fin:02/09/2021] &gt; Falta DT y DL
- v2.5.3.0: [52462] Incidencias cuestionario-escala [fin:03/09/2021]
Backlog:
- v2.5.X.0: [50448] Integración con Binah.ai &gt; en espera de SDK
- v2.5.X.0: [51488] Mejora de rendimiento con nuevas vistas</text>
  </threadedComment>
  <threadedComment ref="FU11" dT="2021-09-14T13:37:41.36" personId="{BD1330D9-4FEF-4715-8C6A-15F4CBFCA3FD}" id="{741B66A6-B8C0-452E-A9B4-63E75AF91FA4}" parentId="{B028E302-EDBD-4412-9C87-BF01C055CCB0}">
    <text>Avance:
-----------------------------------
- v2.5.3.0: [51859] [Desarrollo] Asignar cuestionario en plan de contacto [fin:15/09/2021]
&gt; avanzado con el label del usuario ficticio, el combo de perfiles y scripts de traducciones</text>
  </threadedComment>
  <threadedComment ref="FV11" dT="2021-09-14T13:37:30.67" personId="{BD1330D9-4FEF-4715-8C6A-15F4CBFCA3FD}" id="{922570D7-5809-4631-A011-25096302B214}">
    <text>## Jose Mellado Hinojosa [~jmelladh]
Tareas planificadas:
- v2.5.3.0: [51859] [Desarrollo] Asignar cuestionario en plan de contacto [fin:15/09/2021] &gt; completar ajustes y revisar
&gt; Revisar en WIKI la metodologia de scirpts al menos falta:
- traducciones test
- label opcionales en test
&gt; revisar scripts de [EHCOSPROD-48021] Planes de contacto: incluir acciones (asignar cuestionario)
&gt; revisar scripts de [EHCOSPROD-45726] Incluir el perfil 360 vista paciente para el profesional:
Siguiente: 
- v2.5.3.0: [45726] Incluir el perfil 360 vista paciente para el profesional [fin:02/09/2021] &gt; Falta DT y DL
- v2.5.3.0: [52462] Incidencias cuestionario-escala [fin:03/09/2021]
Backlog:
- v2.5.X.0: [50448] Integración con Binah.ai &gt; en espera de SDK
- v2.5.X.0: [51488] Mejora de rendimiento con nuevas vistas</text>
  </threadedComment>
  <threadedComment ref="FV11" dT="2021-09-15T13:37:16.72" personId="{BD1330D9-4FEF-4715-8C6A-15F4CBFCA3FD}" id="{36988012-D5DC-449D-BA31-E7D8C9532A47}" parentId="{922570D7-5809-4631-A011-25096302B214}">
    <text>Avance:
-----------------------------------
- v2.5.3.0: [51859] [Desarrollo] Asignar cuestionario en plan de contacto [fin:15/09/2021] &gt; completar ajustes y revisar &gt; completados ajustes</text>
  </threadedComment>
  <threadedComment ref="FW11" dT="2021-09-15T13:37:00.41" personId="{BD1330D9-4FEF-4715-8C6A-15F4CBFCA3FD}" id="{17402051-C6FF-44EB-B01A-52F720E802D7}">
    <text xml:space="preserve">## Jose Mellado Hinojosa [~jmelladh]
Tareas planificadas:
- v2.5.3.0: [51859] [Desarrollo] Asignar cuestionario en plan de contacto [fin:15/09/2021] &gt; completar DT/DL
&gt; Revisar en WIKI la metodologia de scirpts al menos falta:
- traducciones test
- label opcionales en test
&gt; revisar scripts de [EHCOSPROD-48021] Planes de contacto: incluir acciones (asignar cuestionario)
&gt; revisar scripts de [EHCOSPROD-45726] Incluir el perfil 360 vista paciente para el profesional:
Siguiente: 
- v2.5.3.0: [52620] Nombre volante de citas &gt; revisar con grecia la etiqueta
- v2.5.3.0: [52462] Incidencias cuestionario-escala [fin:03/09/2021]
- v2.5.3.0: [45726] Incluir el perfil 360 vista paciente para el profesional [fin:02/09/2021] &gt; Falta DT y DL
Backlog:
- v2.5.X.0: [50448] Integración con Binah.ai &gt; en espera de SDK
- v2.5.X.0: [51488] Mejora de rendimiento con nuevas vistas 
</text>
  </threadedComment>
  <threadedComment ref="FW11" dT="2021-09-16T15:13:19.85" personId="{BD1330D9-4FEF-4715-8C6A-15F4CBFCA3FD}" id="{867E9286-F845-4CA3-A1B2-68AC7CB87942}" parentId="{17402051-C6FF-44EB-B01A-52F720E802D7}">
    <text>Avance:
-----------------------------------
- v2.5.3.0: [51859] [Desarrollo] Asignar cuestionario en plan de contacto [fin:15/09/2021] &gt; completar DT/DL
&gt; realizado
&gt; Revisados scripts
- v2.5.3.0: [52620] Nombre volante de citas &gt; revisar con grecia la etiqueta
&gt; realizado</text>
  </threadedComment>
  <threadedComment ref="FX11" dT="2021-09-16T15:13:05.93" personId="{BD1330D9-4FEF-4715-8C6A-15F4CBFCA3FD}" id="{FEDBD289-7077-4483-BCFF-7EF0C0379368}">
    <text>## Jose Mellado Hinojosa [~jmelladh]
Tareas planificadas:
- v2.5.3.0: [52462] Incidencias cuestionario-escala [fin:03/09/2021]
Siguiente: 
- v2.5.3.0: [45726] Incluir el perfil 360 vista paciente para el profesional [fin:02/09/2021] &gt; Falta DT y DL
Backlog:
- v2.5.4.0: [50448] Integración con Binah.ai
- v2.5.X.0: [51488] Mejora de rendimiento con nuevas vistas 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Q8" dT="2022-03-04T09:16:46.89" personId="{131F0503-5C5C-485C-B315-093A9477DF4B}" id="{A5C12395-4F9E-4237-A644-7968CF7A74F3}">
    <text>Festivo ZGZ</text>
  </threadedComment>
  <threadedComment ref="AQ19" dT="2022-05-02T15:46:21.07" personId="{131F0503-5C5C-485C-B315-093A9477DF4B}" id="{5A3D544D-A7B6-4729-B33B-90E2A53AC007}">
    <text>Festivo en ZGZ, pero se trabajo para cambiarlo en un futuro dia de vacaciones</text>
  </threadedComment>
  <threadedComment ref="BE26" dT="2022-05-16T14:35:27.25" personId="{131F0503-5C5C-485C-B315-093A9477DF4B}" id="{070E3D54-1D9C-48C6-8F27-16D3DF60D319}">
    <text>Ausencia dolor de muelas</text>
  </threadedComment>
  <threadedComment ref="BE27" dT="2022-05-16T14:34:41.96" personId="{131F0503-5C5C-485C-B315-093A9477DF4B}" id="{CCA1BEDD-DF94-4123-B5CA-E3CB40F0DCA2}">
    <text>Mudanza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Q8" dT="2023-12-04T20:48:51.08" personId="{AFB615D2-4788-4E07-BCAA-9592D2CDFDC2}" id="{DD3A1804-A8D7-4D9D-A6E7-CAB760B379E5}">
    <text>En Temuco se trabaja medio día</text>
  </threadedComment>
  <threadedComment ref="JX8" dT="2023-12-04T20:49:08.07" personId="{AFB615D2-4788-4E07-BCAA-9592D2CDFDC2}" id="{34D99E9F-D279-4076-B063-0E2A6D7667FE}">
    <text>En Temuco se trabaja medio día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Q8" dT="2023-12-04T20:48:51.08" personId="{AFB615D2-4788-4E07-BCAA-9592D2CDFDC2}" id="{36805068-0784-407F-B698-99768EEDBFBA}">
    <text>En Temuco se trabaja medio día</text>
  </threadedComment>
  <threadedComment ref="JX8" dT="2023-12-04T20:49:08.07" personId="{AFB615D2-4788-4E07-BCAA-9592D2CDFDC2}" id="{2297FE7A-871F-43B4-90B9-798568EA6F2B}">
    <text>En Temuco se trabaja medio día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L32"/>
  <sheetViews>
    <sheetView zoomScale="85" zoomScaleNormal="85" workbookViewId="0">
      <pane xSplit="2" ySplit="7" topLeftCell="LP45" activePane="bottomRight" state="frozen"/>
      <selection pane="bottomRight" activeCell="LP45" sqref="LP45"/>
      <selection pane="bottomLeft" activeCell="A8" sqref="A8"/>
      <selection pane="topRight" activeCell="C1" sqref="C1"/>
    </sheetView>
  </sheetViews>
  <sheetFormatPr defaultColWidth="5.42578125" defaultRowHeight="15"/>
  <cols>
    <col min="1" max="1" width="5" style="1" customWidth="1"/>
    <col min="2" max="2" width="18.28515625" style="1" bestFit="1" customWidth="1"/>
    <col min="3" max="3" width="17.42578125" style="1" bestFit="1" customWidth="1"/>
    <col min="4" max="4" width="15.5703125" style="1" customWidth="1"/>
    <col min="5" max="6" width="12.28515625" style="1" bestFit="1" customWidth="1"/>
    <col min="7" max="7" width="12.7109375" style="1" bestFit="1" customWidth="1"/>
    <col min="8" max="8" width="17.7109375" style="1" bestFit="1" customWidth="1"/>
    <col min="9" max="9" width="15.5703125" style="1" bestFit="1" customWidth="1"/>
    <col min="10" max="10" width="15.5703125" style="1" customWidth="1"/>
    <col min="11" max="11" width="16.140625" style="1" bestFit="1" customWidth="1"/>
    <col min="12" max="16384" width="5.42578125" style="2"/>
  </cols>
  <sheetData>
    <row r="1" spans="1:376" ht="15.75" thickBot="1"/>
    <row r="2" spans="1:376">
      <c r="B2" s="13" t="s">
        <v>0</v>
      </c>
      <c r="C2" s="22"/>
      <c r="D2" s="22"/>
      <c r="E2" s="14"/>
      <c r="F2" s="14"/>
      <c r="G2" s="14"/>
      <c r="H2" s="15" t="s">
        <v>1</v>
      </c>
      <c r="I2" s="2"/>
      <c r="J2" s="2"/>
      <c r="K2" s="2"/>
    </row>
    <row r="3" spans="1:376">
      <c r="B3" s="16" t="s">
        <v>2</v>
      </c>
      <c r="C3" s="23"/>
      <c r="D3" s="23"/>
      <c r="E3" s="12"/>
      <c r="F3" s="12"/>
      <c r="G3" s="12"/>
      <c r="H3" s="17" t="s">
        <v>3</v>
      </c>
      <c r="I3" s="2"/>
      <c r="J3" s="2"/>
      <c r="K3" s="2"/>
    </row>
    <row r="4" spans="1:376">
      <c r="B4" s="16" t="s">
        <v>4</v>
      </c>
      <c r="C4" s="23"/>
      <c r="D4" s="23"/>
      <c r="E4" s="12"/>
      <c r="F4" s="12"/>
      <c r="G4" s="12"/>
      <c r="H4" s="18" t="s">
        <v>5</v>
      </c>
      <c r="I4" s="2"/>
      <c r="J4" s="2"/>
      <c r="K4" s="2"/>
    </row>
    <row r="5" spans="1:376" ht="15.75" thickBot="1">
      <c r="B5" s="19" t="s">
        <v>6</v>
      </c>
      <c r="C5" s="24"/>
      <c r="D5" s="24"/>
      <c r="E5" s="20"/>
      <c r="F5" s="20"/>
      <c r="G5" s="20"/>
      <c r="H5" s="21" t="s">
        <v>7</v>
      </c>
      <c r="I5" s="2"/>
      <c r="J5" s="2"/>
      <c r="K5" s="2"/>
    </row>
    <row r="6" spans="1:376" ht="16.5" customHeight="1" thickBot="1">
      <c r="L6" s="353" t="s">
        <v>8</v>
      </c>
      <c r="M6" s="354"/>
      <c r="N6" s="354"/>
      <c r="O6" s="354"/>
      <c r="P6" s="354"/>
      <c r="Q6" s="354"/>
      <c r="R6" s="354"/>
      <c r="S6" s="354"/>
      <c r="T6" s="354"/>
      <c r="U6" s="354"/>
      <c r="V6" s="354"/>
      <c r="W6" s="354"/>
      <c r="X6" s="354"/>
      <c r="Y6" s="354"/>
      <c r="Z6" s="354"/>
      <c r="AA6" s="354"/>
      <c r="AB6" s="354"/>
      <c r="AC6" s="354"/>
      <c r="AD6" s="354"/>
      <c r="AE6" s="354"/>
      <c r="AF6" s="354"/>
      <c r="AG6" s="354"/>
      <c r="AH6" s="354"/>
      <c r="AI6" s="354"/>
      <c r="AJ6" s="354"/>
      <c r="AK6" s="354"/>
      <c r="AL6" s="354"/>
      <c r="AM6" s="354"/>
      <c r="AN6" s="354"/>
      <c r="AO6" s="354"/>
      <c r="AP6" s="353" t="s">
        <v>9</v>
      </c>
      <c r="AQ6" s="354"/>
      <c r="AR6" s="354"/>
      <c r="AS6" s="354"/>
      <c r="AT6" s="354"/>
      <c r="AU6" s="354"/>
      <c r="AV6" s="354"/>
      <c r="AW6" s="354"/>
      <c r="AX6" s="354"/>
      <c r="AY6" s="354"/>
      <c r="AZ6" s="354"/>
      <c r="BA6" s="354"/>
      <c r="BB6" s="354"/>
      <c r="BC6" s="354"/>
      <c r="BD6" s="354"/>
      <c r="BE6" s="354"/>
      <c r="BF6" s="354"/>
      <c r="BG6" s="354"/>
      <c r="BH6" s="354"/>
      <c r="BI6" s="354"/>
      <c r="BJ6" s="354"/>
      <c r="BK6" s="354"/>
      <c r="BL6" s="354"/>
      <c r="BM6" s="354"/>
      <c r="BN6" s="354"/>
      <c r="BO6" s="354"/>
      <c r="BP6" s="354"/>
      <c r="BQ6" s="354"/>
      <c r="BR6" s="354"/>
      <c r="BS6" s="354"/>
      <c r="BT6" s="354"/>
      <c r="BU6" s="355" t="s">
        <v>10</v>
      </c>
      <c r="BV6" s="356"/>
      <c r="BW6" s="356"/>
      <c r="BX6" s="356"/>
      <c r="BY6" s="356"/>
      <c r="BZ6" s="356"/>
      <c r="CA6" s="356"/>
      <c r="CB6" s="356"/>
      <c r="CC6" s="356"/>
      <c r="CD6" s="356"/>
      <c r="CE6" s="356"/>
      <c r="CF6" s="356"/>
      <c r="CG6" s="356"/>
      <c r="CH6" s="356"/>
      <c r="CI6" s="356"/>
      <c r="CJ6" s="356"/>
      <c r="CK6" s="356"/>
      <c r="CL6" s="356"/>
      <c r="CM6" s="356"/>
      <c r="CN6" s="356"/>
      <c r="CO6" s="356"/>
      <c r="CP6" s="356"/>
      <c r="CQ6" s="356"/>
      <c r="CR6" s="356"/>
      <c r="CS6" s="356"/>
      <c r="CT6" s="356"/>
      <c r="CU6" s="356"/>
      <c r="CV6" s="356"/>
      <c r="CW6" s="356"/>
      <c r="CX6" s="357"/>
      <c r="CY6" s="355" t="s">
        <v>11</v>
      </c>
      <c r="CZ6" s="356"/>
      <c r="DA6" s="356"/>
      <c r="DB6" s="356"/>
      <c r="DC6" s="356"/>
      <c r="DD6" s="356"/>
      <c r="DE6" s="356"/>
      <c r="DF6" s="356"/>
      <c r="DG6" s="356"/>
      <c r="DH6" s="356"/>
      <c r="DI6" s="356"/>
      <c r="DJ6" s="356"/>
      <c r="DK6" s="356"/>
      <c r="DL6" s="356"/>
      <c r="DM6" s="356"/>
      <c r="DN6" s="356"/>
      <c r="DO6" s="356"/>
      <c r="DP6" s="356"/>
      <c r="DQ6" s="356"/>
      <c r="DR6" s="356"/>
      <c r="DS6" s="356"/>
      <c r="DT6" s="356"/>
      <c r="DU6" s="356"/>
      <c r="DV6" s="356"/>
      <c r="DW6" s="356"/>
      <c r="DX6" s="356"/>
      <c r="DY6" s="356"/>
      <c r="DZ6" s="356"/>
      <c r="EA6" s="356"/>
      <c r="EB6" s="356"/>
      <c r="EC6" s="357"/>
      <c r="ED6" s="355" t="s">
        <v>12</v>
      </c>
      <c r="EE6" s="356"/>
      <c r="EF6" s="356"/>
      <c r="EG6" s="356"/>
      <c r="EH6" s="356"/>
      <c r="EI6" s="356"/>
      <c r="EJ6" s="356"/>
      <c r="EK6" s="356"/>
      <c r="EL6" s="356"/>
      <c r="EM6" s="356"/>
      <c r="EN6" s="356"/>
      <c r="EO6" s="356"/>
      <c r="EP6" s="356"/>
      <c r="EQ6" s="356"/>
      <c r="ER6" s="356"/>
      <c r="ES6" s="356"/>
      <c r="ET6" s="356"/>
      <c r="EU6" s="356"/>
      <c r="EV6" s="356"/>
      <c r="EW6" s="356"/>
      <c r="EX6" s="356"/>
      <c r="EY6" s="356"/>
      <c r="EZ6" s="356"/>
      <c r="FA6" s="356"/>
      <c r="FB6" s="356"/>
      <c r="FC6" s="356"/>
      <c r="FD6" s="356"/>
      <c r="FE6" s="356"/>
      <c r="FF6" s="356"/>
      <c r="FG6" s="356"/>
      <c r="FH6" s="357"/>
      <c r="FI6" s="355" t="s">
        <v>13</v>
      </c>
      <c r="FJ6" s="356"/>
      <c r="FK6" s="356"/>
      <c r="FL6" s="356"/>
      <c r="FM6" s="356"/>
      <c r="FN6" s="356"/>
      <c r="FO6" s="356"/>
      <c r="FP6" s="356"/>
      <c r="FQ6" s="356"/>
      <c r="FR6" s="356"/>
      <c r="FS6" s="356"/>
      <c r="FT6" s="356"/>
      <c r="FU6" s="356"/>
      <c r="FV6" s="356"/>
      <c r="FW6" s="356"/>
      <c r="FX6" s="356"/>
      <c r="FY6" s="356"/>
      <c r="FZ6" s="356"/>
      <c r="GA6" s="356"/>
      <c r="GB6" s="356"/>
      <c r="GC6" s="356"/>
      <c r="GD6" s="356"/>
      <c r="GE6" s="356"/>
      <c r="GF6" s="356"/>
      <c r="GG6" s="356"/>
      <c r="GH6" s="356"/>
      <c r="GI6" s="356"/>
      <c r="GJ6" s="356"/>
      <c r="GK6" s="356"/>
      <c r="GL6" s="357"/>
      <c r="GM6" s="351" t="s">
        <v>14</v>
      </c>
      <c r="GN6" s="352"/>
      <c r="GO6" s="352"/>
      <c r="GP6" s="352"/>
      <c r="GQ6" s="352"/>
      <c r="GR6" s="352"/>
      <c r="GS6" s="352"/>
      <c r="GT6" s="352"/>
      <c r="GU6" s="352"/>
      <c r="GV6" s="352"/>
      <c r="GW6" s="352"/>
      <c r="GX6" s="352"/>
      <c r="GY6" s="352"/>
      <c r="GZ6" s="352"/>
      <c r="HA6" s="352"/>
      <c r="HB6" s="352"/>
      <c r="HC6" s="352"/>
      <c r="HD6" s="352"/>
      <c r="HE6" s="352"/>
      <c r="HF6" s="352"/>
      <c r="HG6" s="352"/>
      <c r="HH6" s="352"/>
      <c r="HI6" s="352"/>
      <c r="HJ6" s="352"/>
      <c r="HK6" s="352"/>
      <c r="HL6" s="352"/>
      <c r="HM6" s="352"/>
      <c r="HN6" s="352"/>
      <c r="HO6" s="352"/>
      <c r="HP6" s="352"/>
      <c r="HQ6" s="358"/>
      <c r="HR6" s="351" t="s">
        <v>15</v>
      </c>
      <c r="HS6" s="352"/>
      <c r="HT6" s="352"/>
      <c r="HU6" s="352"/>
      <c r="HV6" s="352"/>
      <c r="HW6" s="352"/>
      <c r="HX6" s="352"/>
      <c r="HY6" s="352"/>
      <c r="HZ6" s="352"/>
      <c r="IA6" s="352"/>
      <c r="IB6" s="352"/>
      <c r="IC6" s="352"/>
      <c r="ID6" s="352"/>
      <c r="IE6" s="352"/>
      <c r="IF6" s="352"/>
      <c r="IG6" s="352"/>
      <c r="IH6" s="352"/>
      <c r="II6" s="352"/>
      <c r="IJ6" s="352"/>
      <c r="IK6" s="352"/>
      <c r="IL6" s="352"/>
      <c r="IM6" s="352"/>
      <c r="IN6" s="352"/>
      <c r="IO6" s="352"/>
      <c r="IP6" s="352"/>
      <c r="IQ6" s="352"/>
      <c r="IR6" s="352"/>
      <c r="IS6" s="352"/>
      <c r="IT6" s="352"/>
      <c r="IU6" s="358"/>
      <c r="IV6" s="351" t="s">
        <v>16</v>
      </c>
      <c r="IW6" s="352"/>
      <c r="IX6" s="352"/>
      <c r="IY6" s="352"/>
      <c r="IZ6" s="352"/>
      <c r="JA6" s="352"/>
      <c r="JB6" s="352"/>
      <c r="JC6" s="352"/>
      <c r="JD6" s="352"/>
      <c r="JE6" s="352"/>
      <c r="JF6" s="352"/>
      <c r="JG6" s="352"/>
      <c r="JH6" s="352"/>
      <c r="JI6" s="352"/>
      <c r="JJ6" s="352"/>
      <c r="JK6" s="352"/>
      <c r="JL6" s="352"/>
      <c r="JM6" s="352"/>
      <c r="JN6" s="352"/>
      <c r="JO6" s="352"/>
      <c r="JP6" s="352"/>
      <c r="JQ6" s="352"/>
      <c r="JR6" s="352"/>
      <c r="JS6" s="352"/>
      <c r="JT6" s="352"/>
      <c r="JU6" s="352"/>
      <c r="JV6" s="352"/>
      <c r="JW6" s="352"/>
      <c r="JX6" s="352"/>
      <c r="JY6" s="352"/>
      <c r="JZ6" s="358"/>
      <c r="KA6" s="351" t="s">
        <v>17</v>
      </c>
      <c r="KB6" s="352"/>
      <c r="KC6" s="352"/>
      <c r="KD6" s="352"/>
      <c r="KE6" s="352"/>
      <c r="KF6" s="352"/>
      <c r="KG6" s="352"/>
      <c r="KH6" s="352"/>
      <c r="KI6" s="352"/>
      <c r="KJ6" s="352"/>
      <c r="KK6" s="352"/>
      <c r="KL6" s="352"/>
      <c r="KM6" s="352"/>
      <c r="KN6" s="352"/>
      <c r="KO6" s="352"/>
      <c r="KP6" s="352"/>
      <c r="KQ6" s="352"/>
      <c r="KR6" s="352"/>
      <c r="KS6" s="352"/>
      <c r="KT6" s="352"/>
      <c r="KU6" s="352"/>
      <c r="KV6" s="352"/>
      <c r="KW6" s="352"/>
      <c r="KX6" s="352"/>
      <c r="KY6" s="352"/>
      <c r="KZ6" s="352"/>
      <c r="LA6" s="352"/>
      <c r="LB6" s="352"/>
      <c r="LC6" s="352"/>
      <c r="LD6" s="352"/>
      <c r="LE6" s="358"/>
      <c r="LF6" s="351" t="s">
        <v>18</v>
      </c>
      <c r="LG6" s="352"/>
      <c r="LH6" s="352"/>
      <c r="LI6" s="352"/>
      <c r="LJ6" s="352"/>
      <c r="LK6" s="352"/>
      <c r="LL6" s="352"/>
      <c r="LM6" s="352"/>
      <c r="LN6" s="352"/>
      <c r="LO6" s="352"/>
      <c r="LP6" s="352"/>
      <c r="LQ6" s="352"/>
      <c r="LR6" s="352"/>
      <c r="LS6" s="352"/>
      <c r="LT6" s="352"/>
      <c r="LU6" s="352"/>
      <c r="LV6" s="352"/>
      <c r="LW6" s="352"/>
      <c r="LX6" s="352"/>
      <c r="LY6" s="352"/>
      <c r="LZ6" s="352"/>
      <c r="MA6" s="352"/>
      <c r="MB6" s="352"/>
      <c r="MC6" s="352"/>
      <c r="MD6" s="352"/>
      <c r="ME6" s="352"/>
      <c r="MF6" s="352"/>
      <c r="MG6" s="358"/>
      <c r="MH6" s="351" t="s">
        <v>19</v>
      </c>
      <c r="MI6" s="352"/>
      <c r="MJ6" s="352"/>
      <c r="MK6" s="352"/>
      <c r="ML6" s="352"/>
      <c r="MM6" s="352"/>
      <c r="MN6" s="352"/>
      <c r="MO6" s="352"/>
      <c r="MP6" s="352"/>
      <c r="MQ6" s="352"/>
      <c r="MR6" s="352"/>
      <c r="MS6" s="352"/>
      <c r="MT6" s="352"/>
      <c r="MU6" s="352"/>
      <c r="MV6" s="352"/>
      <c r="MW6" s="352"/>
      <c r="MX6" s="352"/>
      <c r="MY6" s="352"/>
      <c r="MZ6" s="352"/>
      <c r="NA6" s="352"/>
      <c r="NB6" s="352"/>
      <c r="NC6" s="352"/>
      <c r="ND6" s="352"/>
      <c r="NE6" s="352"/>
      <c r="NF6" s="352"/>
      <c r="NG6" s="352"/>
      <c r="NH6" s="352"/>
      <c r="NI6" s="352"/>
      <c r="NJ6" s="352"/>
      <c r="NK6" s="352"/>
      <c r="NL6" s="352"/>
    </row>
    <row r="7" spans="1:376" s="3" customFormat="1">
      <c r="A7" s="1"/>
      <c r="L7" s="5">
        <v>1</v>
      </c>
      <c r="M7" s="5">
        <v>2</v>
      </c>
      <c r="N7" s="5">
        <v>3</v>
      </c>
      <c r="O7" s="5">
        <v>4</v>
      </c>
      <c r="P7" s="5">
        <v>5</v>
      </c>
      <c r="Q7" s="5">
        <v>6</v>
      </c>
      <c r="R7" s="5">
        <v>7</v>
      </c>
      <c r="S7" s="5">
        <v>8</v>
      </c>
      <c r="T7" s="5">
        <v>9</v>
      </c>
      <c r="U7" s="5">
        <v>10</v>
      </c>
      <c r="V7" s="5">
        <v>11</v>
      </c>
      <c r="W7" s="5">
        <v>12</v>
      </c>
      <c r="X7" s="5">
        <v>13</v>
      </c>
      <c r="Y7" s="5">
        <v>14</v>
      </c>
      <c r="Z7" s="5">
        <v>15</v>
      </c>
      <c r="AA7" s="5">
        <v>16</v>
      </c>
      <c r="AB7" s="5">
        <v>17</v>
      </c>
      <c r="AC7" s="5">
        <v>18</v>
      </c>
      <c r="AD7" s="5">
        <v>19</v>
      </c>
      <c r="AE7" s="5">
        <v>20</v>
      </c>
      <c r="AF7" s="5">
        <v>21</v>
      </c>
      <c r="AG7" s="5">
        <v>22</v>
      </c>
      <c r="AH7" s="5">
        <v>23</v>
      </c>
      <c r="AI7" s="5">
        <v>24</v>
      </c>
      <c r="AJ7" s="5">
        <v>25</v>
      </c>
      <c r="AK7" s="5">
        <v>26</v>
      </c>
      <c r="AL7" s="5">
        <v>27</v>
      </c>
      <c r="AM7" s="5">
        <v>28</v>
      </c>
      <c r="AN7" s="5">
        <v>29</v>
      </c>
      <c r="AO7" s="5">
        <v>30</v>
      </c>
      <c r="AP7" s="5">
        <v>1</v>
      </c>
      <c r="AQ7" s="5">
        <v>2</v>
      </c>
      <c r="AR7" s="5">
        <v>3</v>
      </c>
      <c r="AS7" s="5">
        <v>4</v>
      </c>
      <c r="AT7" s="5">
        <v>5</v>
      </c>
      <c r="AU7" s="5">
        <v>6</v>
      </c>
      <c r="AV7" s="5">
        <v>7</v>
      </c>
      <c r="AW7" s="5">
        <v>8</v>
      </c>
      <c r="AX7" s="5">
        <v>9</v>
      </c>
      <c r="AY7" s="5">
        <v>10</v>
      </c>
      <c r="AZ7" s="5">
        <v>11</v>
      </c>
      <c r="BA7" s="5">
        <v>12</v>
      </c>
      <c r="BB7" s="5">
        <v>13</v>
      </c>
      <c r="BC7" s="5">
        <v>14</v>
      </c>
      <c r="BD7" s="5">
        <v>15</v>
      </c>
      <c r="BE7" s="5">
        <v>16</v>
      </c>
      <c r="BF7" s="5">
        <v>17</v>
      </c>
      <c r="BG7" s="5">
        <v>18</v>
      </c>
      <c r="BH7" s="5">
        <v>19</v>
      </c>
      <c r="BI7" s="5">
        <v>20</v>
      </c>
      <c r="BJ7" s="5">
        <v>21</v>
      </c>
      <c r="BK7" s="5">
        <v>22</v>
      </c>
      <c r="BL7" s="5">
        <v>23</v>
      </c>
      <c r="BM7" s="5">
        <v>24</v>
      </c>
      <c r="BN7" s="5">
        <v>25</v>
      </c>
      <c r="BO7" s="5">
        <v>26</v>
      </c>
      <c r="BP7" s="5">
        <v>27</v>
      </c>
      <c r="BQ7" s="5">
        <v>28</v>
      </c>
      <c r="BR7" s="5">
        <v>29</v>
      </c>
      <c r="BS7" s="5">
        <v>30</v>
      </c>
      <c r="BT7" s="5">
        <v>31</v>
      </c>
      <c r="BU7" s="6">
        <v>1</v>
      </c>
      <c r="BV7" s="6">
        <v>2</v>
      </c>
      <c r="BW7" s="6">
        <v>3</v>
      </c>
      <c r="BX7" s="6">
        <v>4</v>
      </c>
      <c r="BY7" s="6">
        <v>5</v>
      </c>
      <c r="BZ7" s="6">
        <v>6</v>
      </c>
      <c r="CA7" s="6">
        <v>7</v>
      </c>
      <c r="CB7" s="6">
        <v>8</v>
      </c>
      <c r="CC7" s="6">
        <v>9</v>
      </c>
      <c r="CD7" s="6">
        <v>10</v>
      </c>
      <c r="CE7" s="6">
        <v>11</v>
      </c>
      <c r="CF7" s="6">
        <v>12</v>
      </c>
      <c r="CG7" s="6">
        <v>13</v>
      </c>
      <c r="CH7" s="6">
        <v>14</v>
      </c>
      <c r="CI7" s="6">
        <v>15</v>
      </c>
      <c r="CJ7" s="6">
        <v>16</v>
      </c>
      <c r="CK7" s="6">
        <v>17</v>
      </c>
      <c r="CL7" s="6">
        <v>18</v>
      </c>
      <c r="CM7" s="6">
        <v>19</v>
      </c>
      <c r="CN7" s="6">
        <v>20</v>
      </c>
      <c r="CO7" s="6">
        <v>21</v>
      </c>
      <c r="CP7" s="6">
        <v>22</v>
      </c>
      <c r="CQ7" s="6">
        <v>23</v>
      </c>
      <c r="CR7" s="6">
        <v>24</v>
      </c>
      <c r="CS7" s="6">
        <v>25</v>
      </c>
      <c r="CT7" s="6">
        <v>26</v>
      </c>
      <c r="CU7" s="6">
        <v>27</v>
      </c>
      <c r="CV7" s="6">
        <v>28</v>
      </c>
      <c r="CW7" s="6">
        <v>29</v>
      </c>
      <c r="CX7" s="6">
        <v>30</v>
      </c>
      <c r="CY7" s="6">
        <v>1</v>
      </c>
      <c r="CZ7" s="6">
        <v>2</v>
      </c>
      <c r="DA7" s="6">
        <v>3</v>
      </c>
      <c r="DB7" s="6">
        <v>4</v>
      </c>
      <c r="DC7" s="6">
        <v>5</v>
      </c>
      <c r="DD7" s="6">
        <v>6</v>
      </c>
      <c r="DE7" s="6">
        <v>7</v>
      </c>
      <c r="DF7" s="6">
        <v>8</v>
      </c>
      <c r="DG7" s="6">
        <v>9</v>
      </c>
      <c r="DH7" s="6">
        <v>10</v>
      </c>
      <c r="DI7" s="6">
        <v>11</v>
      </c>
      <c r="DJ7" s="6">
        <v>12</v>
      </c>
      <c r="DK7" s="6">
        <v>13</v>
      </c>
      <c r="DL7" s="6">
        <v>14</v>
      </c>
      <c r="DM7" s="6">
        <v>15</v>
      </c>
      <c r="DN7" s="6">
        <v>16</v>
      </c>
      <c r="DO7" s="6">
        <v>17</v>
      </c>
      <c r="DP7" s="6">
        <v>18</v>
      </c>
      <c r="DQ7" s="6">
        <v>19</v>
      </c>
      <c r="DR7" s="6">
        <v>20</v>
      </c>
      <c r="DS7" s="6">
        <v>21</v>
      </c>
      <c r="DT7" s="6">
        <v>22</v>
      </c>
      <c r="DU7" s="6">
        <v>23</v>
      </c>
      <c r="DV7" s="6">
        <v>24</v>
      </c>
      <c r="DW7" s="6">
        <v>25</v>
      </c>
      <c r="DX7" s="6">
        <v>26</v>
      </c>
      <c r="DY7" s="6">
        <v>27</v>
      </c>
      <c r="DZ7" s="6">
        <v>28</v>
      </c>
      <c r="EA7" s="6">
        <v>29</v>
      </c>
      <c r="EB7" s="6">
        <v>30</v>
      </c>
      <c r="EC7" s="6">
        <v>31</v>
      </c>
      <c r="ED7" s="6">
        <v>1</v>
      </c>
      <c r="EE7" s="6">
        <v>2</v>
      </c>
      <c r="EF7" s="6">
        <v>3</v>
      </c>
      <c r="EG7" s="6">
        <v>4</v>
      </c>
      <c r="EH7" s="6">
        <v>5</v>
      </c>
      <c r="EI7" s="6">
        <v>6</v>
      </c>
      <c r="EJ7" s="6">
        <v>7</v>
      </c>
      <c r="EK7" s="6">
        <v>8</v>
      </c>
      <c r="EL7" s="6">
        <v>9</v>
      </c>
      <c r="EM7" s="6">
        <v>10</v>
      </c>
      <c r="EN7" s="6">
        <v>11</v>
      </c>
      <c r="EO7" s="6">
        <v>12</v>
      </c>
      <c r="EP7" s="6">
        <v>13</v>
      </c>
      <c r="EQ7" s="6">
        <v>14</v>
      </c>
      <c r="ER7" s="6">
        <v>15</v>
      </c>
      <c r="ES7" s="6">
        <v>16</v>
      </c>
      <c r="ET7" s="6">
        <v>17</v>
      </c>
      <c r="EU7" s="6">
        <v>18</v>
      </c>
      <c r="EV7" s="6">
        <v>19</v>
      </c>
      <c r="EW7" s="6">
        <v>20</v>
      </c>
      <c r="EX7" s="6">
        <v>21</v>
      </c>
      <c r="EY7" s="6">
        <v>22</v>
      </c>
      <c r="EZ7" s="6">
        <v>23</v>
      </c>
      <c r="FA7" s="6">
        <v>24</v>
      </c>
      <c r="FB7" s="6">
        <v>25</v>
      </c>
      <c r="FC7" s="6">
        <v>26</v>
      </c>
      <c r="FD7" s="6">
        <v>27</v>
      </c>
      <c r="FE7" s="6">
        <v>28</v>
      </c>
      <c r="FF7" s="6">
        <v>29</v>
      </c>
      <c r="FG7" s="6">
        <v>30</v>
      </c>
      <c r="FH7" s="6">
        <v>31</v>
      </c>
      <c r="FI7" s="6">
        <v>1</v>
      </c>
      <c r="FJ7" s="6">
        <v>2</v>
      </c>
      <c r="FK7" s="6">
        <v>3</v>
      </c>
      <c r="FL7" s="6">
        <v>4</v>
      </c>
      <c r="FM7" s="6">
        <v>5</v>
      </c>
      <c r="FN7" s="6">
        <v>6</v>
      </c>
      <c r="FO7" s="6">
        <v>7</v>
      </c>
      <c r="FP7" s="6">
        <v>8</v>
      </c>
      <c r="FQ7" s="6">
        <v>9</v>
      </c>
      <c r="FR7" s="6">
        <v>10</v>
      </c>
      <c r="FS7" s="6">
        <v>11</v>
      </c>
      <c r="FT7" s="6">
        <v>12</v>
      </c>
      <c r="FU7" s="6">
        <v>13</v>
      </c>
      <c r="FV7" s="6">
        <v>14</v>
      </c>
      <c r="FW7" s="6">
        <v>15</v>
      </c>
      <c r="FX7" s="6">
        <v>16</v>
      </c>
      <c r="FY7" s="6">
        <v>17</v>
      </c>
      <c r="FZ7" s="6">
        <v>18</v>
      </c>
      <c r="GA7" s="6">
        <v>19</v>
      </c>
      <c r="GB7" s="6">
        <v>20</v>
      </c>
      <c r="GC7" s="6">
        <v>21</v>
      </c>
      <c r="GD7" s="6">
        <v>22</v>
      </c>
      <c r="GE7" s="6">
        <v>23</v>
      </c>
      <c r="GF7" s="6">
        <v>24</v>
      </c>
      <c r="GG7" s="6">
        <v>25</v>
      </c>
      <c r="GH7" s="6">
        <v>26</v>
      </c>
      <c r="GI7" s="6">
        <v>27</v>
      </c>
      <c r="GJ7" s="6">
        <v>28</v>
      </c>
      <c r="GK7" s="6">
        <v>29</v>
      </c>
      <c r="GL7" s="6">
        <v>30</v>
      </c>
      <c r="GM7" s="6">
        <v>1</v>
      </c>
      <c r="GN7" s="6">
        <v>2</v>
      </c>
      <c r="GO7" s="6">
        <v>3</v>
      </c>
      <c r="GP7" s="6">
        <v>4</v>
      </c>
      <c r="GQ7" s="6">
        <v>5</v>
      </c>
      <c r="GR7" s="6">
        <v>6</v>
      </c>
      <c r="GS7" s="6">
        <v>7</v>
      </c>
      <c r="GT7" s="6">
        <v>8</v>
      </c>
      <c r="GU7" s="6">
        <v>9</v>
      </c>
      <c r="GV7" s="6">
        <v>10</v>
      </c>
      <c r="GW7" s="6">
        <v>11</v>
      </c>
      <c r="GX7" s="6">
        <v>12</v>
      </c>
      <c r="GY7" s="6">
        <v>13</v>
      </c>
      <c r="GZ7" s="6">
        <v>14</v>
      </c>
      <c r="HA7" s="6">
        <v>15</v>
      </c>
      <c r="HB7" s="6">
        <v>16</v>
      </c>
      <c r="HC7" s="6">
        <v>17</v>
      </c>
      <c r="HD7" s="6">
        <v>18</v>
      </c>
      <c r="HE7" s="6">
        <v>19</v>
      </c>
      <c r="HF7" s="6">
        <v>20</v>
      </c>
      <c r="HG7" s="6">
        <v>21</v>
      </c>
      <c r="HH7" s="6">
        <v>22</v>
      </c>
      <c r="HI7" s="6">
        <v>23</v>
      </c>
      <c r="HJ7" s="6">
        <v>24</v>
      </c>
      <c r="HK7" s="6">
        <v>25</v>
      </c>
      <c r="HL7" s="6">
        <v>26</v>
      </c>
      <c r="HM7" s="6">
        <v>27</v>
      </c>
      <c r="HN7" s="6">
        <v>28</v>
      </c>
      <c r="HO7" s="6">
        <v>29</v>
      </c>
      <c r="HP7" s="6">
        <v>30</v>
      </c>
      <c r="HQ7" s="6">
        <v>31</v>
      </c>
      <c r="HR7" s="6">
        <v>1</v>
      </c>
      <c r="HS7" s="6">
        <v>2</v>
      </c>
      <c r="HT7" s="6">
        <v>3</v>
      </c>
      <c r="HU7" s="6">
        <v>4</v>
      </c>
      <c r="HV7" s="6">
        <v>5</v>
      </c>
      <c r="HW7" s="6">
        <v>6</v>
      </c>
      <c r="HX7" s="6">
        <v>7</v>
      </c>
      <c r="HY7" s="6">
        <v>8</v>
      </c>
      <c r="HZ7" s="6">
        <v>9</v>
      </c>
      <c r="IA7" s="6">
        <v>10</v>
      </c>
      <c r="IB7" s="6">
        <v>11</v>
      </c>
      <c r="IC7" s="6">
        <v>12</v>
      </c>
      <c r="ID7" s="6">
        <v>13</v>
      </c>
      <c r="IE7" s="6">
        <v>14</v>
      </c>
      <c r="IF7" s="6">
        <v>15</v>
      </c>
      <c r="IG7" s="6">
        <v>16</v>
      </c>
      <c r="IH7" s="6">
        <v>17</v>
      </c>
      <c r="II7" s="6">
        <v>18</v>
      </c>
      <c r="IJ7" s="6">
        <v>19</v>
      </c>
      <c r="IK7" s="6">
        <v>20</v>
      </c>
      <c r="IL7" s="6">
        <v>21</v>
      </c>
      <c r="IM7" s="6">
        <v>22</v>
      </c>
      <c r="IN7" s="6">
        <v>23</v>
      </c>
      <c r="IO7" s="6">
        <v>24</v>
      </c>
      <c r="IP7" s="6">
        <v>25</v>
      </c>
      <c r="IQ7" s="6">
        <v>26</v>
      </c>
      <c r="IR7" s="6">
        <v>27</v>
      </c>
      <c r="IS7" s="6">
        <v>28</v>
      </c>
      <c r="IT7" s="6">
        <v>29</v>
      </c>
      <c r="IU7" s="6">
        <v>30</v>
      </c>
      <c r="IV7" s="6">
        <v>1</v>
      </c>
      <c r="IW7" s="6">
        <v>2</v>
      </c>
      <c r="IX7" s="6">
        <v>3</v>
      </c>
      <c r="IY7" s="6">
        <v>4</v>
      </c>
      <c r="IZ7" s="6">
        <v>5</v>
      </c>
      <c r="JA7" s="6">
        <v>6</v>
      </c>
      <c r="JB7" s="6">
        <v>7</v>
      </c>
      <c r="JC7" s="6">
        <v>8</v>
      </c>
      <c r="JD7" s="6">
        <v>9</v>
      </c>
      <c r="JE7" s="6">
        <v>10</v>
      </c>
      <c r="JF7" s="6">
        <v>11</v>
      </c>
      <c r="JG7" s="6">
        <v>12</v>
      </c>
      <c r="JH7" s="6">
        <v>13</v>
      </c>
      <c r="JI7" s="6">
        <v>14</v>
      </c>
      <c r="JJ7" s="6">
        <v>15</v>
      </c>
      <c r="JK7" s="6">
        <v>16</v>
      </c>
      <c r="JL7" s="6">
        <v>17</v>
      </c>
      <c r="JM7" s="6">
        <v>18</v>
      </c>
      <c r="JN7" s="6">
        <v>19</v>
      </c>
      <c r="JO7" s="6">
        <v>20</v>
      </c>
      <c r="JP7" s="6">
        <v>21</v>
      </c>
      <c r="JQ7" s="6">
        <v>22</v>
      </c>
      <c r="JR7" s="6">
        <v>23</v>
      </c>
      <c r="JS7" s="6">
        <v>24</v>
      </c>
      <c r="JT7" s="6">
        <v>25</v>
      </c>
      <c r="JU7" s="6">
        <v>26</v>
      </c>
      <c r="JV7" s="6">
        <v>27</v>
      </c>
      <c r="JW7" s="6">
        <v>28</v>
      </c>
      <c r="JX7" s="6">
        <v>29</v>
      </c>
      <c r="JY7" s="6">
        <v>30</v>
      </c>
      <c r="JZ7" s="6">
        <v>31</v>
      </c>
      <c r="KA7" s="6">
        <v>1</v>
      </c>
      <c r="KB7" s="6">
        <v>2</v>
      </c>
      <c r="KC7" s="6">
        <v>3</v>
      </c>
      <c r="KD7" s="6">
        <v>4</v>
      </c>
      <c r="KE7" s="6">
        <v>5</v>
      </c>
      <c r="KF7" s="6">
        <v>6</v>
      </c>
      <c r="KG7" s="6">
        <v>7</v>
      </c>
      <c r="KH7" s="6">
        <v>8</v>
      </c>
      <c r="KI7" s="6">
        <v>9</v>
      </c>
      <c r="KJ7" s="6">
        <v>10</v>
      </c>
      <c r="KK7" s="6">
        <v>11</v>
      </c>
      <c r="KL7" s="6">
        <v>12</v>
      </c>
      <c r="KM7" s="6">
        <v>13</v>
      </c>
      <c r="KN7" s="6">
        <v>14</v>
      </c>
      <c r="KO7" s="6">
        <v>15</v>
      </c>
      <c r="KP7" s="6">
        <v>16</v>
      </c>
      <c r="KQ7" s="6">
        <v>17</v>
      </c>
      <c r="KR7" s="6">
        <v>18</v>
      </c>
      <c r="KS7" s="6">
        <v>19</v>
      </c>
      <c r="KT7" s="6">
        <v>20</v>
      </c>
      <c r="KU7" s="6">
        <v>21</v>
      </c>
      <c r="KV7" s="6">
        <v>22</v>
      </c>
      <c r="KW7" s="6">
        <v>23</v>
      </c>
      <c r="KX7" s="6">
        <v>24</v>
      </c>
      <c r="KY7" s="6">
        <v>25</v>
      </c>
      <c r="KZ7" s="6">
        <v>26</v>
      </c>
      <c r="LA7" s="6">
        <v>27</v>
      </c>
      <c r="LB7" s="6">
        <v>28</v>
      </c>
      <c r="LC7" s="6">
        <v>29</v>
      </c>
      <c r="LD7" s="6">
        <v>30</v>
      </c>
      <c r="LE7" s="6">
        <v>31</v>
      </c>
      <c r="LF7" s="6">
        <v>1</v>
      </c>
      <c r="LG7" s="6">
        <v>2</v>
      </c>
      <c r="LH7" s="6">
        <v>3</v>
      </c>
      <c r="LI7" s="6">
        <v>4</v>
      </c>
      <c r="LJ7" s="6">
        <v>5</v>
      </c>
      <c r="LK7" s="6">
        <v>6</v>
      </c>
      <c r="LL7" s="6">
        <v>7</v>
      </c>
      <c r="LM7" s="6">
        <v>8</v>
      </c>
      <c r="LN7" s="6">
        <v>9</v>
      </c>
      <c r="LO7" s="6">
        <v>10</v>
      </c>
      <c r="LP7" s="6">
        <v>11</v>
      </c>
      <c r="LQ7" s="6">
        <v>12</v>
      </c>
      <c r="LR7" s="6">
        <v>13</v>
      </c>
      <c r="LS7" s="6">
        <v>14</v>
      </c>
      <c r="LT7" s="6">
        <v>15</v>
      </c>
      <c r="LU7" s="6">
        <v>16</v>
      </c>
      <c r="LV7" s="6">
        <v>17</v>
      </c>
      <c r="LW7" s="6">
        <v>18</v>
      </c>
      <c r="LX7" s="6">
        <v>19</v>
      </c>
      <c r="LY7" s="6">
        <v>20</v>
      </c>
      <c r="LZ7" s="6">
        <v>21</v>
      </c>
      <c r="MA7" s="6">
        <v>22</v>
      </c>
      <c r="MB7" s="6">
        <v>23</v>
      </c>
      <c r="MC7" s="6">
        <v>24</v>
      </c>
      <c r="MD7" s="6">
        <v>25</v>
      </c>
      <c r="ME7" s="6">
        <v>26</v>
      </c>
      <c r="MF7" s="6">
        <v>27</v>
      </c>
      <c r="MG7" s="6">
        <v>28</v>
      </c>
      <c r="MH7" s="6">
        <v>1</v>
      </c>
      <c r="MI7" s="6">
        <v>2</v>
      </c>
      <c r="MJ7" s="6">
        <v>3</v>
      </c>
      <c r="MK7" s="6">
        <v>4</v>
      </c>
      <c r="ML7" s="6">
        <v>5</v>
      </c>
      <c r="MM7" s="6">
        <v>6</v>
      </c>
      <c r="MN7" s="6">
        <v>7</v>
      </c>
      <c r="MO7" s="6">
        <v>8</v>
      </c>
      <c r="MP7" s="6">
        <v>9</v>
      </c>
      <c r="MQ7" s="6">
        <v>10</v>
      </c>
      <c r="MR7" s="6">
        <v>11</v>
      </c>
      <c r="MS7" s="6">
        <v>12</v>
      </c>
      <c r="MT7" s="6">
        <v>13</v>
      </c>
      <c r="MU7" s="6">
        <v>14</v>
      </c>
      <c r="MV7" s="6">
        <v>15</v>
      </c>
      <c r="MW7" s="6">
        <v>16</v>
      </c>
      <c r="MX7" s="6">
        <v>17</v>
      </c>
      <c r="MY7" s="6">
        <v>18</v>
      </c>
      <c r="MZ7" s="6">
        <v>19</v>
      </c>
      <c r="NA7" s="6">
        <v>20</v>
      </c>
      <c r="NB7" s="6">
        <v>21</v>
      </c>
      <c r="NC7" s="6">
        <v>22</v>
      </c>
      <c r="ND7" s="6">
        <v>23</v>
      </c>
      <c r="NE7" s="6">
        <v>24</v>
      </c>
      <c r="NF7" s="6">
        <v>25</v>
      </c>
      <c r="NG7" s="6">
        <v>26</v>
      </c>
      <c r="NH7" s="6">
        <v>27</v>
      </c>
      <c r="NI7" s="6">
        <v>28</v>
      </c>
      <c r="NJ7" s="6">
        <v>29</v>
      </c>
      <c r="NK7" s="6">
        <v>30</v>
      </c>
      <c r="NL7" s="6">
        <v>31</v>
      </c>
    </row>
    <row r="8" spans="1:376" s="4" customFormat="1" ht="19.5" customHeight="1">
      <c r="A8" s="1"/>
      <c r="B8" s="31" t="s">
        <v>20</v>
      </c>
      <c r="C8" s="31" t="s">
        <v>21</v>
      </c>
      <c r="D8" s="31" t="s">
        <v>22</v>
      </c>
      <c r="E8" s="31" t="s">
        <v>23</v>
      </c>
      <c r="F8" s="31" t="s">
        <v>24</v>
      </c>
      <c r="G8" s="31" t="s">
        <v>25</v>
      </c>
      <c r="H8" s="31" t="s">
        <v>26</v>
      </c>
      <c r="I8" s="31" t="s">
        <v>27</v>
      </c>
      <c r="J8" s="31" t="s">
        <v>4</v>
      </c>
      <c r="K8" s="31" t="s">
        <v>28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</row>
    <row r="9" spans="1:376">
      <c r="B9" s="29" t="s">
        <v>29</v>
      </c>
      <c r="C9" s="29" t="s">
        <v>30</v>
      </c>
      <c r="D9" s="29" t="s">
        <v>31</v>
      </c>
      <c r="E9" s="29">
        <v>0</v>
      </c>
      <c r="F9" s="29">
        <v>20</v>
      </c>
      <c r="G9" s="29">
        <v>4</v>
      </c>
      <c r="H9" s="29">
        <f>E9+F9-COUNTIF(L9:NL9,$H$2)</f>
        <v>20</v>
      </c>
      <c r="I9" s="30">
        <f>G9-COUNTIF(L9:NL9,$H$3)</f>
        <v>4</v>
      </c>
      <c r="J9" s="30">
        <f>COUNTIF(K9:NK9,$H$4)</f>
        <v>0</v>
      </c>
      <c r="K9" s="30">
        <f>COUNTIF(L9:NL9,$H$5)</f>
        <v>0</v>
      </c>
      <c r="L9" s="28"/>
      <c r="M9" s="8"/>
      <c r="N9" s="8"/>
      <c r="O9" s="7"/>
      <c r="P9" s="7"/>
      <c r="Q9" s="8"/>
      <c r="R9" s="8"/>
      <c r="S9" s="8"/>
      <c r="T9" s="8"/>
      <c r="U9" s="7"/>
      <c r="V9" s="7"/>
      <c r="W9" s="7"/>
      <c r="X9" s="7"/>
      <c r="Y9" s="8"/>
      <c r="Z9" s="8"/>
      <c r="AA9" s="8"/>
      <c r="AB9" s="8"/>
      <c r="AC9" s="7"/>
      <c r="AD9" s="7"/>
      <c r="AE9" s="7"/>
      <c r="AF9" s="8"/>
      <c r="AG9" s="8"/>
      <c r="AH9" s="8"/>
      <c r="AI9" s="8"/>
      <c r="AJ9" s="7"/>
      <c r="AK9" s="7"/>
      <c r="AL9" s="8"/>
      <c r="AM9" s="8"/>
      <c r="AN9" s="8"/>
      <c r="AO9" s="8"/>
      <c r="AP9" s="7"/>
      <c r="AQ9" s="7"/>
      <c r="AR9" s="7"/>
      <c r="AS9" s="8"/>
      <c r="AT9" s="8"/>
      <c r="AU9" s="8"/>
      <c r="AV9" s="8"/>
      <c r="AW9" s="8"/>
      <c r="AX9" s="7"/>
      <c r="AY9" s="7"/>
      <c r="AZ9" s="8"/>
      <c r="BA9" s="8"/>
      <c r="BB9" s="8"/>
      <c r="BC9" s="8"/>
      <c r="BD9" s="8"/>
      <c r="BE9" s="7"/>
      <c r="BF9" s="7"/>
      <c r="BG9" s="8"/>
      <c r="BH9" s="8"/>
      <c r="BI9" s="8"/>
      <c r="BJ9" s="8"/>
      <c r="BK9" s="8"/>
      <c r="BL9" s="7"/>
      <c r="BM9" s="7"/>
      <c r="BN9" s="8"/>
      <c r="BO9" s="8"/>
      <c r="BP9" s="8"/>
      <c r="BQ9" s="8"/>
      <c r="BR9" s="8"/>
      <c r="BS9" s="7"/>
      <c r="BT9" s="7"/>
      <c r="BU9" s="8"/>
      <c r="BV9" s="8"/>
      <c r="BW9" s="8"/>
      <c r="BX9" s="8"/>
      <c r="BY9" s="8"/>
      <c r="BZ9" s="7"/>
      <c r="CA9" s="7"/>
      <c r="CB9" s="8"/>
      <c r="CC9" s="8"/>
      <c r="CD9" s="8"/>
      <c r="CE9" s="8"/>
      <c r="CF9" s="8"/>
      <c r="CG9" s="7"/>
      <c r="CH9" s="7"/>
      <c r="CI9" s="8"/>
      <c r="CJ9" s="8"/>
      <c r="CK9" s="8"/>
      <c r="CL9" s="8"/>
      <c r="CM9" s="8"/>
      <c r="CN9" s="7"/>
      <c r="CO9" s="7"/>
      <c r="CP9" s="8"/>
      <c r="CQ9" s="8"/>
      <c r="CR9" s="7"/>
      <c r="CS9" s="8"/>
      <c r="CT9" s="8"/>
      <c r="CU9" s="7"/>
      <c r="CV9" s="7"/>
      <c r="CW9" s="8"/>
      <c r="CX9" s="8"/>
      <c r="CY9" s="8"/>
      <c r="CZ9" s="8"/>
      <c r="DA9" s="8"/>
      <c r="DB9" s="7"/>
      <c r="DC9" s="7"/>
      <c r="DD9" s="8"/>
      <c r="DE9" s="8"/>
      <c r="DF9" s="8"/>
      <c r="DG9" s="8"/>
      <c r="DH9" s="8"/>
      <c r="DI9" s="7"/>
      <c r="DJ9" s="7"/>
      <c r="DK9" s="8"/>
      <c r="DL9" s="8"/>
      <c r="DM9" s="8"/>
      <c r="DN9" s="8"/>
      <c r="DO9" s="8"/>
      <c r="DP9" s="7"/>
      <c r="DQ9" s="7"/>
      <c r="DR9" s="8"/>
      <c r="DS9" s="8"/>
      <c r="DT9" s="8"/>
      <c r="DU9" s="8"/>
      <c r="DV9" s="8"/>
      <c r="DW9" s="7"/>
      <c r="DX9" s="7"/>
      <c r="DY9" s="8"/>
      <c r="DZ9" s="8"/>
      <c r="EA9" s="8"/>
      <c r="EB9" s="8"/>
      <c r="EC9" s="8"/>
      <c r="ED9" s="7"/>
      <c r="EE9" s="7"/>
      <c r="EF9" s="8"/>
      <c r="EG9" s="8"/>
      <c r="EH9" s="8"/>
      <c r="EI9" s="8"/>
      <c r="EJ9" s="8"/>
      <c r="EK9" s="7"/>
      <c r="EL9" s="7"/>
      <c r="EM9" s="8"/>
      <c r="EN9" s="8"/>
      <c r="EO9" s="8"/>
      <c r="EP9" s="8"/>
      <c r="EQ9" s="8"/>
      <c r="ER9" s="7"/>
      <c r="ES9" s="7"/>
      <c r="ET9" s="8"/>
      <c r="EU9" s="8"/>
      <c r="EV9" s="8"/>
      <c r="EW9" s="8"/>
      <c r="EX9" s="8"/>
      <c r="EY9" s="7"/>
      <c r="EZ9" s="7"/>
      <c r="FA9" s="8"/>
      <c r="FB9" s="8"/>
      <c r="FC9" s="8"/>
      <c r="FD9" s="8"/>
      <c r="FE9" s="8"/>
      <c r="FF9" s="7"/>
      <c r="FG9" s="7"/>
      <c r="FH9" s="8"/>
      <c r="FI9" s="8"/>
      <c r="FJ9" s="8"/>
      <c r="FK9" s="8"/>
      <c r="FL9" s="8"/>
      <c r="FM9" s="7"/>
      <c r="FN9" s="7"/>
      <c r="FO9" s="8"/>
      <c r="FP9" s="8"/>
      <c r="FQ9" s="8"/>
      <c r="FR9" s="8"/>
      <c r="FS9" s="8"/>
      <c r="FT9" s="7"/>
      <c r="FU9" s="7"/>
      <c r="FV9" s="8"/>
      <c r="FW9" s="8"/>
      <c r="FX9" s="8"/>
      <c r="FY9" s="8"/>
      <c r="FZ9" s="8"/>
      <c r="GA9" s="7"/>
      <c r="GB9" s="7"/>
      <c r="GC9" s="8"/>
      <c r="GD9" s="8"/>
      <c r="GE9" s="8"/>
      <c r="GF9" s="8"/>
      <c r="GG9" s="8"/>
      <c r="GH9" s="7"/>
      <c r="GI9" s="7"/>
      <c r="GJ9" s="8"/>
      <c r="GK9" s="8"/>
      <c r="GL9" s="8"/>
      <c r="GM9" s="8"/>
      <c r="GN9" s="8"/>
      <c r="GO9" s="7"/>
      <c r="GP9" s="7"/>
      <c r="GQ9" s="8"/>
      <c r="GR9" s="8"/>
      <c r="GS9" s="8"/>
      <c r="GT9" s="8"/>
      <c r="GU9" s="7"/>
      <c r="GV9" s="7"/>
      <c r="GW9" s="7"/>
      <c r="GX9" s="7"/>
      <c r="GY9" s="8"/>
      <c r="GZ9" s="8"/>
      <c r="HA9" s="8"/>
      <c r="HB9" s="8"/>
      <c r="HC9" s="7"/>
      <c r="HD9" s="7"/>
      <c r="HE9" s="8"/>
      <c r="HF9" s="8"/>
      <c r="HG9" s="8"/>
      <c r="HH9" s="8"/>
      <c r="HI9" s="8"/>
      <c r="HJ9" s="7"/>
      <c r="HK9" s="7"/>
      <c r="HL9" s="8"/>
      <c r="HM9" s="8"/>
      <c r="HN9" s="8"/>
      <c r="HO9" s="8"/>
      <c r="HP9" s="8"/>
      <c r="HQ9" s="7"/>
      <c r="HR9" s="7"/>
      <c r="HS9" s="8"/>
      <c r="HT9" s="8"/>
      <c r="HU9" s="8"/>
      <c r="HV9" s="8"/>
      <c r="HW9" s="8"/>
      <c r="HX9" s="7"/>
      <c r="HY9" s="7"/>
      <c r="HZ9" s="8"/>
      <c r="IA9" s="8"/>
      <c r="IB9" s="8"/>
      <c r="IC9" s="8"/>
      <c r="ID9" s="8"/>
      <c r="IE9" s="7"/>
      <c r="IF9" s="7"/>
      <c r="IG9" s="8"/>
      <c r="IH9" s="8"/>
      <c r="II9" s="8"/>
      <c r="IJ9" s="8"/>
      <c r="IK9" s="8"/>
      <c r="IL9" s="7"/>
      <c r="IM9" s="7"/>
      <c r="IN9" s="8"/>
      <c r="IO9" s="8"/>
      <c r="IP9" s="8"/>
      <c r="IQ9" s="8"/>
      <c r="IR9" s="8"/>
      <c r="IS9" s="7"/>
      <c r="IT9" s="7"/>
      <c r="IU9" s="8"/>
      <c r="IV9" s="8"/>
      <c r="IW9" s="8"/>
      <c r="IX9" s="8"/>
      <c r="IY9" s="8"/>
      <c r="IZ9" s="7"/>
      <c r="JA9" s="7"/>
      <c r="JB9" s="8"/>
      <c r="JC9" s="25"/>
      <c r="JD9" s="8"/>
      <c r="JE9" s="8"/>
      <c r="JF9" s="8"/>
      <c r="JG9" s="7"/>
      <c r="JH9" s="7"/>
      <c r="JI9" s="8"/>
      <c r="JJ9" s="8"/>
      <c r="JK9" s="8"/>
      <c r="JL9" s="8"/>
      <c r="JM9" s="8"/>
      <c r="JN9" s="7"/>
      <c r="JO9" s="7"/>
      <c r="JP9" s="8"/>
      <c r="JQ9" s="8"/>
      <c r="JR9" s="8"/>
      <c r="JS9" s="8"/>
      <c r="JT9" s="25"/>
      <c r="JU9" s="7"/>
      <c r="JV9" s="7"/>
      <c r="JW9" s="8"/>
      <c r="JX9" s="8"/>
      <c r="JY9" s="8"/>
      <c r="JZ9" s="8"/>
      <c r="KA9" s="25"/>
      <c r="KB9" s="7"/>
      <c r="KC9" s="7"/>
      <c r="KD9" s="8"/>
      <c r="KE9" s="8"/>
      <c r="KF9" s="8"/>
      <c r="KG9" s="8"/>
      <c r="KH9" s="8"/>
      <c r="KI9" s="7"/>
      <c r="KJ9" s="7"/>
      <c r="KK9" s="8"/>
      <c r="KL9" s="8"/>
      <c r="KM9" s="8"/>
      <c r="KN9" s="8"/>
      <c r="KO9" s="8"/>
      <c r="KP9" s="7"/>
      <c r="KQ9" s="7"/>
      <c r="KR9" s="8"/>
      <c r="KS9" s="8"/>
      <c r="KT9" s="8"/>
      <c r="KU9" s="8"/>
      <c r="KV9" s="8"/>
      <c r="KW9" s="7"/>
      <c r="KX9" s="7"/>
      <c r="KY9" s="8"/>
      <c r="KZ9" s="8"/>
      <c r="LA9" s="8"/>
      <c r="LB9" s="8"/>
      <c r="LC9" s="8"/>
      <c r="LD9" s="7"/>
      <c r="LE9" s="7"/>
      <c r="LF9" s="8"/>
      <c r="LG9" s="8"/>
      <c r="LH9" s="8"/>
      <c r="LI9" s="8"/>
      <c r="LJ9" s="8"/>
      <c r="LK9" s="7"/>
      <c r="LL9" s="7"/>
      <c r="LM9" s="8"/>
      <c r="LN9" s="8"/>
      <c r="LO9" s="8"/>
      <c r="LP9" s="8"/>
      <c r="LQ9" s="8"/>
      <c r="LR9" s="7"/>
      <c r="LS9" s="7"/>
      <c r="LT9" s="8"/>
      <c r="LU9" s="8"/>
      <c r="LV9" s="8"/>
      <c r="LW9" s="8"/>
      <c r="LX9" s="8"/>
      <c r="LY9" s="7"/>
      <c r="LZ9" s="7"/>
      <c r="MA9" s="8"/>
      <c r="MB9" s="8"/>
      <c r="MC9" s="8"/>
      <c r="MD9" s="8"/>
      <c r="ME9" s="8"/>
      <c r="MF9" s="7"/>
      <c r="MG9" s="7"/>
      <c r="MH9" s="8"/>
      <c r="MI9" s="8"/>
      <c r="MJ9" s="8"/>
      <c r="MK9" s="8"/>
      <c r="ML9" s="8"/>
      <c r="MM9" s="7"/>
      <c r="MN9" s="7"/>
      <c r="MO9" s="8"/>
      <c r="MP9" s="8"/>
      <c r="MQ9" s="8"/>
      <c r="MR9" s="8"/>
      <c r="MS9" s="8"/>
      <c r="MT9" s="7"/>
      <c r="MU9" s="7"/>
      <c r="MV9" s="8"/>
      <c r="MW9" s="8"/>
      <c r="MX9" s="8"/>
      <c r="MY9" s="8"/>
      <c r="MZ9" s="8"/>
      <c r="NA9" s="7"/>
      <c r="NB9" s="7"/>
      <c r="NC9" s="8"/>
      <c r="ND9" s="8"/>
      <c r="NE9" s="8"/>
      <c r="NF9" s="8"/>
      <c r="NG9" s="8"/>
      <c r="NH9" s="7"/>
      <c r="NI9" s="7"/>
      <c r="NJ9" s="8"/>
      <c r="NK9" s="8"/>
      <c r="NL9" s="8"/>
    </row>
    <row r="10" spans="1:376">
      <c r="B10" s="29" t="s">
        <v>32</v>
      </c>
      <c r="C10" s="29" t="s">
        <v>30</v>
      </c>
      <c r="D10" s="29" t="s">
        <v>31</v>
      </c>
      <c r="E10" s="29">
        <v>0</v>
      </c>
      <c r="F10" s="29">
        <v>15</v>
      </c>
      <c r="G10" s="29">
        <v>0</v>
      </c>
      <c r="H10" s="29">
        <f t="shared" ref="H10:H32" si="0">E10+F10-COUNTIF(L10:NL10,$H$2)</f>
        <v>15</v>
      </c>
      <c r="I10" s="30">
        <f t="shared" ref="I10:I32" si="1">G10-COUNTIF(L10:NL10,$H$3)</f>
        <v>0</v>
      </c>
      <c r="J10" s="30">
        <f t="shared" ref="J10:J32" si="2">COUNTIF(K10:NK10,$H$4)</f>
        <v>0</v>
      </c>
      <c r="K10" s="30">
        <f t="shared" ref="K10:K32" si="3">COUNTIF(L10:NL10,$H$5)</f>
        <v>0</v>
      </c>
      <c r="L10" s="28"/>
      <c r="M10" s="8"/>
      <c r="N10" s="8"/>
      <c r="O10" s="7"/>
      <c r="P10" s="7"/>
      <c r="Q10" s="8"/>
      <c r="R10" s="8"/>
      <c r="S10" s="8"/>
      <c r="T10" s="8"/>
      <c r="U10" s="7"/>
      <c r="V10" s="7"/>
      <c r="W10" s="7"/>
      <c r="X10" s="7"/>
      <c r="Y10" s="8"/>
      <c r="Z10" s="8"/>
      <c r="AA10" s="8"/>
      <c r="AB10" s="8"/>
      <c r="AC10" s="7"/>
      <c r="AD10" s="7"/>
      <c r="AE10" s="7"/>
      <c r="AF10" s="8"/>
      <c r="AG10" s="8"/>
      <c r="AH10" s="8"/>
      <c r="AI10" s="8"/>
      <c r="AJ10" s="7"/>
      <c r="AK10" s="7"/>
      <c r="AL10" s="8"/>
      <c r="AM10" s="8"/>
      <c r="AN10" s="8"/>
      <c r="AO10" s="8"/>
      <c r="AP10" s="7"/>
      <c r="AQ10" s="7"/>
      <c r="AR10" s="7"/>
      <c r="AS10" s="8"/>
      <c r="AT10" s="8"/>
      <c r="AU10" s="8"/>
      <c r="AV10" s="8"/>
      <c r="AW10" s="8"/>
      <c r="AX10" s="7"/>
      <c r="AY10" s="7"/>
      <c r="AZ10" s="8"/>
      <c r="BA10" s="8"/>
      <c r="BB10" s="8"/>
      <c r="BC10" s="8"/>
      <c r="BD10" s="8"/>
      <c r="BE10" s="7"/>
      <c r="BF10" s="7"/>
      <c r="BG10" s="8"/>
      <c r="BH10" s="8"/>
      <c r="BI10" s="8"/>
      <c r="BJ10" s="8"/>
      <c r="BK10" s="8"/>
      <c r="BL10" s="7"/>
      <c r="BM10" s="7"/>
      <c r="BN10" s="8"/>
      <c r="BO10" s="8"/>
      <c r="BP10" s="8"/>
      <c r="BQ10" s="8"/>
      <c r="BR10" s="8"/>
      <c r="BS10" s="7"/>
      <c r="BT10" s="7"/>
      <c r="BU10" s="8"/>
      <c r="BV10" s="8"/>
      <c r="BW10" s="8"/>
      <c r="BX10" s="8"/>
      <c r="BY10" s="8"/>
      <c r="BZ10" s="7"/>
      <c r="CA10" s="7"/>
      <c r="CB10" s="8"/>
      <c r="CC10" s="8"/>
      <c r="CD10" s="8"/>
      <c r="CE10" s="8"/>
      <c r="CF10" s="8"/>
      <c r="CG10" s="7"/>
      <c r="CH10" s="7"/>
      <c r="CI10" s="8"/>
      <c r="CJ10" s="8"/>
      <c r="CK10" s="8"/>
      <c r="CL10" s="8"/>
      <c r="CM10" s="8"/>
      <c r="CN10" s="7"/>
      <c r="CO10" s="7"/>
      <c r="CP10" s="8"/>
      <c r="CQ10" s="8"/>
      <c r="CR10" s="7"/>
      <c r="CS10" s="8"/>
      <c r="CT10" s="8"/>
      <c r="CU10" s="7"/>
      <c r="CV10" s="7"/>
      <c r="CW10" s="8"/>
      <c r="CX10" s="8"/>
      <c r="CY10" s="8"/>
      <c r="CZ10" s="8"/>
      <c r="DA10" s="8"/>
      <c r="DB10" s="7"/>
      <c r="DC10" s="7"/>
      <c r="DD10" s="8"/>
      <c r="DE10" s="8"/>
      <c r="DF10" s="8"/>
      <c r="DG10" s="8"/>
      <c r="DH10" s="8"/>
      <c r="DI10" s="7"/>
      <c r="DJ10" s="7"/>
      <c r="DK10" s="8"/>
      <c r="DL10" s="8"/>
      <c r="DM10" s="8"/>
      <c r="DN10" s="8"/>
      <c r="DO10" s="8"/>
      <c r="DP10" s="7"/>
      <c r="DQ10" s="7"/>
      <c r="DR10" s="8"/>
      <c r="DS10" s="8"/>
      <c r="DT10" s="8"/>
      <c r="DU10" s="8"/>
      <c r="DV10" s="8"/>
      <c r="DW10" s="7"/>
      <c r="DX10" s="7"/>
      <c r="DY10" s="8"/>
      <c r="DZ10" s="8"/>
      <c r="EA10" s="8"/>
      <c r="EB10" s="8"/>
      <c r="EC10" s="8"/>
      <c r="ED10" s="7"/>
      <c r="EE10" s="7"/>
      <c r="EF10" s="8"/>
      <c r="EG10" s="8"/>
      <c r="EH10" s="8"/>
      <c r="EI10" s="8"/>
      <c r="EJ10" s="8"/>
      <c r="EK10" s="7"/>
      <c r="EL10" s="7"/>
      <c r="EM10" s="8"/>
      <c r="EN10" s="8"/>
      <c r="EO10" s="8"/>
      <c r="EP10" s="8"/>
      <c r="EQ10" s="8"/>
      <c r="ER10" s="7"/>
      <c r="ES10" s="7"/>
      <c r="ET10" s="8"/>
      <c r="EU10" s="8"/>
      <c r="EV10" s="8"/>
      <c r="EW10" s="8"/>
      <c r="EX10" s="8"/>
      <c r="EY10" s="7"/>
      <c r="EZ10" s="7"/>
      <c r="FA10" s="8"/>
      <c r="FB10" s="8"/>
      <c r="FC10" s="8"/>
      <c r="FD10" s="8"/>
      <c r="FE10" s="8"/>
      <c r="FF10" s="7"/>
      <c r="FG10" s="7"/>
      <c r="FH10" s="8"/>
      <c r="FI10" s="8"/>
      <c r="FJ10" s="8"/>
      <c r="FK10" s="8"/>
      <c r="FL10" s="8"/>
      <c r="FM10" s="7"/>
      <c r="FN10" s="7"/>
      <c r="FO10" s="8"/>
      <c r="FP10" s="8"/>
      <c r="FQ10" s="8"/>
      <c r="FR10" s="8"/>
      <c r="FS10" s="8"/>
      <c r="FT10" s="7"/>
      <c r="FU10" s="7"/>
      <c r="FV10" s="8"/>
      <c r="FW10" s="8"/>
      <c r="FX10" s="8"/>
      <c r="FY10" s="8"/>
      <c r="FZ10" s="8"/>
      <c r="GA10" s="7"/>
      <c r="GB10" s="7"/>
      <c r="GC10" s="8"/>
      <c r="GD10" s="8"/>
      <c r="GE10" s="8"/>
      <c r="GF10" s="8"/>
      <c r="GG10" s="8"/>
      <c r="GH10" s="7"/>
      <c r="GI10" s="7"/>
      <c r="GJ10" s="8"/>
      <c r="GK10" s="8"/>
      <c r="GL10" s="8"/>
      <c r="GM10" s="8"/>
      <c r="GN10" s="8"/>
      <c r="GO10" s="7"/>
      <c r="GP10" s="7"/>
      <c r="GQ10" s="8"/>
      <c r="GR10" s="8"/>
      <c r="GS10" s="8"/>
      <c r="GT10" s="8"/>
      <c r="GU10" s="7"/>
      <c r="GV10" s="7"/>
      <c r="GW10" s="7"/>
      <c r="GX10" s="7"/>
      <c r="GY10" s="8"/>
      <c r="GZ10" s="8"/>
      <c r="HA10" s="8"/>
      <c r="HB10" s="8"/>
      <c r="HC10" s="7"/>
      <c r="HD10" s="7"/>
      <c r="HE10" s="8"/>
      <c r="HF10" s="8"/>
      <c r="HG10" s="8"/>
      <c r="HH10" s="8"/>
      <c r="HI10" s="8"/>
      <c r="HJ10" s="7"/>
      <c r="HK10" s="7"/>
      <c r="HL10" s="8"/>
      <c r="HM10" s="8"/>
      <c r="HN10" s="8"/>
      <c r="HO10" s="8"/>
      <c r="HP10" s="8"/>
      <c r="HQ10" s="7"/>
      <c r="HR10" s="7"/>
      <c r="HS10" s="8"/>
      <c r="HT10" s="8"/>
      <c r="HU10" s="8"/>
      <c r="HV10" s="8"/>
      <c r="HW10" s="8"/>
      <c r="HX10" s="7"/>
      <c r="HY10" s="7"/>
      <c r="HZ10" s="8"/>
      <c r="IA10" s="8"/>
      <c r="IB10" s="8"/>
      <c r="IC10" s="8"/>
      <c r="ID10" s="8"/>
      <c r="IE10" s="7"/>
      <c r="IF10" s="7"/>
      <c r="IG10" s="8"/>
      <c r="IH10" s="8"/>
      <c r="II10" s="8"/>
      <c r="IJ10" s="8"/>
      <c r="IK10" s="8"/>
      <c r="IL10" s="7"/>
      <c r="IM10" s="7"/>
      <c r="IN10" s="8"/>
      <c r="IO10" s="8"/>
      <c r="IP10" s="8"/>
      <c r="IQ10" s="8"/>
      <c r="IR10" s="8"/>
      <c r="IS10" s="7"/>
      <c r="IT10" s="7"/>
      <c r="IU10" s="8"/>
      <c r="IV10" s="8"/>
      <c r="IW10" s="8"/>
      <c r="IX10" s="8"/>
      <c r="IY10" s="8"/>
      <c r="IZ10" s="7"/>
      <c r="JA10" s="7"/>
      <c r="JB10" s="8"/>
      <c r="JC10" s="25"/>
      <c r="JD10" s="8"/>
      <c r="JE10" s="8"/>
      <c r="JF10" s="8"/>
      <c r="JG10" s="7"/>
      <c r="JH10" s="7"/>
      <c r="JI10" s="8"/>
      <c r="JJ10" s="8"/>
      <c r="JK10" s="8"/>
      <c r="JL10" s="8"/>
      <c r="JM10" s="8"/>
      <c r="JN10" s="7"/>
      <c r="JO10" s="7"/>
      <c r="JP10" s="8"/>
      <c r="JQ10" s="8"/>
      <c r="JR10" s="8"/>
      <c r="JS10" s="8"/>
      <c r="JT10" s="25"/>
      <c r="JU10" s="7"/>
      <c r="JV10" s="7"/>
      <c r="JW10" s="8"/>
      <c r="JX10" s="8"/>
      <c r="JY10" s="8"/>
      <c r="JZ10" s="8"/>
      <c r="KA10" s="25"/>
      <c r="KB10" s="7"/>
      <c r="KC10" s="7"/>
      <c r="KD10" s="8"/>
      <c r="KE10" s="8"/>
      <c r="KF10" s="8"/>
      <c r="KG10" s="8"/>
      <c r="KH10" s="8"/>
      <c r="KI10" s="7"/>
      <c r="KJ10" s="7"/>
      <c r="KK10" s="8"/>
      <c r="KL10" s="8"/>
      <c r="KM10" s="8"/>
      <c r="KN10" s="8"/>
      <c r="KO10" s="8"/>
      <c r="KP10" s="7"/>
      <c r="KQ10" s="7"/>
      <c r="KR10" s="8"/>
      <c r="KS10" s="8"/>
      <c r="KT10" s="8"/>
      <c r="KU10" s="8"/>
      <c r="KV10" s="8"/>
      <c r="KW10" s="7"/>
      <c r="KX10" s="7"/>
      <c r="KY10" s="8"/>
      <c r="KZ10" s="8"/>
      <c r="LA10" s="8"/>
      <c r="LB10" s="8"/>
      <c r="LC10" s="8"/>
      <c r="LD10" s="7"/>
      <c r="LE10" s="7"/>
      <c r="LF10" s="8"/>
      <c r="LG10" s="8"/>
      <c r="LH10" s="8"/>
      <c r="LI10" s="8"/>
      <c r="LJ10" s="8"/>
      <c r="LK10" s="7"/>
      <c r="LL10" s="7"/>
      <c r="LM10" s="8"/>
      <c r="LN10" s="8"/>
      <c r="LO10" s="8"/>
      <c r="LP10" s="8"/>
      <c r="LQ10" s="8"/>
      <c r="LR10" s="7"/>
      <c r="LS10" s="7"/>
      <c r="LT10" s="8"/>
      <c r="LU10" s="8"/>
      <c r="LV10" s="8"/>
      <c r="LW10" s="8"/>
      <c r="LX10" s="8"/>
      <c r="LY10" s="7"/>
      <c r="LZ10" s="7"/>
      <c r="MA10" s="8"/>
      <c r="MB10" s="8"/>
      <c r="MC10" s="8"/>
      <c r="MD10" s="8"/>
      <c r="ME10" s="8"/>
      <c r="MF10" s="7"/>
      <c r="MG10" s="7"/>
      <c r="MH10" s="8"/>
      <c r="MI10" s="8"/>
      <c r="MJ10" s="8"/>
      <c r="MK10" s="8"/>
      <c r="ML10" s="8"/>
      <c r="MM10" s="7"/>
      <c r="MN10" s="7"/>
      <c r="MO10" s="8"/>
      <c r="MP10" s="8"/>
      <c r="MQ10" s="8"/>
      <c r="MR10" s="8"/>
      <c r="MS10" s="8"/>
      <c r="MT10" s="7"/>
      <c r="MU10" s="7"/>
      <c r="MV10" s="8"/>
      <c r="MW10" s="8"/>
      <c r="MX10" s="8"/>
      <c r="MY10" s="8"/>
      <c r="MZ10" s="8"/>
      <c r="NA10" s="7"/>
      <c r="NB10" s="7"/>
      <c r="NC10" s="8"/>
      <c r="ND10" s="8"/>
      <c r="NE10" s="8"/>
      <c r="NF10" s="8"/>
      <c r="NG10" s="8"/>
      <c r="NH10" s="7"/>
      <c r="NI10" s="7"/>
      <c r="NJ10" s="8"/>
      <c r="NK10" s="8"/>
      <c r="NL10" s="8"/>
    </row>
    <row r="11" spans="1:376">
      <c r="B11" s="29" t="s">
        <v>33</v>
      </c>
      <c r="C11" s="29" t="s">
        <v>30</v>
      </c>
      <c r="D11" s="29" t="s">
        <v>31</v>
      </c>
      <c r="E11" s="29">
        <v>0</v>
      </c>
      <c r="F11" s="29">
        <v>13</v>
      </c>
      <c r="G11" s="29">
        <v>0</v>
      </c>
      <c r="H11" s="29">
        <f t="shared" si="0"/>
        <v>13</v>
      </c>
      <c r="I11" s="30">
        <f t="shared" si="1"/>
        <v>0</v>
      </c>
      <c r="J11" s="30">
        <f t="shared" si="2"/>
        <v>0</v>
      </c>
      <c r="K11" s="30">
        <f t="shared" si="3"/>
        <v>0</v>
      </c>
      <c r="L11" s="28"/>
      <c r="M11" s="8"/>
      <c r="N11" s="8"/>
      <c r="O11" s="7"/>
      <c r="P11" s="7"/>
      <c r="Q11" s="8"/>
      <c r="R11" s="8"/>
      <c r="S11" s="8"/>
      <c r="T11" s="8"/>
      <c r="U11" s="7"/>
      <c r="V11" s="7"/>
      <c r="W11" s="7"/>
      <c r="X11" s="7"/>
      <c r="Y11" s="8"/>
      <c r="Z11" s="8"/>
      <c r="AA11" s="8"/>
      <c r="AB11" s="8"/>
      <c r="AC11" s="7"/>
      <c r="AD11" s="7"/>
      <c r="AE11" s="7"/>
      <c r="AF11" s="8"/>
      <c r="AG11" s="8"/>
      <c r="AH11" s="8"/>
      <c r="AI11" s="8"/>
      <c r="AJ11" s="7"/>
      <c r="AK11" s="7"/>
      <c r="AL11" s="8"/>
      <c r="AM11" s="8"/>
      <c r="AN11" s="8"/>
      <c r="AO11" s="8"/>
      <c r="AP11" s="7"/>
      <c r="AQ11" s="7"/>
      <c r="AR11" s="7"/>
      <c r="AS11" s="8"/>
      <c r="AT11" s="8"/>
      <c r="AU11" s="8"/>
      <c r="AV11" s="8"/>
      <c r="AW11" s="8"/>
      <c r="AX11" s="7"/>
      <c r="AY11" s="7"/>
      <c r="AZ11" s="8"/>
      <c r="BA11" s="8"/>
      <c r="BB11" s="8"/>
      <c r="BC11" s="8"/>
      <c r="BD11" s="8"/>
      <c r="BE11" s="7"/>
      <c r="BF11" s="7"/>
      <c r="BG11" s="8"/>
      <c r="BH11" s="8"/>
      <c r="BI11" s="8"/>
      <c r="BJ11" s="8"/>
      <c r="BK11" s="8"/>
      <c r="BL11" s="7"/>
      <c r="BM11" s="7"/>
      <c r="BN11" s="8"/>
      <c r="BO11" s="8"/>
      <c r="BP11" s="8"/>
      <c r="BQ11" s="8"/>
      <c r="BR11" s="8"/>
      <c r="BS11" s="7"/>
      <c r="BT11" s="7"/>
      <c r="BU11" s="8"/>
      <c r="BV11" s="8"/>
      <c r="BW11" s="8"/>
      <c r="BX11" s="8"/>
      <c r="BY11" s="8"/>
      <c r="BZ11" s="7"/>
      <c r="CA11" s="7"/>
      <c r="CB11" s="8"/>
      <c r="CC11" s="8"/>
      <c r="CD11" s="8"/>
      <c r="CE11" s="8"/>
      <c r="CF11" s="8"/>
      <c r="CG11" s="7"/>
      <c r="CH11" s="7"/>
      <c r="CI11" s="8"/>
      <c r="CJ11" s="8"/>
      <c r="CK11" s="8"/>
      <c r="CL11" s="8"/>
      <c r="CM11" s="8"/>
      <c r="CN11" s="7"/>
      <c r="CO11" s="7"/>
      <c r="CP11" s="8"/>
      <c r="CQ11" s="8"/>
      <c r="CR11" s="7"/>
      <c r="CS11" s="8"/>
      <c r="CT11" s="8"/>
      <c r="CU11" s="7"/>
      <c r="CV11" s="7"/>
      <c r="CW11" s="8"/>
      <c r="CX11" s="8"/>
      <c r="CY11" s="8"/>
      <c r="CZ11" s="8"/>
      <c r="DA11" s="8"/>
      <c r="DB11" s="7"/>
      <c r="DC11" s="7"/>
      <c r="DD11" s="8"/>
      <c r="DE11" s="8"/>
      <c r="DF11" s="8"/>
      <c r="DG11" s="8"/>
      <c r="DH11" s="8"/>
      <c r="DI11" s="7"/>
      <c r="DJ11" s="7"/>
      <c r="DK11" s="8"/>
      <c r="DL11" s="8"/>
      <c r="DM11" s="8"/>
      <c r="DN11" s="8"/>
      <c r="DO11" s="8"/>
      <c r="DP11" s="7"/>
      <c r="DQ11" s="7"/>
      <c r="DR11" s="8"/>
      <c r="DS11" s="8"/>
      <c r="DT11" s="8"/>
      <c r="DU11" s="8"/>
      <c r="DV11" s="8"/>
      <c r="DW11" s="7"/>
      <c r="DX11" s="7"/>
      <c r="DY11" s="8"/>
      <c r="DZ11" s="8"/>
      <c r="EA11" s="8"/>
      <c r="EB11" s="8"/>
      <c r="EC11" s="8"/>
      <c r="ED11" s="7"/>
      <c r="EE11" s="7"/>
      <c r="EF11" s="8"/>
      <c r="EG11" s="8"/>
      <c r="EH11" s="8"/>
      <c r="EI11" s="8"/>
      <c r="EJ11" s="8"/>
      <c r="EK11" s="7"/>
      <c r="EL11" s="7"/>
      <c r="EM11" s="8"/>
      <c r="EN11" s="8"/>
      <c r="EO11" s="8"/>
      <c r="EP11" s="8"/>
      <c r="EQ11" s="8"/>
      <c r="ER11" s="7"/>
      <c r="ES11" s="7"/>
      <c r="ET11" s="8"/>
      <c r="EU11" s="8"/>
      <c r="EV11" s="8"/>
      <c r="EW11" s="8"/>
      <c r="EX11" s="8"/>
      <c r="EY11" s="7"/>
      <c r="EZ11" s="7"/>
      <c r="FA11" s="8"/>
      <c r="FB11" s="8"/>
      <c r="FC11" s="8"/>
      <c r="FD11" s="8"/>
      <c r="FE11" s="8"/>
      <c r="FF11" s="7"/>
      <c r="FG11" s="7"/>
      <c r="FH11" s="8"/>
      <c r="FI11" s="8"/>
      <c r="FJ11" s="8"/>
      <c r="FK11" s="8"/>
      <c r="FL11" s="8"/>
      <c r="FM11" s="7"/>
      <c r="FN11" s="7"/>
      <c r="FO11" s="8"/>
      <c r="FP11" s="8"/>
      <c r="FQ11" s="8"/>
      <c r="FR11" s="8"/>
      <c r="FS11" s="8"/>
      <c r="FT11" s="7"/>
      <c r="FU11" s="7"/>
      <c r="FV11" s="8"/>
      <c r="FW11" s="8"/>
      <c r="FX11" s="8"/>
      <c r="FY11" s="8"/>
      <c r="FZ11" s="8"/>
      <c r="GA11" s="7"/>
      <c r="GB11" s="7"/>
      <c r="GC11" s="8"/>
      <c r="GD11" s="8"/>
      <c r="GE11" s="8"/>
      <c r="GF11" s="8"/>
      <c r="GG11" s="8"/>
      <c r="GH11" s="7"/>
      <c r="GI11" s="7"/>
      <c r="GJ11" s="8"/>
      <c r="GK11" s="8"/>
      <c r="GL11" s="8"/>
      <c r="GM11" s="8"/>
      <c r="GN11" s="8"/>
      <c r="GO11" s="7"/>
      <c r="GP11" s="7"/>
      <c r="GQ11" s="8"/>
      <c r="GR11" s="8"/>
      <c r="GS11" s="8"/>
      <c r="GT11" s="8"/>
      <c r="GU11" s="7"/>
      <c r="GV11" s="7"/>
      <c r="GW11" s="7"/>
      <c r="GX11" s="7"/>
      <c r="GY11" s="8"/>
      <c r="GZ11" s="8"/>
      <c r="HA11" s="8"/>
      <c r="HB11" s="8"/>
      <c r="HC11" s="7"/>
      <c r="HD11" s="7"/>
      <c r="HE11" s="8"/>
      <c r="HF11" s="8"/>
      <c r="HG11" s="8"/>
      <c r="HH11" s="8"/>
      <c r="HI11" s="8"/>
      <c r="HJ11" s="7"/>
      <c r="HK11" s="7"/>
      <c r="HL11" s="8"/>
      <c r="HM11" s="8"/>
      <c r="HN11" s="8"/>
      <c r="HO11" s="8"/>
      <c r="HP11" s="8"/>
      <c r="HQ11" s="7"/>
      <c r="HR11" s="7"/>
      <c r="HS11" s="8"/>
      <c r="HT11" s="8"/>
      <c r="HU11" s="8"/>
      <c r="HV11" s="8"/>
      <c r="HW11" s="8"/>
      <c r="HX11" s="7"/>
      <c r="HY11" s="7"/>
      <c r="HZ11" s="8"/>
      <c r="IA11" s="8"/>
      <c r="IB11" s="8"/>
      <c r="IC11" s="8"/>
      <c r="ID11" s="8"/>
      <c r="IE11" s="7"/>
      <c r="IF11" s="7"/>
      <c r="IG11" s="8"/>
      <c r="IH11" s="8"/>
      <c r="II11" s="8"/>
      <c r="IJ11" s="8"/>
      <c r="IK11" s="8"/>
      <c r="IL11" s="7"/>
      <c r="IM11" s="7"/>
      <c r="IN11" s="8"/>
      <c r="IO11" s="8"/>
      <c r="IP11" s="8"/>
      <c r="IQ11" s="8"/>
      <c r="IR11" s="8"/>
      <c r="IS11" s="7"/>
      <c r="IT11" s="7"/>
      <c r="IU11" s="8"/>
      <c r="IV11" s="8"/>
      <c r="IW11" s="8"/>
      <c r="IX11" s="8"/>
      <c r="IY11" s="8"/>
      <c r="IZ11" s="7"/>
      <c r="JA11" s="7"/>
      <c r="JB11" s="8"/>
      <c r="JC11" s="25"/>
      <c r="JD11" s="8"/>
      <c r="JE11" s="8"/>
      <c r="JF11" s="8"/>
      <c r="JG11" s="7"/>
      <c r="JH11" s="7"/>
      <c r="JI11" s="8"/>
      <c r="JJ11" s="8"/>
      <c r="JK11" s="8"/>
      <c r="JL11" s="8"/>
      <c r="JM11" s="8"/>
      <c r="JN11" s="7"/>
      <c r="JO11" s="7"/>
      <c r="JP11" s="8"/>
      <c r="JQ11" s="8"/>
      <c r="JR11" s="8"/>
      <c r="JS11" s="8"/>
      <c r="JT11" s="25"/>
      <c r="JU11" s="7"/>
      <c r="JV11" s="7"/>
      <c r="JW11" s="8"/>
      <c r="JX11" s="8"/>
      <c r="JY11" s="8"/>
      <c r="JZ11" s="8"/>
      <c r="KA11" s="25"/>
      <c r="KB11" s="7"/>
      <c r="KC11" s="7"/>
      <c r="KD11" s="8"/>
      <c r="KE11" s="8"/>
      <c r="KF11" s="8"/>
      <c r="KG11" s="8"/>
      <c r="KH11" s="8"/>
      <c r="KI11" s="7"/>
      <c r="KJ11" s="7"/>
      <c r="KK11" s="8"/>
      <c r="KL11" s="8"/>
      <c r="KM11" s="8"/>
      <c r="KN11" s="8"/>
      <c r="KO11" s="8"/>
      <c r="KP11" s="7"/>
      <c r="KQ11" s="7"/>
      <c r="KR11" s="8"/>
      <c r="KS11" s="8"/>
      <c r="KT11" s="8"/>
      <c r="KU11" s="8"/>
      <c r="KV11" s="8"/>
      <c r="KW11" s="7"/>
      <c r="KX11" s="7"/>
      <c r="KY11" s="8"/>
      <c r="KZ11" s="8"/>
      <c r="LA11" s="8"/>
      <c r="LB11" s="8"/>
      <c r="LC11" s="8"/>
      <c r="LD11" s="7"/>
      <c r="LE11" s="7"/>
      <c r="LF11" s="8"/>
      <c r="LG11" s="8"/>
      <c r="LH11" s="8"/>
      <c r="LI11" s="8"/>
      <c r="LJ11" s="8"/>
      <c r="LK11" s="7"/>
      <c r="LL11" s="7"/>
      <c r="LM11" s="8"/>
      <c r="LN11" s="8"/>
      <c r="LO11" s="8"/>
      <c r="LP11" s="8"/>
      <c r="LQ11" s="8"/>
      <c r="LR11" s="7"/>
      <c r="LS11" s="7"/>
      <c r="LT11" s="8"/>
      <c r="LU11" s="8"/>
      <c r="LV11" s="8"/>
      <c r="LW11" s="8"/>
      <c r="LX11" s="8"/>
      <c r="LY11" s="7"/>
      <c r="LZ11" s="7"/>
      <c r="MA11" s="8"/>
      <c r="MB11" s="8"/>
      <c r="MC11" s="8"/>
      <c r="MD11" s="8"/>
      <c r="ME11" s="8"/>
      <c r="MF11" s="7"/>
      <c r="MG11" s="7"/>
      <c r="MH11" s="8"/>
      <c r="MI11" s="8"/>
      <c r="MJ11" s="8"/>
      <c r="MK11" s="8"/>
      <c r="ML11" s="8"/>
      <c r="MM11" s="7"/>
      <c r="MN11" s="7"/>
      <c r="MO11" s="8"/>
      <c r="MP11" s="8"/>
      <c r="MQ11" s="8"/>
      <c r="MR11" s="8"/>
      <c r="MS11" s="8"/>
      <c r="MT11" s="7"/>
      <c r="MU11" s="7"/>
      <c r="MV11" s="8"/>
      <c r="MW11" s="8"/>
      <c r="MX11" s="8"/>
      <c r="MY11" s="8"/>
      <c r="MZ11" s="8"/>
      <c r="NA11" s="7"/>
      <c r="NB11" s="7"/>
      <c r="NC11" s="8"/>
      <c r="ND11" s="8"/>
      <c r="NE11" s="8"/>
      <c r="NF11" s="8"/>
      <c r="NG11" s="8"/>
      <c r="NH11" s="7"/>
      <c r="NI11" s="7"/>
      <c r="NJ11" s="8"/>
      <c r="NK11" s="8"/>
      <c r="NL11" s="8"/>
    </row>
    <row r="12" spans="1:376">
      <c r="B12" s="29" t="s">
        <v>34</v>
      </c>
      <c r="C12" s="29" t="s">
        <v>30</v>
      </c>
      <c r="D12" s="29" t="s">
        <v>31</v>
      </c>
      <c r="E12" s="29">
        <v>0</v>
      </c>
      <c r="F12" s="29">
        <v>14</v>
      </c>
      <c r="G12" s="29">
        <v>0</v>
      </c>
      <c r="H12" s="29">
        <f t="shared" si="0"/>
        <v>14</v>
      </c>
      <c r="I12" s="30">
        <f t="shared" si="1"/>
        <v>0</v>
      </c>
      <c r="J12" s="30">
        <f t="shared" si="2"/>
        <v>0</v>
      </c>
      <c r="K12" s="30">
        <f t="shared" si="3"/>
        <v>0</v>
      </c>
      <c r="L12" s="28"/>
      <c r="M12" s="8"/>
      <c r="N12" s="8"/>
      <c r="O12" s="7"/>
      <c r="P12" s="7"/>
      <c r="Q12" s="8"/>
      <c r="R12" s="8"/>
      <c r="S12" s="8"/>
      <c r="T12" s="8"/>
      <c r="U12" s="7"/>
      <c r="V12" s="7"/>
      <c r="W12" s="7"/>
      <c r="X12" s="7"/>
      <c r="Y12" s="8"/>
      <c r="Z12" s="8"/>
      <c r="AA12" s="8"/>
      <c r="AB12" s="8"/>
      <c r="AC12" s="7"/>
      <c r="AD12" s="7"/>
      <c r="AE12" s="7"/>
      <c r="AF12" s="8"/>
      <c r="AG12" s="8"/>
      <c r="AH12" s="8"/>
      <c r="AI12" s="8"/>
      <c r="AJ12" s="7"/>
      <c r="AK12" s="7"/>
      <c r="AL12" s="8"/>
      <c r="AM12" s="8"/>
      <c r="AN12" s="8"/>
      <c r="AO12" s="8"/>
      <c r="AP12" s="7"/>
      <c r="AQ12" s="7"/>
      <c r="AR12" s="7"/>
      <c r="AS12" s="8"/>
      <c r="AT12" s="8"/>
      <c r="AU12" s="8"/>
      <c r="AV12" s="8"/>
      <c r="AW12" s="8"/>
      <c r="AX12" s="7"/>
      <c r="AY12" s="7"/>
      <c r="AZ12" s="8"/>
      <c r="BA12" s="8"/>
      <c r="BB12" s="8"/>
      <c r="BC12" s="8"/>
      <c r="BD12" s="8"/>
      <c r="BE12" s="7"/>
      <c r="BF12" s="7"/>
      <c r="BG12" s="8"/>
      <c r="BH12" s="8"/>
      <c r="BI12" s="8"/>
      <c r="BJ12" s="8"/>
      <c r="BK12" s="8"/>
      <c r="BL12" s="7"/>
      <c r="BM12" s="7"/>
      <c r="BN12" s="8"/>
      <c r="BO12" s="8"/>
      <c r="BP12" s="8"/>
      <c r="BQ12" s="8"/>
      <c r="BR12" s="8"/>
      <c r="BS12" s="7"/>
      <c r="BT12" s="7"/>
      <c r="BU12" s="8"/>
      <c r="BV12" s="8"/>
      <c r="BW12" s="8"/>
      <c r="BX12" s="8"/>
      <c r="BY12" s="8"/>
      <c r="BZ12" s="7"/>
      <c r="CA12" s="7"/>
      <c r="CB12" s="8"/>
      <c r="CC12" s="8"/>
      <c r="CD12" s="8"/>
      <c r="CE12" s="8"/>
      <c r="CF12" s="8"/>
      <c r="CG12" s="7"/>
      <c r="CH12" s="7"/>
      <c r="CI12" s="8"/>
      <c r="CJ12" s="8"/>
      <c r="CK12" s="8"/>
      <c r="CL12" s="8"/>
      <c r="CM12" s="8"/>
      <c r="CN12" s="7"/>
      <c r="CO12" s="7"/>
      <c r="CP12" s="8"/>
      <c r="CQ12" s="8"/>
      <c r="CR12" s="7"/>
      <c r="CS12" s="8"/>
      <c r="CT12" s="8"/>
      <c r="CU12" s="7"/>
      <c r="CV12" s="7"/>
      <c r="CW12" s="8"/>
      <c r="CX12" s="8"/>
      <c r="CY12" s="8"/>
      <c r="CZ12" s="8"/>
      <c r="DA12" s="8"/>
      <c r="DB12" s="7"/>
      <c r="DC12" s="7"/>
      <c r="DD12" s="8"/>
      <c r="DE12" s="8"/>
      <c r="DF12" s="8"/>
      <c r="DG12" s="8"/>
      <c r="DH12" s="8"/>
      <c r="DI12" s="7"/>
      <c r="DJ12" s="7"/>
      <c r="DK12" s="8"/>
      <c r="DL12" s="8"/>
      <c r="DM12" s="8"/>
      <c r="DN12" s="8"/>
      <c r="DO12" s="8"/>
      <c r="DP12" s="7"/>
      <c r="DQ12" s="7"/>
      <c r="DR12" s="8"/>
      <c r="DS12" s="8"/>
      <c r="DT12" s="8"/>
      <c r="DU12" s="8"/>
      <c r="DV12" s="8"/>
      <c r="DW12" s="7"/>
      <c r="DX12" s="7"/>
      <c r="DY12" s="8"/>
      <c r="DZ12" s="8"/>
      <c r="EA12" s="8"/>
      <c r="EB12" s="8"/>
      <c r="EC12" s="8"/>
      <c r="ED12" s="7"/>
      <c r="EE12" s="7"/>
      <c r="EF12" s="8"/>
      <c r="EG12" s="8"/>
      <c r="EH12" s="8"/>
      <c r="EI12" s="8"/>
      <c r="EJ12" s="8"/>
      <c r="EK12" s="7"/>
      <c r="EL12" s="7"/>
      <c r="EM12" s="8"/>
      <c r="EN12" s="8"/>
      <c r="EO12" s="8"/>
      <c r="EP12" s="8"/>
      <c r="EQ12" s="8"/>
      <c r="ER12" s="7"/>
      <c r="ES12" s="7"/>
      <c r="ET12" s="8"/>
      <c r="EU12" s="8"/>
      <c r="EV12" s="8"/>
      <c r="EW12" s="8"/>
      <c r="EX12" s="8"/>
      <c r="EY12" s="7"/>
      <c r="EZ12" s="7"/>
      <c r="FA12" s="8"/>
      <c r="FB12" s="8"/>
      <c r="FC12" s="8"/>
      <c r="FD12" s="8"/>
      <c r="FE12" s="8"/>
      <c r="FF12" s="7"/>
      <c r="FG12" s="7"/>
      <c r="FH12" s="8"/>
      <c r="FI12" s="8"/>
      <c r="FJ12" s="8"/>
      <c r="FK12" s="8"/>
      <c r="FL12" s="8"/>
      <c r="FM12" s="7"/>
      <c r="FN12" s="7"/>
      <c r="FO12" s="8"/>
      <c r="FP12" s="8"/>
      <c r="FQ12" s="8"/>
      <c r="FR12" s="8"/>
      <c r="FS12" s="8"/>
      <c r="FT12" s="7"/>
      <c r="FU12" s="7"/>
      <c r="FV12" s="8"/>
      <c r="FW12" s="8"/>
      <c r="FX12" s="8"/>
      <c r="FY12" s="8"/>
      <c r="FZ12" s="8"/>
      <c r="GA12" s="7"/>
      <c r="GB12" s="7"/>
      <c r="GC12" s="8"/>
      <c r="GD12" s="8"/>
      <c r="GE12" s="8"/>
      <c r="GF12" s="8"/>
      <c r="GG12" s="8"/>
      <c r="GH12" s="7"/>
      <c r="GI12" s="7"/>
      <c r="GJ12" s="8"/>
      <c r="GK12" s="8"/>
      <c r="GL12" s="8"/>
      <c r="GM12" s="8"/>
      <c r="GN12" s="8"/>
      <c r="GO12" s="7"/>
      <c r="GP12" s="7"/>
      <c r="GQ12" s="8"/>
      <c r="GR12" s="8"/>
      <c r="GS12" s="8"/>
      <c r="GT12" s="8"/>
      <c r="GU12" s="7"/>
      <c r="GV12" s="7"/>
      <c r="GW12" s="7"/>
      <c r="GX12" s="7"/>
      <c r="GY12" s="8"/>
      <c r="GZ12" s="8"/>
      <c r="HA12" s="8"/>
      <c r="HB12" s="8"/>
      <c r="HC12" s="7"/>
      <c r="HD12" s="7"/>
      <c r="HE12" s="8"/>
      <c r="HF12" s="8"/>
      <c r="HG12" s="8"/>
      <c r="HH12" s="8"/>
      <c r="HI12" s="8"/>
      <c r="HJ12" s="7"/>
      <c r="HK12" s="7"/>
      <c r="HL12" s="8"/>
      <c r="HM12" s="8"/>
      <c r="HN12" s="8"/>
      <c r="HO12" s="8"/>
      <c r="HP12" s="8"/>
      <c r="HQ12" s="7"/>
      <c r="HR12" s="7"/>
      <c r="HS12" s="8"/>
      <c r="HT12" s="8"/>
      <c r="HU12" s="8"/>
      <c r="HV12" s="8"/>
      <c r="HW12" s="8"/>
      <c r="HX12" s="7"/>
      <c r="HY12" s="7"/>
      <c r="HZ12" s="8"/>
      <c r="IA12" s="8"/>
      <c r="IB12" s="8"/>
      <c r="IC12" s="11"/>
      <c r="ID12" s="11"/>
      <c r="IE12" s="7"/>
      <c r="IF12" s="7"/>
      <c r="IG12" s="11"/>
      <c r="IH12" s="8"/>
      <c r="II12" s="8"/>
      <c r="IJ12" s="8"/>
      <c r="IK12" s="8"/>
      <c r="IL12" s="7"/>
      <c r="IM12" s="7"/>
      <c r="IN12" s="8"/>
      <c r="IO12" s="8"/>
      <c r="IP12" s="8"/>
      <c r="IQ12" s="8"/>
      <c r="IR12" s="8"/>
      <c r="IS12" s="7"/>
      <c r="IT12" s="7"/>
      <c r="IU12" s="8"/>
      <c r="IV12" s="8"/>
      <c r="IW12" s="8"/>
      <c r="IX12" s="8"/>
      <c r="IY12" s="8"/>
      <c r="IZ12" s="7"/>
      <c r="JA12" s="7"/>
      <c r="JB12" s="8"/>
      <c r="JC12" s="25"/>
      <c r="JD12" s="8"/>
      <c r="JE12" s="8"/>
      <c r="JF12" s="8"/>
      <c r="JG12" s="7"/>
      <c r="JH12" s="7"/>
      <c r="JI12" s="8"/>
      <c r="JJ12" s="8"/>
      <c r="JK12" s="8"/>
      <c r="JL12" s="8"/>
      <c r="JM12" s="8"/>
      <c r="JN12" s="7"/>
      <c r="JO12" s="7"/>
      <c r="JP12" s="8"/>
      <c r="JQ12" s="8"/>
      <c r="JR12" s="8"/>
      <c r="JS12" s="8"/>
      <c r="JT12" s="25"/>
      <c r="JU12" s="7"/>
      <c r="JV12" s="7"/>
      <c r="JW12" s="8"/>
      <c r="JX12" s="8"/>
      <c r="JY12" s="8"/>
      <c r="JZ12" s="8"/>
      <c r="KA12" s="25"/>
      <c r="KB12" s="7"/>
      <c r="KC12" s="7"/>
      <c r="KD12" s="8"/>
      <c r="KE12" s="8"/>
      <c r="KF12" s="8"/>
      <c r="KG12" s="8"/>
      <c r="KH12" s="8"/>
      <c r="KI12" s="7"/>
      <c r="KJ12" s="7"/>
      <c r="KK12" s="8"/>
      <c r="KL12" s="8"/>
      <c r="KM12" s="8"/>
      <c r="KN12" s="8"/>
      <c r="KO12" s="8"/>
      <c r="KP12" s="7"/>
      <c r="KQ12" s="7"/>
      <c r="KR12" s="8"/>
      <c r="KS12" s="8"/>
      <c r="KT12" s="8"/>
      <c r="KU12" s="8"/>
      <c r="KV12" s="8"/>
      <c r="KW12" s="7"/>
      <c r="KX12" s="7"/>
      <c r="KY12" s="8"/>
      <c r="KZ12" s="8"/>
      <c r="LA12" s="8"/>
      <c r="LB12" s="8"/>
      <c r="LC12" s="8"/>
      <c r="LD12" s="7"/>
      <c r="LE12" s="7"/>
      <c r="LF12" s="8"/>
      <c r="LG12" s="8"/>
      <c r="LH12" s="8"/>
      <c r="LI12" s="8"/>
      <c r="LJ12" s="8"/>
      <c r="LK12" s="7"/>
      <c r="LL12" s="7"/>
      <c r="LM12" s="8"/>
      <c r="LN12" s="8"/>
      <c r="LO12" s="8"/>
      <c r="LP12" s="8"/>
      <c r="LQ12" s="8"/>
      <c r="LR12" s="7"/>
      <c r="LS12" s="7"/>
      <c r="LT12" s="8"/>
      <c r="LU12" s="8"/>
      <c r="LV12" s="8"/>
      <c r="LW12" s="8"/>
      <c r="LX12" s="8"/>
      <c r="LY12" s="7"/>
      <c r="LZ12" s="7"/>
      <c r="MA12" s="8"/>
      <c r="MB12" s="8"/>
      <c r="MC12" s="8"/>
      <c r="MD12" s="8"/>
      <c r="ME12" s="8"/>
      <c r="MF12" s="7"/>
      <c r="MG12" s="7"/>
      <c r="MH12" s="8"/>
      <c r="MI12" s="8"/>
      <c r="MJ12" s="8"/>
      <c r="MK12" s="8"/>
      <c r="ML12" s="8"/>
      <c r="MM12" s="7"/>
      <c r="MN12" s="7"/>
      <c r="MO12" s="8"/>
      <c r="MP12" s="8"/>
      <c r="MQ12" s="8"/>
      <c r="MR12" s="8"/>
      <c r="MS12" s="8"/>
      <c r="MT12" s="7"/>
      <c r="MU12" s="7"/>
      <c r="MV12" s="8"/>
      <c r="MW12" s="8"/>
      <c r="MX12" s="8"/>
      <c r="MY12" s="8"/>
      <c r="MZ12" s="8"/>
      <c r="NA12" s="7"/>
      <c r="NB12" s="7"/>
      <c r="NC12" s="8"/>
      <c r="ND12" s="8"/>
      <c r="NE12" s="8"/>
      <c r="NF12" s="8"/>
      <c r="NG12" s="8"/>
      <c r="NH12" s="7"/>
      <c r="NI12" s="7"/>
      <c r="NJ12" s="8"/>
      <c r="NK12" s="8"/>
      <c r="NL12" s="8"/>
    </row>
    <row r="13" spans="1:376" customFormat="1">
      <c r="A13" s="1"/>
      <c r="B13" s="29" t="s">
        <v>35</v>
      </c>
      <c r="C13" s="29" t="s">
        <v>36</v>
      </c>
      <c r="D13" s="29" t="s">
        <v>31</v>
      </c>
      <c r="E13" s="29">
        <v>0</v>
      </c>
      <c r="F13" s="29">
        <v>8</v>
      </c>
      <c r="G13" s="29">
        <v>0</v>
      </c>
      <c r="H13" s="29">
        <f t="shared" si="0"/>
        <v>8</v>
      </c>
      <c r="I13" s="30">
        <f t="shared" si="1"/>
        <v>0</v>
      </c>
      <c r="J13" s="30">
        <f t="shared" si="2"/>
        <v>0</v>
      </c>
      <c r="K13" s="30">
        <f t="shared" si="3"/>
        <v>0</v>
      </c>
      <c r="L13" s="28"/>
      <c r="M13" s="8"/>
      <c r="N13" s="8"/>
      <c r="O13" s="7"/>
      <c r="P13" s="7"/>
      <c r="Q13" s="8"/>
      <c r="R13" s="8"/>
      <c r="S13" s="8"/>
      <c r="T13" s="8"/>
      <c r="U13" s="7"/>
      <c r="V13" s="7"/>
      <c r="W13" s="7"/>
      <c r="X13" s="7"/>
      <c r="Y13" s="8"/>
      <c r="Z13" s="8"/>
      <c r="AA13" s="8"/>
      <c r="AB13" s="8"/>
      <c r="AC13" s="7"/>
      <c r="AD13" s="7"/>
      <c r="AE13" s="7"/>
      <c r="AF13" s="8"/>
      <c r="AG13" s="8"/>
      <c r="AH13" s="8"/>
      <c r="AI13" s="8"/>
      <c r="AJ13" s="7"/>
      <c r="AK13" s="7"/>
      <c r="AL13" s="8"/>
      <c r="AM13" s="8"/>
      <c r="AN13" s="8"/>
      <c r="AO13" s="8"/>
      <c r="AP13" s="7"/>
      <c r="AQ13" s="7"/>
      <c r="AR13" s="7"/>
      <c r="AS13" s="8"/>
      <c r="AT13" s="8"/>
      <c r="AU13" s="8"/>
      <c r="AV13" s="8"/>
      <c r="AW13" s="8"/>
      <c r="AX13" s="7"/>
      <c r="AY13" s="7"/>
      <c r="AZ13" s="8"/>
      <c r="BA13" s="8"/>
      <c r="BB13" s="8"/>
      <c r="BC13" s="8"/>
      <c r="BD13" s="8"/>
      <c r="BE13" s="7"/>
      <c r="BF13" s="7"/>
      <c r="BG13" s="8"/>
      <c r="BH13" s="8"/>
      <c r="BI13" s="8"/>
      <c r="BJ13" s="8"/>
      <c r="BK13" s="8"/>
      <c r="BL13" s="7"/>
      <c r="BM13" s="7"/>
      <c r="BN13" s="8"/>
      <c r="BO13" s="8"/>
      <c r="BP13" s="8"/>
      <c r="BQ13" s="8"/>
      <c r="BR13" s="8"/>
      <c r="BS13" s="7"/>
      <c r="BT13" s="7"/>
      <c r="BU13" s="8"/>
      <c r="BV13" s="8"/>
      <c r="BW13" s="8"/>
      <c r="BX13" s="8"/>
      <c r="BY13" s="8"/>
      <c r="BZ13" s="7"/>
      <c r="CA13" s="7"/>
      <c r="CB13" s="8"/>
      <c r="CC13" s="8"/>
      <c r="CD13" s="8"/>
      <c r="CE13" s="8"/>
      <c r="CF13" s="8"/>
      <c r="CG13" s="7"/>
      <c r="CH13" s="7"/>
      <c r="CI13" s="8"/>
      <c r="CJ13" s="8"/>
      <c r="CK13" s="8"/>
      <c r="CL13" s="8"/>
      <c r="CM13" s="8"/>
      <c r="CN13" s="7"/>
      <c r="CO13" s="7"/>
      <c r="CP13" s="8"/>
      <c r="CQ13" s="8"/>
      <c r="CR13" s="7"/>
      <c r="CS13" s="8"/>
      <c r="CT13" s="8"/>
      <c r="CU13" s="7"/>
      <c r="CV13" s="7"/>
      <c r="CW13" s="8"/>
      <c r="CX13" s="8"/>
      <c r="CY13" s="8"/>
      <c r="CZ13" s="8"/>
      <c r="DA13" s="8"/>
      <c r="DB13" s="7"/>
      <c r="DC13" s="7"/>
      <c r="DD13" s="8"/>
      <c r="DE13" s="8"/>
      <c r="DF13" s="8"/>
      <c r="DG13" s="8"/>
      <c r="DH13" s="8"/>
      <c r="DI13" s="7"/>
      <c r="DJ13" s="7"/>
      <c r="DK13" s="8"/>
      <c r="DL13" s="8"/>
      <c r="DM13" s="8"/>
      <c r="DN13" s="8"/>
      <c r="DO13" s="8"/>
      <c r="DP13" s="7"/>
      <c r="DQ13" s="7"/>
      <c r="DR13" s="8"/>
      <c r="DS13" s="8"/>
      <c r="DT13" s="8"/>
      <c r="DU13" s="8"/>
      <c r="DV13" s="8"/>
      <c r="DW13" s="7"/>
      <c r="DX13" s="7"/>
      <c r="DY13" s="8"/>
      <c r="DZ13" s="8"/>
      <c r="EA13" s="8"/>
      <c r="EB13" s="8"/>
      <c r="EC13" s="8"/>
      <c r="ED13" s="7"/>
      <c r="EE13" s="7"/>
      <c r="EF13" s="8"/>
      <c r="EG13" s="8"/>
      <c r="EH13" s="8"/>
      <c r="EI13" s="8"/>
      <c r="EJ13" s="8"/>
      <c r="EK13" s="7"/>
      <c r="EL13" s="7"/>
      <c r="EM13" s="8"/>
      <c r="EN13" s="8"/>
      <c r="EO13" s="8"/>
      <c r="EP13" s="8"/>
      <c r="EQ13" s="8"/>
      <c r="ER13" s="7"/>
      <c r="ES13" s="7"/>
      <c r="ET13" s="8"/>
      <c r="EU13" s="8"/>
      <c r="EV13" s="8"/>
      <c r="EW13" s="8"/>
      <c r="EX13" s="8"/>
      <c r="EY13" s="7"/>
      <c r="EZ13" s="7"/>
      <c r="FA13" s="8"/>
      <c r="FB13" s="8"/>
      <c r="FC13" s="8"/>
      <c r="FD13" s="8"/>
      <c r="FE13" s="8"/>
      <c r="FF13" s="7"/>
      <c r="FG13" s="7"/>
      <c r="FH13" s="8"/>
      <c r="FI13" s="8"/>
      <c r="FJ13" s="8"/>
      <c r="FK13" s="8"/>
      <c r="FL13" s="8"/>
      <c r="FM13" s="7"/>
      <c r="FN13" s="7"/>
      <c r="FO13" s="8"/>
      <c r="FP13" s="8"/>
      <c r="FQ13" s="8"/>
      <c r="FR13" s="8"/>
      <c r="FS13" s="8"/>
      <c r="FT13" s="7"/>
      <c r="FU13" s="7"/>
      <c r="FV13" s="8"/>
      <c r="FW13" s="8"/>
      <c r="FX13" s="8"/>
      <c r="FY13" s="8"/>
      <c r="FZ13" s="8"/>
      <c r="GA13" s="7"/>
      <c r="GB13" s="7"/>
      <c r="GC13" s="8"/>
      <c r="GD13" s="8"/>
      <c r="GE13" s="8"/>
      <c r="GF13" s="8"/>
      <c r="GG13" s="8"/>
      <c r="GH13" s="7"/>
      <c r="GI13" s="7"/>
      <c r="GJ13" s="8"/>
      <c r="GK13" s="8"/>
      <c r="GL13" s="8"/>
      <c r="GM13" s="8"/>
      <c r="GN13" s="8"/>
      <c r="GO13" s="7"/>
      <c r="GP13" s="7"/>
      <c r="GQ13" s="8"/>
      <c r="GR13" s="8"/>
      <c r="GS13" s="8"/>
      <c r="GT13" s="8"/>
      <c r="GU13" s="7"/>
      <c r="GV13" s="7"/>
      <c r="GW13" s="7"/>
      <c r="GX13" s="7"/>
      <c r="GY13" s="8"/>
      <c r="GZ13" s="8"/>
      <c r="HA13" s="8"/>
      <c r="HB13" s="8"/>
      <c r="HC13" s="7"/>
      <c r="HD13" s="7"/>
      <c r="HE13" s="8"/>
      <c r="HF13" s="8"/>
      <c r="HG13" s="8"/>
      <c r="HH13" s="8"/>
      <c r="HI13" s="8"/>
      <c r="HJ13" s="7"/>
      <c r="HK13" s="7"/>
      <c r="HL13" s="8"/>
      <c r="HM13" s="8"/>
      <c r="HN13" s="8"/>
      <c r="HO13" s="8"/>
      <c r="HP13" s="8"/>
      <c r="HQ13" s="7"/>
      <c r="HR13" s="7"/>
      <c r="HS13" s="8"/>
      <c r="HT13" s="8"/>
      <c r="HU13" s="8"/>
      <c r="HV13" s="8"/>
      <c r="HW13" s="8"/>
      <c r="HX13" s="7"/>
      <c r="HY13" s="7"/>
      <c r="HZ13" s="8"/>
      <c r="IA13" s="8"/>
      <c r="IB13" s="8"/>
      <c r="IC13" s="8"/>
      <c r="ID13" s="8"/>
      <c r="IE13" s="7"/>
      <c r="IF13" s="7"/>
      <c r="IG13" s="8"/>
      <c r="IH13" s="8"/>
      <c r="II13" s="8"/>
      <c r="IJ13" s="8"/>
      <c r="IK13" s="8"/>
      <c r="IL13" s="7"/>
      <c r="IM13" s="7"/>
      <c r="IN13" s="8"/>
      <c r="IO13" s="8"/>
      <c r="IP13" s="8"/>
      <c r="IQ13" s="8"/>
      <c r="IR13" s="8"/>
      <c r="IS13" s="7"/>
      <c r="IT13" s="7"/>
      <c r="IU13" s="8"/>
      <c r="IV13" s="8"/>
      <c r="IW13" s="8"/>
      <c r="IX13" s="8"/>
      <c r="IY13" s="8"/>
      <c r="IZ13" s="7"/>
      <c r="JA13" s="7"/>
      <c r="JB13" s="8"/>
      <c r="JC13" s="25"/>
      <c r="JD13" s="8"/>
      <c r="JE13" s="8"/>
      <c r="JF13" s="8"/>
      <c r="JG13" s="7"/>
      <c r="JH13" s="7"/>
      <c r="JI13" s="8"/>
      <c r="JJ13" s="8"/>
      <c r="JK13" s="8"/>
      <c r="JL13" s="8"/>
      <c r="JM13" s="8"/>
      <c r="JN13" s="7"/>
      <c r="JO13" s="7"/>
      <c r="JP13" s="8"/>
      <c r="JQ13" s="8"/>
      <c r="JR13" s="8"/>
      <c r="JS13" s="26"/>
      <c r="JT13" s="25"/>
      <c r="JU13" s="7"/>
      <c r="JV13" s="7"/>
      <c r="JW13" s="8"/>
      <c r="JX13" s="8"/>
      <c r="JY13" s="8"/>
      <c r="JZ13" s="26"/>
      <c r="KA13" s="25"/>
      <c r="KB13" s="7"/>
      <c r="KC13" s="7"/>
      <c r="KD13" s="8"/>
      <c r="KE13" s="8"/>
      <c r="KF13" s="26"/>
      <c r="KG13" s="8"/>
      <c r="KH13" s="8"/>
      <c r="KI13" s="7"/>
      <c r="KJ13" s="7"/>
      <c r="KK13" s="8"/>
      <c r="KL13" s="8"/>
      <c r="KM13" s="8"/>
      <c r="KN13" s="8"/>
      <c r="KO13" s="8"/>
      <c r="KP13" s="7"/>
      <c r="KQ13" s="7"/>
      <c r="KR13" s="8"/>
      <c r="KS13" s="8"/>
      <c r="KT13" s="8"/>
      <c r="KU13" s="8"/>
      <c r="KV13" s="26"/>
      <c r="KW13" s="7"/>
      <c r="KX13" s="7"/>
      <c r="KY13" s="8"/>
      <c r="KZ13" s="8"/>
      <c r="LA13" s="8"/>
      <c r="LB13" s="8"/>
      <c r="LC13" s="8"/>
      <c r="LD13" s="7"/>
      <c r="LE13" s="7"/>
      <c r="LF13" s="8"/>
      <c r="LG13" s="8"/>
      <c r="LH13" s="8"/>
      <c r="LI13" s="8"/>
      <c r="LJ13" s="8"/>
      <c r="LK13" s="7"/>
      <c r="LL13" s="7"/>
      <c r="LM13" s="8"/>
      <c r="LN13" s="8"/>
      <c r="LO13" s="8"/>
      <c r="LP13" s="8"/>
      <c r="LQ13" s="8"/>
      <c r="LR13" s="7"/>
      <c r="LS13" s="7"/>
      <c r="LT13" s="8"/>
      <c r="LU13" s="8"/>
      <c r="LV13" s="8"/>
      <c r="LW13" s="8"/>
      <c r="LX13" s="8"/>
      <c r="LY13" s="7"/>
      <c r="LZ13" s="7"/>
      <c r="MA13" s="8"/>
      <c r="MB13" s="8"/>
      <c r="MC13" s="8"/>
      <c r="MD13" s="8"/>
      <c r="ME13" s="8"/>
      <c r="MF13" s="7"/>
      <c r="MG13" s="7"/>
      <c r="MH13" s="8"/>
      <c r="MI13" s="8"/>
      <c r="MJ13" s="8"/>
      <c r="MK13" s="8"/>
      <c r="ML13" s="8"/>
      <c r="MM13" s="7"/>
      <c r="MN13" s="7"/>
      <c r="MO13" s="8"/>
      <c r="MP13" s="8"/>
      <c r="MQ13" s="8"/>
      <c r="MR13" s="8"/>
      <c r="MS13" s="8"/>
      <c r="MT13" s="7"/>
      <c r="MU13" s="7"/>
      <c r="MV13" s="8"/>
      <c r="MW13" s="8"/>
      <c r="MX13" s="8"/>
      <c r="MY13" s="8"/>
      <c r="MZ13" s="26"/>
      <c r="NA13" s="7"/>
      <c r="NB13" s="7"/>
      <c r="NC13" s="8"/>
      <c r="ND13" s="8"/>
      <c r="NE13" s="8"/>
      <c r="NF13" s="8"/>
      <c r="NG13" s="8"/>
      <c r="NH13" s="7"/>
      <c r="NI13" s="7"/>
      <c r="NJ13" s="8"/>
      <c r="NK13" s="8"/>
      <c r="NL13" s="8"/>
    </row>
    <row r="14" spans="1:376" customFormat="1">
      <c r="A14" s="1"/>
      <c r="B14" s="29" t="s">
        <v>37</v>
      </c>
      <c r="C14" s="29" t="s">
        <v>30</v>
      </c>
      <c r="D14" s="29" t="s">
        <v>38</v>
      </c>
      <c r="E14" s="29">
        <v>0</v>
      </c>
      <c r="F14" s="29">
        <v>15</v>
      </c>
      <c r="G14" s="29">
        <v>0</v>
      </c>
      <c r="H14" s="29">
        <f t="shared" si="0"/>
        <v>15</v>
      </c>
      <c r="I14" s="30">
        <f t="shared" si="1"/>
        <v>0</v>
      </c>
      <c r="J14" s="30">
        <f t="shared" si="2"/>
        <v>0</v>
      </c>
      <c r="K14" s="30">
        <f t="shared" si="3"/>
        <v>0</v>
      </c>
      <c r="L14" s="28"/>
      <c r="M14" s="8"/>
      <c r="N14" s="8"/>
      <c r="O14" s="7"/>
      <c r="P14" s="7"/>
      <c r="Q14" s="8"/>
      <c r="R14" s="8"/>
      <c r="S14" s="8"/>
      <c r="T14" s="8"/>
      <c r="U14" s="7"/>
      <c r="V14" s="7"/>
      <c r="W14" s="7"/>
      <c r="X14" s="7"/>
      <c r="Y14" s="8"/>
      <c r="Z14" s="8"/>
      <c r="AA14" s="8"/>
      <c r="AB14" s="8"/>
      <c r="AC14" s="7"/>
      <c r="AD14" s="7"/>
      <c r="AE14" s="7"/>
      <c r="AF14" s="8"/>
      <c r="AG14" s="8"/>
      <c r="AH14" s="8"/>
      <c r="AI14" s="8"/>
      <c r="AJ14" s="7"/>
      <c r="AK14" s="7"/>
      <c r="AL14" s="8"/>
      <c r="AM14" s="8"/>
      <c r="AN14" s="8"/>
      <c r="AO14" s="8"/>
      <c r="AP14" s="7"/>
      <c r="AQ14" s="7"/>
      <c r="AR14" s="7"/>
      <c r="AS14" s="8"/>
      <c r="AT14" s="8"/>
      <c r="AU14" s="8"/>
      <c r="AV14" s="8"/>
      <c r="AW14" s="8"/>
      <c r="AX14" s="7"/>
      <c r="AY14" s="7"/>
      <c r="AZ14" s="8"/>
      <c r="BA14" s="8"/>
      <c r="BB14" s="8"/>
      <c r="BC14" s="8"/>
      <c r="BD14" s="8"/>
      <c r="BE14" s="7"/>
      <c r="BF14" s="7"/>
      <c r="BG14" s="8"/>
      <c r="BH14" s="8"/>
      <c r="BI14" s="8"/>
      <c r="BJ14" s="8"/>
      <c r="BK14" s="8"/>
      <c r="BL14" s="7"/>
      <c r="BM14" s="7"/>
      <c r="BN14" s="8"/>
      <c r="BO14" s="8"/>
      <c r="BP14" s="8"/>
      <c r="BQ14" s="8"/>
      <c r="BR14" s="8"/>
      <c r="BS14" s="7"/>
      <c r="BT14" s="7"/>
      <c r="BU14" s="8"/>
      <c r="BV14" s="8"/>
      <c r="BW14" s="8"/>
      <c r="BX14" s="8"/>
      <c r="BY14" s="8"/>
      <c r="BZ14" s="7"/>
      <c r="CA14" s="7"/>
      <c r="CB14" s="8"/>
      <c r="CC14" s="8"/>
      <c r="CD14" s="8"/>
      <c r="CE14" s="8"/>
      <c r="CF14" s="8"/>
      <c r="CG14" s="7"/>
      <c r="CH14" s="7"/>
      <c r="CI14" s="8"/>
      <c r="CJ14" s="8"/>
      <c r="CK14" s="8"/>
      <c r="CL14" s="8"/>
      <c r="CM14" s="8"/>
      <c r="CN14" s="7"/>
      <c r="CO14" s="7"/>
      <c r="CP14" s="8"/>
      <c r="CQ14" s="8"/>
      <c r="CR14" s="7"/>
      <c r="CS14" s="8"/>
      <c r="CT14" s="8"/>
      <c r="CU14" s="7"/>
      <c r="CV14" s="7"/>
      <c r="CW14" s="8"/>
      <c r="CX14" s="8"/>
      <c r="CY14" s="8"/>
      <c r="CZ14" s="8"/>
      <c r="DA14" s="8"/>
      <c r="DB14" s="7"/>
      <c r="DC14" s="7"/>
      <c r="DD14" s="8"/>
      <c r="DE14" s="8"/>
      <c r="DF14" s="8"/>
      <c r="DG14" s="8"/>
      <c r="DH14" s="8"/>
      <c r="DI14" s="7"/>
      <c r="DJ14" s="7"/>
      <c r="DK14" s="8"/>
      <c r="DL14" s="8"/>
      <c r="DM14" s="8"/>
      <c r="DN14" s="8"/>
      <c r="DO14" s="8"/>
      <c r="DP14" s="7"/>
      <c r="DQ14" s="7"/>
      <c r="DR14" s="8"/>
      <c r="DS14" s="8"/>
      <c r="DT14" s="8"/>
      <c r="DU14" s="8"/>
      <c r="DV14" s="8"/>
      <c r="DW14" s="7"/>
      <c r="DX14" s="7"/>
      <c r="DY14" s="8"/>
      <c r="DZ14" s="8"/>
      <c r="EA14" s="8"/>
      <c r="EB14" s="8"/>
      <c r="EC14" s="8"/>
      <c r="ED14" s="7"/>
      <c r="EE14" s="7"/>
      <c r="EF14" s="8"/>
      <c r="EG14" s="8"/>
      <c r="EH14" s="8"/>
      <c r="EI14" s="8"/>
      <c r="EJ14" s="8"/>
      <c r="EK14" s="7"/>
      <c r="EL14" s="7"/>
      <c r="EM14" s="8"/>
      <c r="EN14" s="8"/>
      <c r="EO14" s="8"/>
      <c r="EP14" s="8"/>
      <c r="EQ14" s="8"/>
      <c r="ER14" s="7"/>
      <c r="ES14" s="7"/>
      <c r="ET14" s="8"/>
      <c r="EU14" s="8"/>
      <c r="EV14" s="8"/>
      <c r="EW14" s="8"/>
      <c r="EX14" s="8"/>
      <c r="EY14" s="7"/>
      <c r="EZ14" s="7"/>
      <c r="FA14" s="8"/>
      <c r="FB14" s="8"/>
      <c r="FC14" s="8"/>
      <c r="FD14" s="8"/>
      <c r="FE14" s="8"/>
      <c r="FF14" s="7"/>
      <c r="FG14" s="7"/>
      <c r="FH14" s="8"/>
      <c r="FI14" s="8"/>
      <c r="FJ14" s="8"/>
      <c r="FK14" s="8"/>
      <c r="FL14" s="8"/>
      <c r="FM14" s="7"/>
      <c r="FN14" s="7"/>
      <c r="FO14" s="8"/>
      <c r="FP14" s="8"/>
      <c r="FQ14" s="8"/>
      <c r="FR14" s="8"/>
      <c r="FS14" s="8"/>
      <c r="FT14" s="7"/>
      <c r="FU14" s="7"/>
      <c r="FV14" s="8"/>
      <c r="FW14" s="8"/>
      <c r="FX14" s="8"/>
      <c r="FY14" s="8"/>
      <c r="FZ14" s="8"/>
      <c r="GA14" s="7"/>
      <c r="GB14" s="7"/>
      <c r="GC14" s="8"/>
      <c r="GD14" s="8"/>
      <c r="GE14" s="8"/>
      <c r="GF14" s="8"/>
      <c r="GG14" s="8"/>
      <c r="GH14" s="7"/>
      <c r="GI14" s="7"/>
      <c r="GJ14" s="8"/>
      <c r="GK14" s="8"/>
      <c r="GL14" s="8"/>
      <c r="GM14" s="8"/>
      <c r="GN14" s="8"/>
      <c r="GO14" s="7"/>
      <c r="GP14" s="7"/>
      <c r="GQ14" s="8"/>
      <c r="GR14" s="8"/>
      <c r="GS14" s="8"/>
      <c r="GT14" s="8"/>
      <c r="GU14" s="7"/>
      <c r="GV14" s="7"/>
      <c r="GW14" s="7"/>
      <c r="GX14" s="7"/>
      <c r="GY14" s="8"/>
      <c r="GZ14" s="8"/>
      <c r="HA14" s="8"/>
      <c r="HB14" s="8"/>
      <c r="HC14" s="7"/>
      <c r="HD14" s="7"/>
      <c r="HE14" s="8"/>
      <c r="HF14" s="8"/>
      <c r="HG14" s="8"/>
      <c r="HH14" s="8"/>
      <c r="HI14" s="8"/>
      <c r="HJ14" s="7"/>
      <c r="HK14" s="7"/>
      <c r="HL14" s="8"/>
      <c r="HM14" s="8"/>
      <c r="HN14" s="8"/>
      <c r="HO14" s="8"/>
      <c r="HP14" s="8"/>
      <c r="HQ14" s="7"/>
      <c r="HR14" s="7"/>
      <c r="HS14" s="8"/>
      <c r="HT14" s="8"/>
      <c r="HU14" s="8"/>
      <c r="HV14" s="8"/>
      <c r="HW14" s="8"/>
      <c r="HX14" s="7"/>
      <c r="HY14" s="7"/>
      <c r="HZ14" s="8"/>
      <c r="IA14" s="8"/>
      <c r="IB14" s="8"/>
      <c r="IC14" s="8"/>
      <c r="ID14" s="8"/>
      <c r="IE14" s="7"/>
      <c r="IF14" s="7"/>
      <c r="IG14" s="8"/>
      <c r="IH14" s="8"/>
      <c r="II14" s="8"/>
      <c r="IJ14" s="8"/>
      <c r="IK14" s="8"/>
      <c r="IL14" s="7"/>
      <c r="IM14" s="7"/>
      <c r="IN14" s="8"/>
      <c r="IO14" s="8"/>
      <c r="IP14" s="8"/>
      <c r="IQ14" s="8"/>
      <c r="IR14" s="8"/>
      <c r="IS14" s="7"/>
      <c r="IT14" s="7"/>
      <c r="IU14" s="8"/>
      <c r="IV14" s="8"/>
      <c r="IW14" s="8"/>
      <c r="IX14" s="8"/>
      <c r="IY14" s="8"/>
      <c r="IZ14" s="7"/>
      <c r="JA14" s="7"/>
      <c r="JB14" s="8"/>
      <c r="JC14" s="25"/>
      <c r="JD14" s="8"/>
      <c r="JE14" s="8"/>
      <c r="JF14" s="8"/>
      <c r="JG14" s="7"/>
      <c r="JH14" s="7"/>
      <c r="JI14" s="8"/>
      <c r="JJ14" s="8"/>
      <c r="JK14" s="8"/>
      <c r="JL14" s="8"/>
      <c r="JM14" s="8"/>
      <c r="JN14" s="7"/>
      <c r="JO14" s="7"/>
      <c r="JP14" s="8"/>
      <c r="JQ14" s="8"/>
      <c r="JR14" s="8"/>
      <c r="JS14" s="8"/>
      <c r="JT14" s="25"/>
      <c r="JU14" s="7"/>
      <c r="JV14" s="7"/>
      <c r="JW14" s="8"/>
      <c r="JX14" s="8"/>
      <c r="JY14" s="8"/>
      <c r="JZ14" s="8"/>
      <c r="KA14" s="25"/>
      <c r="KB14" s="7"/>
      <c r="KC14" s="7"/>
      <c r="KD14" s="8"/>
      <c r="KE14" s="8"/>
      <c r="KF14" s="8"/>
      <c r="KG14" s="8"/>
      <c r="KH14" s="8"/>
      <c r="KI14" s="7"/>
      <c r="KJ14" s="7"/>
      <c r="KK14" s="8"/>
      <c r="KL14" s="8"/>
      <c r="KM14" s="8"/>
      <c r="KN14" s="8"/>
      <c r="KO14" s="8"/>
      <c r="KP14" s="7"/>
      <c r="KQ14" s="7"/>
      <c r="KR14" s="8"/>
      <c r="KS14" s="8"/>
      <c r="KT14" s="8"/>
      <c r="KU14" s="8"/>
      <c r="KV14" s="8"/>
      <c r="KW14" s="7"/>
      <c r="KX14" s="7"/>
      <c r="KY14" s="8"/>
      <c r="KZ14" s="8"/>
      <c r="LA14" s="8"/>
      <c r="LB14" s="8"/>
      <c r="LC14" s="8"/>
      <c r="LD14" s="7"/>
      <c r="LE14" s="7"/>
      <c r="LF14" s="8"/>
      <c r="LG14" s="8"/>
      <c r="LH14" s="8"/>
      <c r="LI14" s="8"/>
      <c r="LJ14" s="8"/>
      <c r="LK14" s="7"/>
      <c r="LL14" s="7"/>
      <c r="LM14" s="8"/>
      <c r="LN14" s="8"/>
      <c r="LO14" s="8"/>
      <c r="LP14" s="8"/>
      <c r="LQ14" s="8"/>
      <c r="LR14" s="7"/>
      <c r="LS14" s="7"/>
      <c r="LT14" s="8"/>
      <c r="LU14" s="8"/>
      <c r="LV14" s="8"/>
      <c r="LW14" s="8"/>
      <c r="LX14" s="8"/>
      <c r="LY14" s="7"/>
      <c r="LZ14" s="7"/>
      <c r="MA14" s="8"/>
      <c r="MB14" s="8"/>
      <c r="MC14" s="8"/>
      <c r="MD14" s="8"/>
      <c r="ME14" s="8"/>
      <c r="MF14" s="7"/>
      <c r="MG14" s="7"/>
      <c r="MH14" s="8"/>
      <c r="MI14" s="8"/>
      <c r="MJ14" s="8"/>
      <c r="MK14" s="8"/>
      <c r="ML14" s="8"/>
      <c r="MM14" s="7"/>
      <c r="MN14" s="7"/>
      <c r="MO14" s="8"/>
      <c r="MP14" s="8"/>
      <c r="MQ14" s="8"/>
      <c r="MR14" s="8"/>
      <c r="MS14" s="8"/>
      <c r="MT14" s="7"/>
      <c r="MU14" s="7"/>
      <c r="MV14" s="8"/>
      <c r="MW14" s="8"/>
      <c r="MX14" s="8"/>
      <c r="MY14" s="8"/>
      <c r="MZ14" s="8"/>
      <c r="NA14" s="7"/>
      <c r="NB14" s="7"/>
      <c r="NC14" s="8"/>
      <c r="ND14" s="8"/>
      <c r="NE14" s="8"/>
      <c r="NF14" s="8"/>
      <c r="NG14" s="8"/>
      <c r="NH14" s="7"/>
      <c r="NI14" s="7"/>
      <c r="NJ14" s="8"/>
      <c r="NK14" s="8"/>
      <c r="NL14" s="8"/>
    </row>
    <row r="15" spans="1:376" customFormat="1">
      <c r="A15" s="1"/>
      <c r="B15" s="29" t="s">
        <v>39</v>
      </c>
      <c r="C15" s="29" t="s">
        <v>36</v>
      </c>
      <c r="D15" s="29" t="s">
        <v>31</v>
      </c>
      <c r="E15" s="29">
        <v>0</v>
      </c>
      <c r="F15" s="29">
        <v>9</v>
      </c>
      <c r="G15" s="29">
        <v>0</v>
      </c>
      <c r="H15" s="29">
        <f t="shared" si="0"/>
        <v>9</v>
      </c>
      <c r="I15" s="30">
        <f t="shared" si="1"/>
        <v>0</v>
      </c>
      <c r="J15" s="30">
        <f t="shared" si="2"/>
        <v>0</v>
      </c>
      <c r="K15" s="30">
        <f t="shared" si="3"/>
        <v>0</v>
      </c>
      <c r="L15" s="28"/>
      <c r="M15" s="8"/>
      <c r="N15" s="8"/>
      <c r="O15" s="7"/>
      <c r="P15" s="7"/>
      <c r="Q15" s="8"/>
      <c r="R15" s="8"/>
      <c r="S15" s="8"/>
      <c r="T15" s="8"/>
      <c r="U15" s="7"/>
      <c r="V15" s="7"/>
      <c r="W15" s="7"/>
      <c r="X15" s="7"/>
      <c r="Y15" s="8"/>
      <c r="Z15" s="8"/>
      <c r="AA15" s="8"/>
      <c r="AB15" s="8"/>
      <c r="AC15" s="7"/>
      <c r="AD15" s="7"/>
      <c r="AE15" s="7"/>
      <c r="AF15" s="8"/>
      <c r="AG15" s="8"/>
      <c r="AH15" s="8"/>
      <c r="AI15" s="8"/>
      <c r="AJ15" s="7"/>
      <c r="AK15" s="7"/>
      <c r="AL15" s="8"/>
      <c r="AM15" s="8"/>
      <c r="AN15" s="8"/>
      <c r="AO15" s="8"/>
      <c r="AP15" s="7"/>
      <c r="AQ15" s="7"/>
      <c r="AR15" s="7"/>
      <c r="AS15" s="8"/>
      <c r="AT15" s="8"/>
      <c r="AU15" s="8"/>
      <c r="AV15" s="8"/>
      <c r="AW15" s="8"/>
      <c r="AX15" s="7"/>
      <c r="AY15" s="7"/>
      <c r="AZ15" s="8"/>
      <c r="BA15" s="8"/>
      <c r="BB15" s="8"/>
      <c r="BC15" s="8"/>
      <c r="BD15" s="8"/>
      <c r="BE15" s="7"/>
      <c r="BF15" s="7"/>
      <c r="BG15" s="8"/>
      <c r="BH15" s="8"/>
      <c r="BI15" s="8"/>
      <c r="BJ15" s="8"/>
      <c r="BK15" s="8"/>
      <c r="BL15" s="7"/>
      <c r="BM15" s="7"/>
      <c r="BN15" s="8"/>
      <c r="BO15" s="8"/>
      <c r="BP15" s="8"/>
      <c r="BQ15" s="8"/>
      <c r="BR15" s="8"/>
      <c r="BS15" s="7"/>
      <c r="BT15" s="7"/>
      <c r="BU15" s="8"/>
      <c r="BV15" s="8"/>
      <c r="BW15" s="8"/>
      <c r="BX15" s="8"/>
      <c r="BY15" s="8"/>
      <c r="BZ15" s="7"/>
      <c r="CA15" s="7"/>
      <c r="CB15" s="8"/>
      <c r="CC15" s="8"/>
      <c r="CD15" s="8"/>
      <c r="CE15" s="8"/>
      <c r="CF15" s="8"/>
      <c r="CG15" s="7"/>
      <c r="CH15" s="7"/>
      <c r="CI15" s="8"/>
      <c r="CJ15" s="8"/>
      <c r="CK15" s="8"/>
      <c r="CL15" s="8"/>
      <c r="CM15" s="8"/>
      <c r="CN15" s="7"/>
      <c r="CO15" s="7"/>
      <c r="CP15" s="8"/>
      <c r="CQ15" s="8"/>
      <c r="CR15" s="7"/>
      <c r="CS15" s="8"/>
      <c r="CT15" s="8"/>
      <c r="CU15" s="7"/>
      <c r="CV15" s="7"/>
      <c r="CW15" s="8"/>
      <c r="CX15" s="8"/>
      <c r="CY15" s="8"/>
      <c r="CZ15" s="8"/>
      <c r="DA15" s="8"/>
      <c r="DB15" s="7"/>
      <c r="DC15" s="7"/>
      <c r="DD15" s="8"/>
      <c r="DE15" s="8"/>
      <c r="DF15" s="8"/>
      <c r="DG15" s="8"/>
      <c r="DH15" s="8"/>
      <c r="DI15" s="7"/>
      <c r="DJ15" s="7"/>
      <c r="DK15" s="8"/>
      <c r="DL15" s="8"/>
      <c r="DM15" s="8"/>
      <c r="DN15" s="8"/>
      <c r="DO15" s="8"/>
      <c r="DP15" s="7"/>
      <c r="DQ15" s="7"/>
      <c r="DR15" s="8"/>
      <c r="DS15" s="8"/>
      <c r="DT15" s="8"/>
      <c r="DU15" s="8"/>
      <c r="DV15" s="8"/>
      <c r="DW15" s="7"/>
      <c r="DX15" s="7"/>
      <c r="DY15" s="8"/>
      <c r="DZ15" s="8"/>
      <c r="EA15" s="8"/>
      <c r="EB15" s="8"/>
      <c r="EC15" s="8"/>
      <c r="ED15" s="7"/>
      <c r="EE15" s="7"/>
      <c r="EF15" s="8"/>
      <c r="EG15" s="8"/>
      <c r="EH15" s="8"/>
      <c r="EI15" s="8"/>
      <c r="EJ15" s="8"/>
      <c r="EK15" s="7"/>
      <c r="EL15" s="7"/>
      <c r="EM15" s="8"/>
      <c r="EN15" s="8"/>
      <c r="EO15" s="8"/>
      <c r="EP15" s="8"/>
      <c r="EQ15" s="8"/>
      <c r="ER15" s="7"/>
      <c r="ES15" s="7"/>
      <c r="ET15" s="8"/>
      <c r="EU15" s="8"/>
      <c r="EV15" s="8"/>
      <c r="EW15" s="8"/>
      <c r="EX15" s="8"/>
      <c r="EY15" s="7"/>
      <c r="EZ15" s="7"/>
      <c r="FA15" s="8"/>
      <c r="FB15" s="8"/>
      <c r="FC15" s="8"/>
      <c r="FD15" s="8"/>
      <c r="FE15" s="8"/>
      <c r="FF15" s="7"/>
      <c r="FG15" s="7"/>
      <c r="FH15" s="8"/>
      <c r="FI15" s="8"/>
      <c r="FJ15" s="8"/>
      <c r="FK15" s="8"/>
      <c r="FL15" s="8"/>
      <c r="FM15" s="7"/>
      <c r="FN15" s="7"/>
      <c r="FO15" s="8"/>
      <c r="FP15" s="8"/>
      <c r="FQ15" s="8"/>
      <c r="FR15" s="8"/>
      <c r="FS15" s="8"/>
      <c r="FT15" s="7"/>
      <c r="FU15" s="7"/>
      <c r="FV15" s="8"/>
      <c r="FW15" s="8"/>
      <c r="FX15" s="8"/>
      <c r="FY15" s="8"/>
      <c r="FZ15" s="8"/>
      <c r="GA15" s="7"/>
      <c r="GB15" s="7"/>
      <c r="GC15" s="8"/>
      <c r="GD15" s="8"/>
      <c r="GE15" s="8"/>
      <c r="GF15" s="8"/>
      <c r="GG15" s="8"/>
      <c r="GH15" s="7"/>
      <c r="GI15" s="7"/>
      <c r="GJ15" s="8"/>
      <c r="GK15" s="8"/>
      <c r="GL15" s="8"/>
      <c r="GM15" s="8"/>
      <c r="GN15" s="8"/>
      <c r="GO15" s="7"/>
      <c r="GP15" s="7"/>
      <c r="GQ15" s="8"/>
      <c r="GR15" s="8"/>
      <c r="GS15" s="8"/>
      <c r="GT15" s="8"/>
      <c r="GU15" s="7"/>
      <c r="GV15" s="7"/>
      <c r="GW15" s="7"/>
      <c r="GX15" s="7"/>
      <c r="GY15" s="8"/>
      <c r="GZ15" s="8"/>
      <c r="HA15" s="8"/>
      <c r="HB15" s="8"/>
      <c r="HC15" s="7"/>
      <c r="HD15" s="7"/>
      <c r="HE15" s="8"/>
      <c r="HF15" s="8"/>
      <c r="HG15" s="8"/>
      <c r="HH15" s="8"/>
      <c r="HI15" s="8"/>
      <c r="HJ15" s="7"/>
      <c r="HK15" s="7"/>
      <c r="HL15" s="8"/>
      <c r="HM15" s="8"/>
      <c r="HN15" s="8"/>
      <c r="HO15" s="8"/>
      <c r="HP15" s="8"/>
      <c r="HQ15" s="7"/>
      <c r="HR15" s="7"/>
      <c r="HS15" s="8"/>
      <c r="HT15" s="8"/>
      <c r="HU15" s="8"/>
      <c r="HV15" s="8"/>
      <c r="HW15" s="8"/>
      <c r="HX15" s="7"/>
      <c r="HY15" s="7"/>
      <c r="HZ15" s="8"/>
      <c r="IA15" s="8"/>
      <c r="IB15" s="8"/>
      <c r="IC15" s="8"/>
      <c r="ID15" s="8"/>
      <c r="IE15" s="7"/>
      <c r="IF15" s="7"/>
      <c r="IG15" s="8"/>
      <c r="IH15" s="8"/>
      <c r="II15" s="8"/>
      <c r="IJ15" s="8"/>
      <c r="IK15" s="8"/>
      <c r="IL15" s="7"/>
      <c r="IM15" s="7"/>
      <c r="IN15" s="8"/>
      <c r="IO15" s="8"/>
      <c r="IP15" s="8"/>
      <c r="IQ15" s="8"/>
      <c r="IR15" s="8"/>
      <c r="IS15" s="7"/>
      <c r="IT15" s="7"/>
      <c r="IU15" s="8"/>
      <c r="IV15" s="8"/>
      <c r="IW15" s="8"/>
      <c r="IX15" s="8"/>
      <c r="IY15" s="8"/>
      <c r="IZ15" s="7"/>
      <c r="JA15" s="7"/>
      <c r="JB15" s="8"/>
      <c r="JC15" s="25"/>
      <c r="JD15" s="8"/>
      <c r="JE15" s="8"/>
      <c r="JF15" s="8"/>
      <c r="JG15" s="7"/>
      <c r="JH15" s="7"/>
      <c r="JI15" s="8"/>
      <c r="JJ15" s="8"/>
      <c r="JK15" s="8"/>
      <c r="JL15" s="8"/>
      <c r="JM15" s="8"/>
      <c r="JN15" s="7"/>
      <c r="JO15" s="7"/>
      <c r="JP15" s="8"/>
      <c r="JQ15" s="8"/>
      <c r="JR15" s="8"/>
      <c r="JS15" s="26"/>
      <c r="JT15" s="25"/>
      <c r="JU15" s="7"/>
      <c r="JV15" s="7"/>
      <c r="JW15" s="8"/>
      <c r="JX15" s="8"/>
      <c r="JY15" s="8"/>
      <c r="JZ15" s="26"/>
      <c r="KA15" s="25"/>
      <c r="KB15" s="7"/>
      <c r="KC15" s="7"/>
      <c r="KD15" s="8"/>
      <c r="KE15" s="8"/>
      <c r="KF15" s="26"/>
      <c r="KG15" s="8"/>
      <c r="KH15" s="8"/>
      <c r="KI15" s="7"/>
      <c r="KJ15" s="7"/>
      <c r="KK15" s="8"/>
      <c r="KL15" s="8"/>
      <c r="KM15" s="8"/>
      <c r="KN15" s="8"/>
      <c r="KO15" s="8"/>
      <c r="KP15" s="7"/>
      <c r="KQ15" s="7"/>
      <c r="KR15" s="8"/>
      <c r="KS15" s="8"/>
      <c r="KT15" s="8"/>
      <c r="KU15" s="8"/>
      <c r="KV15" s="26"/>
      <c r="KW15" s="7"/>
      <c r="KX15" s="7"/>
      <c r="KY15" s="8"/>
      <c r="KZ15" s="8"/>
      <c r="LA15" s="8"/>
      <c r="LB15" s="8"/>
      <c r="LC15" s="8"/>
      <c r="LD15" s="7"/>
      <c r="LE15" s="7"/>
      <c r="LF15" s="8"/>
      <c r="LG15" s="8"/>
      <c r="LH15" s="8"/>
      <c r="LI15" s="8"/>
      <c r="LJ15" s="8"/>
      <c r="LK15" s="7"/>
      <c r="LL15" s="7"/>
      <c r="LM15" s="8"/>
      <c r="LN15" s="8"/>
      <c r="LO15" s="8"/>
      <c r="LP15" s="8"/>
      <c r="LQ15" s="8"/>
      <c r="LR15" s="7"/>
      <c r="LS15" s="7"/>
      <c r="LT15" s="8"/>
      <c r="LU15" s="8"/>
      <c r="LV15" s="8"/>
      <c r="LW15" s="8"/>
      <c r="LX15" s="8"/>
      <c r="LY15" s="7"/>
      <c r="LZ15" s="7"/>
      <c r="MA15" s="8"/>
      <c r="MB15" s="8"/>
      <c r="MC15" s="8"/>
      <c r="MD15" s="8"/>
      <c r="ME15" s="8"/>
      <c r="MF15" s="7"/>
      <c r="MG15" s="7"/>
      <c r="MH15" s="8"/>
      <c r="MI15" s="8"/>
      <c r="MJ15" s="8"/>
      <c r="MK15" s="8"/>
      <c r="ML15" s="8"/>
      <c r="MM15" s="7"/>
      <c r="MN15" s="7"/>
      <c r="MO15" s="8"/>
      <c r="MP15" s="8"/>
      <c r="MQ15" s="8"/>
      <c r="MR15" s="8"/>
      <c r="MS15" s="8"/>
      <c r="MT15" s="7"/>
      <c r="MU15" s="7"/>
      <c r="MV15" s="8"/>
      <c r="MW15" s="8"/>
      <c r="MX15" s="8"/>
      <c r="MY15" s="8"/>
      <c r="MZ15" s="26"/>
      <c r="NA15" s="7"/>
      <c r="NB15" s="7"/>
      <c r="NC15" s="8"/>
      <c r="ND15" s="8"/>
      <c r="NE15" s="8"/>
      <c r="NF15" s="8"/>
      <c r="NG15" s="8"/>
      <c r="NH15" s="7"/>
      <c r="NI15" s="7"/>
      <c r="NJ15" s="8"/>
      <c r="NK15" s="8"/>
      <c r="NL15" s="8"/>
    </row>
    <row r="16" spans="1:376" customFormat="1">
      <c r="A16" s="1"/>
      <c r="B16" s="29" t="s">
        <v>40</v>
      </c>
      <c r="C16" s="29" t="s">
        <v>30</v>
      </c>
      <c r="D16" s="29" t="s">
        <v>31</v>
      </c>
      <c r="E16" s="29">
        <v>0</v>
      </c>
      <c r="F16" s="29">
        <v>10</v>
      </c>
      <c r="G16" s="29">
        <v>0</v>
      </c>
      <c r="H16" s="29">
        <f t="shared" si="0"/>
        <v>10</v>
      </c>
      <c r="I16" s="30">
        <f t="shared" si="1"/>
        <v>0</v>
      </c>
      <c r="J16" s="30">
        <f t="shared" si="2"/>
        <v>0</v>
      </c>
      <c r="K16" s="30">
        <f t="shared" si="3"/>
        <v>0</v>
      </c>
      <c r="L16" s="28"/>
      <c r="M16" s="8"/>
      <c r="N16" s="8"/>
      <c r="O16" s="7"/>
      <c r="P16" s="7"/>
      <c r="Q16" s="8"/>
      <c r="R16" s="8"/>
      <c r="S16" s="8"/>
      <c r="T16" s="8"/>
      <c r="U16" s="7"/>
      <c r="V16" s="7"/>
      <c r="W16" s="7"/>
      <c r="X16" s="7"/>
      <c r="Y16" s="8"/>
      <c r="Z16" s="8"/>
      <c r="AA16" s="8"/>
      <c r="AB16" s="8"/>
      <c r="AC16" s="7"/>
      <c r="AD16" s="7"/>
      <c r="AE16" s="7"/>
      <c r="AF16" s="8"/>
      <c r="AG16" s="8"/>
      <c r="AH16" s="8"/>
      <c r="AI16" s="8"/>
      <c r="AJ16" s="7"/>
      <c r="AK16" s="7"/>
      <c r="AL16" s="8"/>
      <c r="AM16" s="8"/>
      <c r="AN16" s="8"/>
      <c r="AO16" s="8"/>
      <c r="AP16" s="7"/>
      <c r="AQ16" s="7"/>
      <c r="AR16" s="7"/>
      <c r="AS16" s="8"/>
      <c r="AT16" s="8"/>
      <c r="AU16" s="8"/>
      <c r="AV16" s="8"/>
      <c r="AW16" s="8"/>
      <c r="AX16" s="7"/>
      <c r="AY16" s="7"/>
      <c r="AZ16" s="8"/>
      <c r="BA16" s="8"/>
      <c r="BB16" s="8"/>
      <c r="BC16" s="8"/>
      <c r="BD16" s="8"/>
      <c r="BE16" s="7"/>
      <c r="BF16" s="7"/>
      <c r="BG16" s="8"/>
      <c r="BH16" s="8"/>
      <c r="BI16" s="8"/>
      <c r="BJ16" s="8"/>
      <c r="BK16" s="8"/>
      <c r="BL16" s="7"/>
      <c r="BM16" s="7"/>
      <c r="BN16" s="8"/>
      <c r="BO16" s="8"/>
      <c r="BP16" s="8"/>
      <c r="BQ16" s="8"/>
      <c r="BR16" s="8"/>
      <c r="BS16" s="7"/>
      <c r="BT16" s="7"/>
      <c r="BU16" s="8"/>
      <c r="BV16" s="8"/>
      <c r="BW16" s="8"/>
      <c r="BX16" s="8"/>
      <c r="BY16" s="8"/>
      <c r="BZ16" s="7"/>
      <c r="CA16" s="7"/>
      <c r="CB16" s="8"/>
      <c r="CC16" s="8"/>
      <c r="CD16" s="8"/>
      <c r="CE16" s="8"/>
      <c r="CF16" s="8"/>
      <c r="CG16" s="7"/>
      <c r="CH16" s="7"/>
      <c r="CI16" s="8"/>
      <c r="CJ16" s="8"/>
      <c r="CK16" s="8"/>
      <c r="CL16" s="8"/>
      <c r="CM16" s="8"/>
      <c r="CN16" s="7"/>
      <c r="CO16" s="7"/>
      <c r="CP16" s="8"/>
      <c r="CQ16" s="8"/>
      <c r="CR16" s="7"/>
      <c r="CS16" s="8"/>
      <c r="CT16" s="8"/>
      <c r="CU16" s="7"/>
      <c r="CV16" s="7"/>
      <c r="CW16" s="8"/>
      <c r="CX16" s="8"/>
      <c r="CY16" s="8"/>
      <c r="CZ16" s="8"/>
      <c r="DA16" s="8"/>
      <c r="DB16" s="7"/>
      <c r="DC16" s="7"/>
      <c r="DD16" s="8"/>
      <c r="DE16" s="8"/>
      <c r="DF16" s="8"/>
      <c r="DG16" s="8"/>
      <c r="DH16" s="8"/>
      <c r="DI16" s="7"/>
      <c r="DJ16" s="7"/>
      <c r="DK16" s="8"/>
      <c r="DL16" s="8"/>
      <c r="DM16" s="8"/>
      <c r="DN16" s="8"/>
      <c r="DO16" s="8"/>
      <c r="DP16" s="7"/>
      <c r="DQ16" s="7"/>
      <c r="DR16" s="8"/>
      <c r="DS16" s="8"/>
      <c r="DT16" s="8"/>
      <c r="DU16" s="8"/>
      <c r="DV16" s="8"/>
      <c r="DW16" s="7"/>
      <c r="DX16" s="7"/>
      <c r="DY16" s="8"/>
      <c r="DZ16" s="8"/>
      <c r="EA16" s="8"/>
      <c r="EB16" s="8"/>
      <c r="EC16" s="8"/>
      <c r="ED16" s="7"/>
      <c r="EE16" s="7"/>
      <c r="EF16" s="8"/>
      <c r="EG16" s="8"/>
      <c r="EH16" s="8"/>
      <c r="EI16" s="8"/>
      <c r="EJ16" s="8"/>
      <c r="EK16" s="7"/>
      <c r="EL16" s="7"/>
      <c r="EM16" s="8"/>
      <c r="EN16" s="8"/>
      <c r="EO16" s="8"/>
      <c r="EP16" s="8"/>
      <c r="EQ16" s="8"/>
      <c r="ER16" s="7"/>
      <c r="ES16" s="7"/>
      <c r="ET16" s="8"/>
      <c r="EU16" s="8"/>
      <c r="EV16" s="8"/>
      <c r="EW16" s="8"/>
      <c r="EX16" s="8"/>
      <c r="EY16" s="7"/>
      <c r="EZ16" s="7"/>
      <c r="FA16" s="8"/>
      <c r="FB16" s="8"/>
      <c r="FC16" s="8"/>
      <c r="FD16" s="8"/>
      <c r="FE16" s="8"/>
      <c r="FF16" s="7"/>
      <c r="FG16" s="7"/>
      <c r="FH16" s="8"/>
      <c r="FI16" s="8"/>
      <c r="FJ16" s="8"/>
      <c r="FK16" s="8"/>
      <c r="FL16" s="8"/>
      <c r="FM16" s="7"/>
      <c r="FN16" s="7"/>
      <c r="FO16" s="8"/>
      <c r="FP16" s="8"/>
      <c r="FQ16" s="8"/>
      <c r="FR16" s="8"/>
      <c r="FS16" s="8"/>
      <c r="FT16" s="7"/>
      <c r="FU16" s="7"/>
      <c r="FV16" s="8"/>
      <c r="FW16" s="8"/>
      <c r="FX16" s="8"/>
      <c r="FY16" s="8"/>
      <c r="FZ16" s="8"/>
      <c r="GA16" s="7"/>
      <c r="GB16" s="7"/>
      <c r="GC16" s="8"/>
      <c r="GD16" s="8"/>
      <c r="GE16" s="8"/>
      <c r="GF16" s="8"/>
      <c r="GG16" s="8"/>
      <c r="GH16" s="7"/>
      <c r="GI16" s="7"/>
      <c r="GJ16" s="8"/>
      <c r="GK16" s="8"/>
      <c r="GL16" s="8"/>
      <c r="GM16" s="8"/>
      <c r="GN16" s="8"/>
      <c r="GO16" s="7"/>
      <c r="GP16" s="7"/>
      <c r="GQ16" s="8"/>
      <c r="GR16" s="8"/>
      <c r="GS16" s="8"/>
      <c r="GT16" s="8"/>
      <c r="GU16" s="7"/>
      <c r="GV16" s="7"/>
      <c r="GW16" s="7"/>
      <c r="GX16" s="7"/>
      <c r="GY16" s="8"/>
      <c r="GZ16" s="8"/>
      <c r="HA16" s="8"/>
      <c r="HB16" s="8"/>
      <c r="HC16" s="7"/>
      <c r="HD16" s="7"/>
      <c r="HE16" s="8"/>
      <c r="HF16" s="8"/>
      <c r="HG16" s="8"/>
      <c r="HH16" s="8"/>
      <c r="HI16" s="8"/>
      <c r="HJ16" s="7"/>
      <c r="HK16" s="7"/>
      <c r="HL16" s="8"/>
      <c r="HM16" s="8"/>
      <c r="HN16" s="8"/>
      <c r="HO16" s="8"/>
      <c r="HP16" s="8"/>
      <c r="HQ16" s="7"/>
      <c r="HR16" s="7"/>
      <c r="HS16" s="8"/>
      <c r="HT16" s="8"/>
      <c r="HU16" s="8"/>
      <c r="HV16" s="8"/>
      <c r="HW16" s="8"/>
      <c r="HX16" s="7"/>
      <c r="HY16" s="7"/>
      <c r="HZ16" s="8"/>
      <c r="IA16" s="8"/>
      <c r="IB16" s="8"/>
      <c r="IC16" s="8"/>
      <c r="ID16" s="8"/>
      <c r="IE16" s="7"/>
      <c r="IF16" s="7"/>
      <c r="IG16" s="8"/>
      <c r="IH16" s="8"/>
      <c r="II16" s="8"/>
      <c r="IJ16" s="8"/>
      <c r="IK16" s="8"/>
      <c r="IL16" s="7"/>
      <c r="IM16" s="7"/>
      <c r="IN16" s="8"/>
      <c r="IO16" s="8"/>
      <c r="IP16" s="8"/>
      <c r="IQ16" s="8"/>
      <c r="IR16" s="8"/>
      <c r="IS16" s="7"/>
      <c r="IT16" s="7"/>
      <c r="IU16" s="8"/>
      <c r="IV16" s="8"/>
      <c r="IW16" s="8"/>
      <c r="IX16" s="8"/>
      <c r="IY16" s="8"/>
      <c r="IZ16" s="7"/>
      <c r="JA16" s="7"/>
      <c r="JB16" s="8"/>
      <c r="JC16" s="25"/>
      <c r="JD16" s="8"/>
      <c r="JE16" s="8"/>
      <c r="JF16" s="8"/>
      <c r="JG16" s="7"/>
      <c r="JH16" s="7"/>
      <c r="JI16" s="8"/>
      <c r="JJ16" s="8"/>
      <c r="JK16" s="8"/>
      <c r="JL16" s="8"/>
      <c r="JM16" s="8"/>
      <c r="JN16" s="7"/>
      <c r="JO16" s="7"/>
      <c r="JP16" s="8"/>
      <c r="JQ16" s="8"/>
      <c r="JR16" s="8"/>
      <c r="JS16" s="8"/>
      <c r="JT16" s="25"/>
      <c r="JU16" s="7"/>
      <c r="JV16" s="7"/>
      <c r="JW16" s="8"/>
      <c r="JX16" s="8"/>
      <c r="JY16" s="8"/>
      <c r="JZ16" s="8"/>
      <c r="KA16" s="25"/>
      <c r="KB16" s="7"/>
      <c r="KC16" s="7"/>
      <c r="KD16" s="8"/>
      <c r="KE16" s="8"/>
      <c r="KF16" s="8"/>
      <c r="KG16" s="8"/>
      <c r="KH16" s="8"/>
      <c r="KI16" s="7"/>
      <c r="KJ16" s="7"/>
      <c r="KK16" s="8"/>
      <c r="KL16" s="8"/>
      <c r="KM16" s="8"/>
      <c r="KN16" s="8"/>
      <c r="KO16" s="8"/>
      <c r="KP16" s="7"/>
      <c r="KQ16" s="7"/>
      <c r="KR16" s="8"/>
      <c r="KS16" s="8"/>
      <c r="KT16" s="8"/>
      <c r="KU16" s="8"/>
      <c r="KV16" s="8"/>
      <c r="KW16" s="7"/>
      <c r="KX16" s="7"/>
      <c r="KY16" s="8"/>
      <c r="KZ16" s="8"/>
      <c r="LA16" s="8"/>
      <c r="LB16" s="8"/>
      <c r="LC16" s="8"/>
      <c r="LD16" s="7"/>
      <c r="LE16" s="7"/>
      <c r="LF16" s="8"/>
      <c r="LG16" s="8"/>
      <c r="LH16" s="8"/>
      <c r="LI16" s="8"/>
      <c r="LJ16" s="8"/>
      <c r="LK16" s="7"/>
      <c r="LL16" s="7"/>
      <c r="LM16" s="8"/>
      <c r="LN16" s="8"/>
      <c r="LO16" s="8"/>
      <c r="LP16" s="8"/>
      <c r="LQ16" s="8"/>
      <c r="LR16" s="7"/>
      <c r="LS16" s="7"/>
      <c r="LT16" s="8"/>
      <c r="LU16" s="8"/>
      <c r="LV16" s="8"/>
      <c r="LW16" s="8"/>
      <c r="LX16" s="8"/>
      <c r="LY16" s="7"/>
      <c r="LZ16" s="7"/>
      <c r="MA16" s="8"/>
      <c r="MB16" s="8"/>
      <c r="MC16" s="8"/>
      <c r="MD16" s="8"/>
      <c r="ME16" s="8"/>
      <c r="MF16" s="7"/>
      <c r="MG16" s="7"/>
      <c r="MH16" s="8"/>
      <c r="MI16" s="8"/>
      <c r="MJ16" s="8"/>
      <c r="MK16" s="8"/>
      <c r="ML16" s="8"/>
      <c r="MM16" s="7"/>
      <c r="MN16" s="7"/>
      <c r="MO16" s="8"/>
      <c r="MP16" s="8"/>
      <c r="MQ16" s="8"/>
      <c r="MR16" s="8"/>
      <c r="MS16" s="8"/>
      <c r="MT16" s="7"/>
      <c r="MU16" s="7"/>
      <c r="MV16" s="8"/>
      <c r="MW16" s="8"/>
      <c r="MX16" s="8"/>
      <c r="MY16" s="8"/>
      <c r="MZ16" s="8"/>
      <c r="NA16" s="7"/>
      <c r="NB16" s="7"/>
      <c r="NC16" s="8"/>
      <c r="ND16" s="8"/>
      <c r="NE16" s="8"/>
      <c r="NF16" s="8"/>
      <c r="NG16" s="8"/>
      <c r="NH16" s="7"/>
      <c r="NI16" s="7"/>
      <c r="NJ16" s="8"/>
      <c r="NK16" s="8"/>
      <c r="NL16" s="8"/>
    </row>
    <row r="17" spans="1:376" customFormat="1">
      <c r="A17" s="1"/>
      <c r="B17" s="29" t="s">
        <v>41</v>
      </c>
      <c r="C17" s="29" t="s">
        <v>30</v>
      </c>
      <c r="D17" s="29" t="s">
        <v>31</v>
      </c>
      <c r="E17" s="29">
        <v>0</v>
      </c>
      <c r="F17" s="29">
        <v>15</v>
      </c>
      <c r="G17" s="29">
        <v>0</v>
      </c>
      <c r="H17" s="29">
        <f t="shared" si="0"/>
        <v>15</v>
      </c>
      <c r="I17" s="30">
        <f t="shared" si="1"/>
        <v>0</v>
      </c>
      <c r="J17" s="30">
        <f t="shared" si="2"/>
        <v>0</v>
      </c>
      <c r="K17" s="30">
        <f t="shared" si="3"/>
        <v>0</v>
      </c>
      <c r="L17" s="28"/>
      <c r="M17" s="8"/>
      <c r="N17" s="8"/>
      <c r="O17" s="7"/>
      <c r="P17" s="7"/>
      <c r="Q17" s="8"/>
      <c r="R17" s="8"/>
      <c r="S17" s="8"/>
      <c r="T17" s="8"/>
      <c r="U17" s="7"/>
      <c r="V17" s="7"/>
      <c r="W17" s="7"/>
      <c r="X17" s="7"/>
      <c r="Y17" s="8"/>
      <c r="Z17" s="8"/>
      <c r="AA17" s="8"/>
      <c r="AB17" s="8"/>
      <c r="AC17" s="7"/>
      <c r="AD17" s="7"/>
      <c r="AE17" s="7"/>
      <c r="AF17" s="8"/>
      <c r="AG17" s="8"/>
      <c r="AH17" s="8"/>
      <c r="AI17" s="8"/>
      <c r="AJ17" s="7"/>
      <c r="AK17" s="7"/>
      <c r="AL17" s="8"/>
      <c r="AM17" s="8"/>
      <c r="AN17" s="8"/>
      <c r="AO17" s="8"/>
      <c r="AP17" s="7"/>
      <c r="AQ17" s="7"/>
      <c r="AR17" s="7"/>
      <c r="AS17" s="8"/>
      <c r="AT17" s="8"/>
      <c r="AU17" s="8"/>
      <c r="AV17" s="8"/>
      <c r="AW17" s="8"/>
      <c r="AX17" s="7"/>
      <c r="AY17" s="7"/>
      <c r="AZ17" s="8"/>
      <c r="BA17" s="8"/>
      <c r="BB17" s="8"/>
      <c r="BC17" s="8"/>
      <c r="BD17" s="8"/>
      <c r="BE17" s="7"/>
      <c r="BF17" s="7"/>
      <c r="BG17" s="8"/>
      <c r="BH17" s="8"/>
      <c r="BI17" s="8"/>
      <c r="BJ17" s="8"/>
      <c r="BK17" s="8"/>
      <c r="BL17" s="7"/>
      <c r="BM17" s="7"/>
      <c r="BN17" s="8"/>
      <c r="BO17" s="8"/>
      <c r="BP17" s="8"/>
      <c r="BQ17" s="8"/>
      <c r="BR17" s="8"/>
      <c r="BS17" s="7"/>
      <c r="BT17" s="7"/>
      <c r="BU17" s="8"/>
      <c r="BV17" s="8"/>
      <c r="BW17" s="8"/>
      <c r="BX17" s="8"/>
      <c r="BY17" s="8"/>
      <c r="BZ17" s="7"/>
      <c r="CA17" s="7"/>
      <c r="CB17" s="8"/>
      <c r="CC17" s="8"/>
      <c r="CD17" s="8"/>
      <c r="CE17" s="8"/>
      <c r="CF17" s="8"/>
      <c r="CG17" s="7"/>
      <c r="CH17" s="7"/>
      <c r="CI17" s="8"/>
      <c r="CJ17" s="8"/>
      <c r="CK17" s="8"/>
      <c r="CL17" s="8"/>
      <c r="CM17" s="8"/>
      <c r="CN17" s="7"/>
      <c r="CO17" s="7"/>
      <c r="CP17" s="8"/>
      <c r="CQ17" s="8"/>
      <c r="CR17" s="7"/>
      <c r="CS17" s="8"/>
      <c r="CT17" s="8"/>
      <c r="CU17" s="7"/>
      <c r="CV17" s="7"/>
      <c r="CW17" s="8"/>
      <c r="CX17" s="8"/>
      <c r="CY17" s="8"/>
      <c r="CZ17" s="8"/>
      <c r="DA17" s="8"/>
      <c r="DB17" s="7"/>
      <c r="DC17" s="7"/>
      <c r="DD17" s="8"/>
      <c r="DE17" s="8"/>
      <c r="DF17" s="8"/>
      <c r="DG17" s="8"/>
      <c r="DH17" s="8"/>
      <c r="DI17" s="7"/>
      <c r="DJ17" s="7"/>
      <c r="DK17" s="8"/>
      <c r="DL17" s="8"/>
      <c r="DM17" s="8"/>
      <c r="DN17" s="8"/>
      <c r="DO17" s="8"/>
      <c r="DP17" s="7"/>
      <c r="DQ17" s="7"/>
      <c r="DR17" s="8"/>
      <c r="DS17" s="8"/>
      <c r="DT17" s="8"/>
      <c r="DU17" s="8"/>
      <c r="DV17" s="8"/>
      <c r="DW17" s="7"/>
      <c r="DX17" s="7"/>
      <c r="DY17" s="8"/>
      <c r="DZ17" s="8"/>
      <c r="EA17" s="8"/>
      <c r="EB17" s="8"/>
      <c r="EC17" s="8"/>
      <c r="ED17" s="7"/>
      <c r="EE17" s="7"/>
      <c r="EF17" s="8"/>
      <c r="EG17" s="8"/>
      <c r="EH17" s="8"/>
      <c r="EI17" s="8"/>
      <c r="EJ17" s="8"/>
      <c r="EK17" s="7"/>
      <c r="EL17" s="7"/>
      <c r="EM17" s="8"/>
      <c r="EN17" s="8"/>
      <c r="EO17" s="8"/>
      <c r="EP17" s="8"/>
      <c r="EQ17" s="8"/>
      <c r="ER17" s="7"/>
      <c r="ES17" s="7"/>
      <c r="ET17" s="8"/>
      <c r="EU17" s="8"/>
      <c r="EV17" s="8"/>
      <c r="EW17" s="8"/>
      <c r="EX17" s="8"/>
      <c r="EY17" s="7"/>
      <c r="EZ17" s="7"/>
      <c r="FA17" s="8"/>
      <c r="FB17" s="8"/>
      <c r="FC17" s="8"/>
      <c r="FD17" s="8"/>
      <c r="FE17" s="8"/>
      <c r="FF17" s="7"/>
      <c r="FG17" s="7"/>
      <c r="FH17" s="8"/>
      <c r="FI17" s="8"/>
      <c r="FJ17" s="8"/>
      <c r="FK17" s="8"/>
      <c r="FL17" s="8"/>
      <c r="FM17" s="7"/>
      <c r="FN17" s="7"/>
      <c r="FO17" s="8"/>
      <c r="FP17" s="8"/>
      <c r="FQ17" s="8"/>
      <c r="FR17" s="8"/>
      <c r="FS17" s="8"/>
      <c r="FT17" s="7"/>
      <c r="FU17" s="7"/>
      <c r="FV17" s="8"/>
      <c r="FW17" s="8"/>
      <c r="FX17" s="8"/>
      <c r="FY17" s="8"/>
      <c r="FZ17" s="8"/>
      <c r="GA17" s="7"/>
      <c r="GB17" s="7"/>
      <c r="GC17" s="8"/>
      <c r="GD17" s="8"/>
      <c r="GE17" s="8"/>
      <c r="GF17" s="8"/>
      <c r="GG17" s="8"/>
      <c r="GH17" s="7"/>
      <c r="GI17" s="7"/>
      <c r="GJ17" s="8"/>
      <c r="GK17" s="8"/>
      <c r="GL17" s="8"/>
      <c r="GM17" s="8"/>
      <c r="GN17" s="8"/>
      <c r="GO17" s="7"/>
      <c r="GP17" s="7"/>
      <c r="GQ17" s="8"/>
      <c r="GR17" s="8"/>
      <c r="GS17" s="8"/>
      <c r="GT17" s="8"/>
      <c r="GU17" s="7"/>
      <c r="GV17" s="7"/>
      <c r="GW17" s="7"/>
      <c r="GX17" s="7"/>
      <c r="GY17" s="8"/>
      <c r="GZ17" s="8"/>
      <c r="HA17" s="8"/>
      <c r="HB17" s="8"/>
      <c r="HC17" s="7"/>
      <c r="HD17" s="7"/>
      <c r="HE17" s="8"/>
      <c r="HF17" s="8"/>
      <c r="HG17" s="8"/>
      <c r="HH17" s="8"/>
      <c r="HI17" s="8"/>
      <c r="HJ17" s="7"/>
      <c r="HK17" s="7"/>
      <c r="HL17" s="8"/>
      <c r="HM17" s="8"/>
      <c r="HN17" s="8"/>
      <c r="HO17" s="8"/>
      <c r="HP17" s="8"/>
      <c r="HQ17" s="7"/>
      <c r="HR17" s="7"/>
      <c r="HS17" s="8"/>
      <c r="HT17" s="8"/>
      <c r="HU17" s="8"/>
      <c r="HV17" s="8"/>
      <c r="HW17" s="8"/>
      <c r="HX17" s="7"/>
      <c r="HY17" s="7"/>
      <c r="HZ17" s="8"/>
      <c r="IA17" s="8"/>
      <c r="IB17" s="8"/>
      <c r="IC17" s="8"/>
      <c r="ID17" s="8"/>
      <c r="IE17" s="7"/>
      <c r="IF17" s="7"/>
      <c r="IG17" s="8"/>
      <c r="IH17" s="8"/>
      <c r="II17" s="8"/>
      <c r="IJ17" s="8"/>
      <c r="IK17" s="8"/>
      <c r="IL17" s="7"/>
      <c r="IM17" s="7"/>
      <c r="IN17" s="8"/>
      <c r="IO17" s="8"/>
      <c r="IP17" s="8"/>
      <c r="IQ17" s="8"/>
      <c r="IR17" s="8"/>
      <c r="IS17" s="7"/>
      <c r="IT17" s="7"/>
      <c r="IU17" s="8"/>
      <c r="IV17" s="8"/>
      <c r="IW17" s="8"/>
      <c r="IX17" s="8"/>
      <c r="IY17" s="8"/>
      <c r="IZ17" s="7"/>
      <c r="JA17" s="7"/>
      <c r="JB17" s="8"/>
      <c r="JC17" s="25"/>
      <c r="JD17" s="8"/>
      <c r="JE17" s="8"/>
      <c r="JF17" s="8"/>
      <c r="JG17" s="7"/>
      <c r="JH17" s="7"/>
      <c r="JI17" s="8"/>
      <c r="JJ17" s="8"/>
      <c r="JK17" s="8"/>
      <c r="JL17" s="8"/>
      <c r="JM17" s="8"/>
      <c r="JN17" s="7"/>
      <c r="JO17" s="7"/>
      <c r="JP17" s="8"/>
      <c r="JQ17" s="8"/>
      <c r="JR17" s="8"/>
      <c r="JS17" s="8"/>
      <c r="JT17" s="25"/>
      <c r="JU17" s="7"/>
      <c r="JV17" s="7"/>
      <c r="JW17" s="8"/>
      <c r="JX17" s="8"/>
      <c r="JY17" s="8"/>
      <c r="JZ17" s="8"/>
      <c r="KA17" s="25"/>
      <c r="KB17" s="7"/>
      <c r="KC17" s="7"/>
      <c r="KD17" s="8"/>
      <c r="KE17" s="8"/>
      <c r="KF17" s="8"/>
      <c r="KG17" s="8"/>
      <c r="KH17" s="8"/>
      <c r="KI17" s="7"/>
      <c r="KJ17" s="7"/>
      <c r="KK17" s="8"/>
      <c r="KL17" s="8"/>
      <c r="KM17" s="8"/>
      <c r="KN17" s="8"/>
      <c r="KO17" s="8"/>
      <c r="KP17" s="7"/>
      <c r="KQ17" s="7"/>
      <c r="KR17" s="8"/>
      <c r="KS17" s="8"/>
      <c r="KT17" s="8"/>
      <c r="KU17" s="8"/>
      <c r="KV17" s="8"/>
      <c r="KW17" s="7"/>
      <c r="KX17" s="7"/>
      <c r="KY17" s="8"/>
      <c r="KZ17" s="8"/>
      <c r="LA17" s="8"/>
      <c r="LB17" s="8"/>
      <c r="LC17" s="8"/>
      <c r="LD17" s="7"/>
      <c r="LE17" s="7"/>
      <c r="LF17" s="8"/>
      <c r="LG17" s="8"/>
      <c r="LH17" s="8"/>
      <c r="LI17" s="8"/>
      <c r="LJ17" s="8"/>
      <c r="LK17" s="7"/>
      <c r="LL17" s="7"/>
      <c r="LM17" s="8"/>
      <c r="LN17" s="8"/>
      <c r="LO17" s="8"/>
      <c r="LP17" s="8"/>
      <c r="LQ17" s="8"/>
      <c r="LR17" s="7"/>
      <c r="LS17" s="7"/>
      <c r="LT17" s="8"/>
      <c r="LU17" s="8"/>
      <c r="LV17" s="8"/>
      <c r="LW17" s="8"/>
      <c r="LX17" s="8"/>
      <c r="LY17" s="7"/>
      <c r="LZ17" s="7"/>
      <c r="MA17" s="8"/>
      <c r="MB17" s="8"/>
      <c r="MC17" s="8"/>
      <c r="MD17" s="8"/>
      <c r="ME17" s="8"/>
      <c r="MF17" s="7"/>
      <c r="MG17" s="7"/>
      <c r="MH17" s="8"/>
      <c r="MI17" s="8"/>
      <c r="MJ17" s="8"/>
      <c r="MK17" s="8"/>
      <c r="ML17" s="8"/>
      <c r="MM17" s="7"/>
      <c r="MN17" s="7"/>
      <c r="MO17" s="8"/>
      <c r="MP17" s="8"/>
      <c r="MQ17" s="8"/>
      <c r="MR17" s="8"/>
      <c r="MS17" s="8"/>
      <c r="MT17" s="7"/>
      <c r="MU17" s="7"/>
      <c r="MV17" s="8"/>
      <c r="MW17" s="8"/>
      <c r="MX17" s="8"/>
      <c r="MY17" s="8"/>
      <c r="MZ17" s="8"/>
      <c r="NA17" s="7"/>
      <c r="NB17" s="7"/>
      <c r="NC17" s="8"/>
      <c r="ND17" s="8"/>
      <c r="NE17" s="8"/>
      <c r="NF17" s="8"/>
      <c r="NG17" s="8"/>
      <c r="NH17" s="7"/>
      <c r="NI17" s="7"/>
      <c r="NJ17" s="8"/>
      <c r="NK17" s="8"/>
      <c r="NL17" s="8"/>
    </row>
    <row r="18" spans="1:376" customFormat="1">
      <c r="A18" s="1"/>
      <c r="B18" s="29" t="s">
        <v>42</v>
      </c>
      <c r="C18" s="29" t="s">
        <v>36</v>
      </c>
      <c r="D18" s="29" t="s">
        <v>43</v>
      </c>
      <c r="E18" s="29">
        <v>0</v>
      </c>
      <c r="F18" s="29">
        <v>8</v>
      </c>
      <c r="G18" s="29">
        <v>0</v>
      </c>
      <c r="H18" s="29">
        <f t="shared" si="0"/>
        <v>8</v>
      </c>
      <c r="I18" s="30">
        <f t="shared" si="1"/>
        <v>0</v>
      </c>
      <c r="J18" s="30">
        <f t="shared" si="2"/>
        <v>0</v>
      </c>
      <c r="K18" s="30">
        <f t="shared" si="3"/>
        <v>0</v>
      </c>
      <c r="L18" s="28"/>
      <c r="M18" s="8"/>
      <c r="N18" s="8"/>
      <c r="O18" s="7"/>
      <c r="P18" s="7"/>
      <c r="Q18" s="8"/>
      <c r="R18" s="8"/>
      <c r="S18" s="8"/>
      <c r="T18" s="8"/>
      <c r="U18" s="7"/>
      <c r="V18" s="7"/>
      <c r="W18" s="7"/>
      <c r="X18" s="7"/>
      <c r="Y18" s="8"/>
      <c r="Z18" s="8"/>
      <c r="AA18" s="8"/>
      <c r="AB18" s="8"/>
      <c r="AC18" s="7"/>
      <c r="AD18" s="7"/>
      <c r="AE18" s="7"/>
      <c r="AF18" s="8"/>
      <c r="AG18" s="8"/>
      <c r="AH18" s="8"/>
      <c r="AI18" s="8"/>
      <c r="AJ18" s="7"/>
      <c r="AK18" s="7"/>
      <c r="AL18" s="8"/>
      <c r="AM18" s="8"/>
      <c r="AN18" s="8"/>
      <c r="AO18" s="8"/>
      <c r="AP18" s="7"/>
      <c r="AQ18" s="7"/>
      <c r="AR18" s="7"/>
      <c r="AS18" s="8"/>
      <c r="AT18" s="8"/>
      <c r="AU18" s="8"/>
      <c r="AV18" s="8"/>
      <c r="AW18" s="8"/>
      <c r="AX18" s="7"/>
      <c r="AY18" s="7"/>
      <c r="AZ18" s="8"/>
      <c r="BA18" s="8"/>
      <c r="BB18" s="8"/>
      <c r="BC18" s="8"/>
      <c r="BD18" s="8"/>
      <c r="BE18" s="7"/>
      <c r="BF18" s="7"/>
      <c r="BG18" s="8"/>
      <c r="BH18" s="8"/>
      <c r="BI18" s="8"/>
      <c r="BJ18" s="8"/>
      <c r="BK18" s="8"/>
      <c r="BL18" s="7"/>
      <c r="BM18" s="7"/>
      <c r="BN18" s="8"/>
      <c r="BO18" s="8"/>
      <c r="BP18" s="8"/>
      <c r="BQ18" s="8"/>
      <c r="BR18" s="8"/>
      <c r="BS18" s="7"/>
      <c r="BT18" s="7"/>
      <c r="BU18" s="8"/>
      <c r="BV18" s="8"/>
      <c r="BW18" s="8"/>
      <c r="BX18" s="8"/>
      <c r="BY18" s="8"/>
      <c r="BZ18" s="7"/>
      <c r="CA18" s="7"/>
      <c r="CB18" s="8"/>
      <c r="CC18" s="8"/>
      <c r="CD18" s="8"/>
      <c r="CE18" s="8"/>
      <c r="CF18" s="8"/>
      <c r="CG18" s="7"/>
      <c r="CH18" s="7"/>
      <c r="CI18" s="8"/>
      <c r="CJ18" s="8"/>
      <c r="CK18" s="8"/>
      <c r="CL18" s="8"/>
      <c r="CM18" s="8"/>
      <c r="CN18" s="7"/>
      <c r="CO18" s="7"/>
      <c r="CP18" s="8"/>
      <c r="CQ18" s="8"/>
      <c r="CR18" s="7"/>
      <c r="CS18" s="8"/>
      <c r="CT18" s="8"/>
      <c r="CU18" s="7"/>
      <c r="CV18" s="7"/>
      <c r="CW18" s="8"/>
      <c r="CX18" s="8"/>
      <c r="CY18" s="8"/>
      <c r="CZ18" s="8"/>
      <c r="DA18" s="8"/>
      <c r="DB18" s="7"/>
      <c r="DC18" s="7"/>
      <c r="DD18" s="8"/>
      <c r="DE18" s="8"/>
      <c r="DF18" s="8"/>
      <c r="DG18" s="8"/>
      <c r="DH18" s="8"/>
      <c r="DI18" s="7"/>
      <c r="DJ18" s="7"/>
      <c r="DK18" s="8"/>
      <c r="DL18" s="8"/>
      <c r="DM18" s="8"/>
      <c r="DN18" s="8"/>
      <c r="DO18" s="8"/>
      <c r="DP18" s="7"/>
      <c r="DQ18" s="7"/>
      <c r="DR18" s="8"/>
      <c r="DS18" s="8"/>
      <c r="DT18" s="8"/>
      <c r="DU18" s="8"/>
      <c r="DV18" s="8"/>
      <c r="DW18" s="7"/>
      <c r="DX18" s="7"/>
      <c r="DY18" s="8"/>
      <c r="DZ18" s="8"/>
      <c r="EA18" s="8"/>
      <c r="EB18" s="8"/>
      <c r="EC18" s="8"/>
      <c r="ED18" s="7"/>
      <c r="EE18" s="7"/>
      <c r="EF18" s="8"/>
      <c r="EG18" s="8"/>
      <c r="EH18" s="8"/>
      <c r="EI18" s="8"/>
      <c r="EJ18" s="8"/>
      <c r="EK18" s="7"/>
      <c r="EL18" s="7"/>
      <c r="EM18" s="8"/>
      <c r="EN18" s="8"/>
      <c r="EO18" s="8"/>
      <c r="EP18" s="8"/>
      <c r="EQ18" s="8"/>
      <c r="ER18" s="7"/>
      <c r="ES18" s="7"/>
      <c r="ET18" s="8"/>
      <c r="EU18" s="8"/>
      <c r="EV18" s="8"/>
      <c r="EW18" s="8"/>
      <c r="EX18" s="8"/>
      <c r="EY18" s="7"/>
      <c r="EZ18" s="7"/>
      <c r="FA18" s="8"/>
      <c r="FB18" s="8"/>
      <c r="FC18" s="8"/>
      <c r="FD18" s="8"/>
      <c r="FE18" s="8"/>
      <c r="FF18" s="7"/>
      <c r="FG18" s="7"/>
      <c r="FH18" s="8"/>
      <c r="FI18" s="8"/>
      <c r="FJ18" s="8"/>
      <c r="FK18" s="8"/>
      <c r="FL18" s="8"/>
      <c r="FM18" s="7"/>
      <c r="FN18" s="7"/>
      <c r="FO18" s="8"/>
      <c r="FP18" s="8"/>
      <c r="FQ18" s="8"/>
      <c r="FR18" s="8"/>
      <c r="FS18" s="8"/>
      <c r="FT18" s="7"/>
      <c r="FU18" s="7"/>
      <c r="FV18" s="8"/>
      <c r="FW18" s="8"/>
      <c r="FX18" s="8"/>
      <c r="FY18" s="8"/>
      <c r="FZ18" s="8"/>
      <c r="GA18" s="7"/>
      <c r="GB18" s="7"/>
      <c r="GC18" s="8"/>
      <c r="GD18" s="8"/>
      <c r="GE18" s="8"/>
      <c r="GF18" s="8"/>
      <c r="GG18" s="8"/>
      <c r="GH18" s="7"/>
      <c r="GI18" s="7"/>
      <c r="GJ18" s="8"/>
      <c r="GK18" s="8"/>
      <c r="GL18" s="8"/>
      <c r="GM18" s="8"/>
      <c r="GN18" s="8"/>
      <c r="GO18" s="7"/>
      <c r="GP18" s="7"/>
      <c r="GQ18" s="8"/>
      <c r="GR18" s="8"/>
      <c r="GS18" s="8"/>
      <c r="GT18" s="8"/>
      <c r="GU18" s="7"/>
      <c r="GV18" s="7"/>
      <c r="GW18" s="7"/>
      <c r="GX18" s="7"/>
      <c r="GY18" s="8"/>
      <c r="GZ18" s="8"/>
      <c r="HA18" s="8"/>
      <c r="HB18" s="8"/>
      <c r="HC18" s="7"/>
      <c r="HD18" s="7"/>
      <c r="HE18" s="8"/>
      <c r="HF18" s="8"/>
      <c r="HG18" s="8"/>
      <c r="HH18" s="8"/>
      <c r="HI18" s="8"/>
      <c r="HJ18" s="7"/>
      <c r="HK18" s="7"/>
      <c r="HL18" s="8"/>
      <c r="HM18" s="8"/>
      <c r="HN18" s="8"/>
      <c r="HO18" s="8"/>
      <c r="HP18" s="8"/>
      <c r="HQ18" s="7"/>
      <c r="HR18" s="7"/>
      <c r="HS18" s="8"/>
      <c r="HT18" s="8"/>
      <c r="HU18" s="8"/>
      <c r="HV18" s="8"/>
      <c r="HW18" s="8"/>
      <c r="HX18" s="7"/>
      <c r="HY18" s="7"/>
      <c r="HZ18" s="8"/>
      <c r="IA18" s="8"/>
      <c r="IB18" s="8"/>
      <c r="IC18" s="8"/>
      <c r="ID18" s="8"/>
      <c r="IE18" s="7"/>
      <c r="IF18" s="7"/>
      <c r="IG18" s="8"/>
      <c r="IH18" s="8"/>
      <c r="II18" s="8"/>
      <c r="IJ18" s="8"/>
      <c r="IK18" s="8"/>
      <c r="IL18" s="7"/>
      <c r="IM18" s="7"/>
      <c r="IN18" s="8"/>
      <c r="IO18" s="8"/>
      <c r="IP18" s="8"/>
      <c r="IQ18" s="8"/>
      <c r="IR18" s="8"/>
      <c r="IS18" s="7"/>
      <c r="IT18" s="7"/>
      <c r="IU18" s="8"/>
      <c r="IV18" s="8"/>
      <c r="IW18" s="8"/>
      <c r="IX18" s="8"/>
      <c r="IY18" s="8"/>
      <c r="IZ18" s="7"/>
      <c r="JA18" s="7"/>
      <c r="JB18" s="8"/>
      <c r="JC18" s="25"/>
      <c r="JD18" s="8"/>
      <c r="JE18" s="8"/>
      <c r="JF18" s="8"/>
      <c r="JG18" s="7"/>
      <c r="JH18" s="7"/>
      <c r="JI18" s="8"/>
      <c r="JJ18" s="8"/>
      <c r="JK18" s="8"/>
      <c r="JL18" s="8"/>
      <c r="JM18" s="8"/>
      <c r="JN18" s="7"/>
      <c r="JO18" s="7"/>
      <c r="JP18" s="8"/>
      <c r="JQ18" s="8"/>
      <c r="JR18" s="8"/>
      <c r="JS18" s="26"/>
      <c r="JT18" s="25"/>
      <c r="JU18" s="7"/>
      <c r="JV18" s="7"/>
      <c r="JW18" s="8"/>
      <c r="JX18" s="8"/>
      <c r="JY18" s="8"/>
      <c r="JZ18" s="26"/>
      <c r="KA18" s="25"/>
      <c r="KB18" s="7"/>
      <c r="KC18" s="7"/>
      <c r="KD18" s="8"/>
      <c r="KE18" s="8"/>
      <c r="KF18" s="26"/>
      <c r="KG18" s="8"/>
      <c r="KH18" s="8"/>
      <c r="KI18" s="7"/>
      <c r="KJ18" s="7"/>
      <c r="KK18" s="8"/>
      <c r="KL18" s="8"/>
      <c r="KM18" s="8"/>
      <c r="KN18" s="8"/>
      <c r="KO18" s="8"/>
      <c r="KP18" s="7"/>
      <c r="KQ18" s="7"/>
      <c r="KR18" s="8"/>
      <c r="KS18" s="8"/>
      <c r="KT18" s="8"/>
      <c r="KU18" s="8"/>
      <c r="KV18" s="26"/>
      <c r="KW18" s="7"/>
      <c r="KX18" s="7"/>
      <c r="KY18" s="8"/>
      <c r="KZ18" s="8"/>
      <c r="LA18" s="8"/>
      <c r="LB18" s="8"/>
      <c r="LC18" s="8"/>
      <c r="LD18" s="7"/>
      <c r="LE18" s="7"/>
      <c r="LF18" s="8"/>
      <c r="LG18" s="8"/>
      <c r="LH18" s="8"/>
      <c r="LI18" s="8"/>
      <c r="LJ18" s="8"/>
      <c r="LK18" s="7"/>
      <c r="LL18" s="7"/>
      <c r="LM18" s="8"/>
      <c r="LN18" s="8"/>
      <c r="LO18" s="8"/>
      <c r="LP18" s="8"/>
      <c r="LQ18" s="8"/>
      <c r="LR18" s="7"/>
      <c r="LS18" s="7"/>
      <c r="LT18" s="8"/>
      <c r="LU18" s="8"/>
      <c r="LV18" s="8"/>
      <c r="LW18" s="8"/>
      <c r="LX18" s="8"/>
      <c r="LY18" s="7"/>
      <c r="LZ18" s="7"/>
      <c r="MA18" s="8"/>
      <c r="MB18" s="8"/>
      <c r="MC18" s="8"/>
      <c r="MD18" s="8"/>
      <c r="ME18" s="8"/>
      <c r="MF18" s="7"/>
      <c r="MG18" s="7"/>
      <c r="MH18" s="8"/>
      <c r="MI18" s="8"/>
      <c r="MJ18" s="8"/>
      <c r="MK18" s="8"/>
      <c r="ML18" s="8"/>
      <c r="MM18" s="7"/>
      <c r="MN18" s="7"/>
      <c r="MO18" s="8"/>
      <c r="MP18" s="8"/>
      <c r="MQ18" s="8"/>
      <c r="MR18" s="8"/>
      <c r="MS18" s="8"/>
      <c r="MT18" s="7"/>
      <c r="MU18" s="7"/>
      <c r="MV18" s="8"/>
      <c r="MW18" s="8"/>
      <c r="MX18" s="8"/>
      <c r="MY18" s="8"/>
      <c r="MZ18" s="26"/>
      <c r="NA18" s="7"/>
      <c r="NB18" s="7"/>
      <c r="NC18" s="8"/>
      <c r="ND18" s="8"/>
      <c r="NE18" s="8"/>
      <c r="NF18" s="8"/>
      <c r="NG18" s="8"/>
      <c r="NH18" s="7"/>
      <c r="NI18" s="7"/>
      <c r="NJ18" s="8"/>
      <c r="NK18" s="8"/>
      <c r="NL18" s="8"/>
    </row>
    <row r="19" spans="1:376" customFormat="1">
      <c r="A19" s="1"/>
      <c r="B19" s="29" t="s">
        <v>44</v>
      </c>
      <c r="C19" s="29" t="s">
        <v>36</v>
      </c>
      <c r="D19" s="29" t="s">
        <v>31</v>
      </c>
      <c r="E19" s="29">
        <v>0</v>
      </c>
      <c r="F19" s="29">
        <v>9</v>
      </c>
      <c r="G19" s="29">
        <v>0</v>
      </c>
      <c r="H19" s="29">
        <f t="shared" si="0"/>
        <v>9</v>
      </c>
      <c r="I19" s="30">
        <f t="shared" si="1"/>
        <v>0</v>
      </c>
      <c r="J19" s="30">
        <f t="shared" si="2"/>
        <v>0</v>
      </c>
      <c r="K19" s="30">
        <f t="shared" si="3"/>
        <v>0</v>
      </c>
      <c r="L19" s="28"/>
      <c r="M19" s="8"/>
      <c r="N19" s="8"/>
      <c r="O19" s="7"/>
      <c r="P19" s="7"/>
      <c r="Q19" s="8"/>
      <c r="R19" s="8"/>
      <c r="S19" s="8"/>
      <c r="T19" s="8"/>
      <c r="U19" s="7"/>
      <c r="V19" s="7"/>
      <c r="W19" s="7"/>
      <c r="X19" s="7"/>
      <c r="Y19" s="8"/>
      <c r="Z19" s="8"/>
      <c r="AA19" s="8"/>
      <c r="AB19" s="8"/>
      <c r="AC19" s="7"/>
      <c r="AD19" s="7"/>
      <c r="AE19" s="7"/>
      <c r="AF19" s="8"/>
      <c r="AG19" s="8"/>
      <c r="AH19" s="8"/>
      <c r="AI19" s="8"/>
      <c r="AJ19" s="7"/>
      <c r="AK19" s="7"/>
      <c r="AL19" s="8"/>
      <c r="AM19" s="8"/>
      <c r="AN19" s="8"/>
      <c r="AO19" s="8"/>
      <c r="AP19" s="7"/>
      <c r="AQ19" s="7"/>
      <c r="AR19" s="7"/>
      <c r="AS19" s="8"/>
      <c r="AT19" s="8"/>
      <c r="AU19" s="8"/>
      <c r="AV19" s="8"/>
      <c r="AW19" s="8"/>
      <c r="AX19" s="7"/>
      <c r="AY19" s="7"/>
      <c r="AZ19" s="8"/>
      <c r="BA19" s="8"/>
      <c r="BB19" s="8"/>
      <c r="BC19" s="8"/>
      <c r="BD19" s="8"/>
      <c r="BE19" s="7"/>
      <c r="BF19" s="7"/>
      <c r="BG19" s="8"/>
      <c r="BH19" s="8"/>
      <c r="BI19" s="8"/>
      <c r="BJ19" s="8"/>
      <c r="BK19" s="8"/>
      <c r="BL19" s="7"/>
      <c r="BM19" s="7"/>
      <c r="BN19" s="8"/>
      <c r="BO19" s="8"/>
      <c r="BP19" s="8"/>
      <c r="BQ19" s="8"/>
      <c r="BR19" s="8"/>
      <c r="BS19" s="7"/>
      <c r="BT19" s="7"/>
      <c r="BU19" s="8"/>
      <c r="BV19" s="8"/>
      <c r="BW19" s="8"/>
      <c r="BX19" s="8"/>
      <c r="BY19" s="8"/>
      <c r="BZ19" s="7"/>
      <c r="CA19" s="7"/>
      <c r="CB19" s="8"/>
      <c r="CC19" s="8"/>
      <c r="CD19" s="8"/>
      <c r="CE19" s="8"/>
      <c r="CF19" s="8"/>
      <c r="CG19" s="7"/>
      <c r="CH19" s="7"/>
      <c r="CI19" s="8"/>
      <c r="CJ19" s="8"/>
      <c r="CK19" s="8"/>
      <c r="CL19" s="8"/>
      <c r="CM19" s="8"/>
      <c r="CN19" s="7"/>
      <c r="CO19" s="7"/>
      <c r="CP19" s="8"/>
      <c r="CQ19" s="8"/>
      <c r="CR19" s="7"/>
      <c r="CS19" s="8"/>
      <c r="CT19" s="8"/>
      <c r="CU19" s="7"/>
      <c r="CV19" s="7"/>
      <c r="CW19" s="8"/>
      <c r="CX19" s="8"/>
      <c r="CY19" s="8"/>
      <c r="CZ19" s="8"/>
      <c r="DA19" s="8"/>
      <c r="DB19" s="7"/>
      <c r="DC19" s="7"/>
      <c r="DD19" s="8"/>
      <c r="DE19" s="8"/>
      <c r="DF19" s="8"/>
      <c r="DG19" s="8"/>
      <c r="DH19" s="8"/>
      <c r="DI19" s="7"/>
      <c r="DJ19" s="7"/>
      <c r="DK19" s="8"/>
      <c r="DL19" s="8"/>
      <c r="DM19" s="8"/>
      <c r="DN19" s="8"/>
      <c r="DO19" s="8"/>
      <c r="DP19" s="7"/>
      <c r="DQ19" s="7"/>
      <c r="DR19" s="8"/>
      <c r="DS19" s="8"/>
      <c r="DT19" s="8"/>
      <c r="DU19" s="8"/>
      <c r="DV19" s="8"/>
      <c r="DW19" s="7"/>
      <c r="DX19" s="7"/>
      <c r="DY19" s="8"/>
      <c r="DZ19" s="8"/>
      <c r="EA19" s="8"/>
      <c r="EB19" s="8"/>
      <c r="EC19" s="8"/>
      <c r="ED19" s="7"/>
      <c r="EE19" s="7"/>
      <c r="EF19" s="8"/>
      <c r="EG19" s="8"/>
      <c r="EH19" s="8"/>
      <c r="EI19" s="8"/>
      <c r="EJ19" s="8"/>
      <c r="EK19" s="7"/>
      <c r="EL19" s="7"/>
      <c r="EM19" s="8"/>
      <c r="EN19" s="8"/>
      <c r="EO19" s="8"/>
      <c r="EP19" s="8"/>
      <c r="EQ19" s="8"/>
      <c r="ER19" s="7"/>
      <c r="ES19" s="7"/>
      <c r="ET19" s="8"/>
      <c r="EU19" s="8"/>
      <c r="EV19" s="8"/>
      <c r="EW19" s="8"/>
      <c r="EX19" s="8"/>
      <c r="EY19" s="7"/>
      <c r="EZ19" s="7"/>
      <c r="FA19" s="8"/>
      <c r="FB19" s="8"/>
      <c r="FC19" s="8"/>
      <c r="FD19" s="8"/>
      <c r="FE19" s="8"/>
      <c r="FF19" s="7"/>
      <c r="FG19" s="7"/>
      <c r="FH19" s="8"/>
      <c r="FI19" s="8"/>
      <c r="FJ19" s="8"/>
      <c r="FK19" s="8"/>
      <c r="FL19" s="8"/>
      <c r="FM19" s="7"/>
      <c r="FN19" s="7"/>
      <c r="FO19" s="8"/>
      <c r="FP19" s="8"/>
      <c r="FQ19" s="8"/>
      <c r="FR19" s="8"/>
      <c r="FS19" s="8"/>
      <c r="FT19" s="7"/>
      <c r="FU19" s="7"/>
      <c r="FV19" s="8"/>
      <c r="FW19" s="8"/>
      <c r="FX19" s="8"/>
      <c r="FY19" s="8"/>
      <c r="FZ19" s="8"/>
      <c r="GA19" s="7"/>
      <c r="GB19" s="7"/>
      <c r="GC19" s="8"/>
      <c r="GD19" s="8"/>
      <c r="GE19" s="8"/>
      <c r="GF19" s="8"/>
      <c r="GG19" s="8"/>
      <c r="GH19" s="7"/>
      <c r="GI19" s="7"/>
      <c r="GJ19" s="8"/>
      <c r="GK19" s="8"/>
      <c r="GL19" s="8"/>
      <c r="GM19" s="8"/>
      <c r="GN19" s="8"/>
      <c r="GO19" s="7"/>
      <c r="GP19" s="7"/>
      <c r="GQ19" s="8"/>
      <c r="GR19" s="8"/>
      <c r="GS19" s="8"/>
      <c r="GT19" s="8"/>
      <c r="GU19" s="7"/>
      <c r="GV19" s="7"/>
      <c r="GW19" s="7"/>
      <c r="GX19" s="7"/>
      <c r="GY19" s="8"/>
      <c r="GZ19" s="8"/>
      <c r="HA19" s="8"/>
      <c r="HB19" s="8"/>
      <c r="HC19" s="7"/>
      <c r="HD19" s="7"/>
      <c r="HE19" s="8"/>
      <c r="HF19" s="8"/>
      <c r="HG19" s="8"/>
      <c r="HH19" s="8"/>
      <c r="HI19" s="8"/>
      <c r="HJ19" s="7"/>
      <c r="HK19" s="7"/>
      <c r="HL19" s="8"/>
      <c r="HM19" s="8"/>
      <c r="HN19" s="8"/>
      <c r="HO19" s="8"/>
      <c r="HP19" s="8"/>
      <c r="HQ19" s="7"/>
      <c r="HR19" s="7"/>
      <c r="HS19" s="8"/>
      <c r="HT19" s="8"/>
      <c r="HU19" s="8"/>
      <c r="HV19" s="8"/>
      <c r="HW19" s="8"/>
      <c r="HX19" s="7"/>
      <c r="HY19" s="7"/>
      <c r="HZ19" s="8"/>
      <c r="IA19" s="8"/>
      <c r="IB19" s="8"/>
      <c r="IC19" s="8"/>
      <c r="ID19" s="8"/>
      <c r="IE19" s="7"/>
      <c r="IF19" s="7"/>
      <c r="IG19" s="8"/>
      <c r="IH19" s="8"/>
      <c r="II19" s="8"/>
      <c r="IJ19" s="8"/>
      <c r="IK19" s="8"/>
      <c r="IL19" s="7"/>
      <c r="IM19" s="7"/>
      <c r="IN19" s="8"/>
      <c r="IO19" s="8"/>
      <c r="IP19" s="8"/>
      <c r="IQ19" s="8"/>
      <c r="IR19" s="8"/>
      <c r="IS19" s="7"/>
      <c r="IT19" s="7"/>
      <c r="IU19" s="8"/>
      <c r="IV19" s="8"/>
      <c r="IW19" s="8"/>
      <c r="IX19" s="8"/>
      <c r="IY19" s="8"/>
      <c r="IZ19" s="7"/>
      <c r="JA19" s="7"/>
      <c r="JB19" s="8"/>
      <c r="JC19" s="25"/>
      <c r="JD19" s="8"/>
      <c r="JE19" s="8"/>
      <c r="JF19" s="8"/>
      <c r="JG19" s="7"/>
      <c r="JH19" s="7"/>
      <c r="JI19" s="8"/>
      <c r="JJ19" s="8"/>
      <c r="JK19" s="8"/>
      <c r="JL19" s="8"/>
      <c r="JM19" s="8"/>
      <c r="JN19" s="7"/>
      <c r="JO19" s="7"/>
      <c r="JP19" s="8"/>
      <c r="JQ19" s="8"/>
      <c r="JR19" s="8"/>
      <c r="JS19" s="26"/>
      <c r="JT19" s="25"/>
      <c r="JU19" s="7"/>
      <c r="JV19" s="7"/>
      <c r="JW19" s="8"/>
      <c r="JX19" s="8"/>
      <c r="JY19" s="8"/>
      <c r="JZ19" s="26"/>
      <c r="KA19" s="25"/>
      <c r="KB19" s="7"/>
      <c r="KC19" s="7"/>
      <c r="KD19" s="8"/>
      <c r="KE19" s="8"/>
      <c r="KF19" s="26"/>
      <c r="KG19" s="8"/>
      <c r="KH19" s="8"/>
      <c r="KI19" s="7"/>
      <c r="KJ19" s="7"/>
      <c r="KK19" s="8"/>
      <c r="KL19" s="8"/>
      <c r="KM19" s="8"/>
      <c r="KN19" s="8"/>
      <c r="KO19" s="8"/>
      <c r="KP19" s="7"/>
      <c r="KQ19" s="7"/>
      <c r="KR19" s="8"/>
      <c r="KS19" s="8"/>
      <c r="KT19" s="8"/>
      <c r="KU19" s="8"/>
      <c r="KV19" s="26"/>
      <c r="KW19" s="7"/>
      <c r="KX19" s="7"/>
      <c r="KY19" s="8"/>
      <c r="KZ19" s="8"/>
      <c r="LA19" s="8"/>
      <c r="LB19" s="8"/>
      <c r="LC19" s="8"/>
      <c r="LD19" s="7"/>
      <c r="LE19" s="7"/>
      <c r="LF19" s="8"/>
      <c r="LG19" s="8"/>
      <c r="LH19" s="8"/>
      <c r="LI19" s="8"/>
      <c r="LJ19" s="8"/>
      <c r="LK19" s="7"/>
      <c r="LL19" s="7"/>
      <c r="LM19" s="8"/>
      <c r="LN19" s="8"/>
      <c r="LO19" s="8"/>
      <c r="LP19" s="8"/>
      <c r="LQ19" s="8"/>
      <c r="LR19" s="7"/>
      <c r="LS19" s="7"/>
      <c r="LT19" s="8"/>
      <c r="LU19" s="8"/>
      <c r="LV19" s="8"/>
      <c r="LW19" s="8"/>
      <c r="LX19" s="8"/>
      <c r="LY19" s="7"/>
      <c r="LZ19" s="7"/>
      <c r="MA19" s="8"/>
      <c r="MB19" s="8"/>
      <c r="MC19" s="8"/>
      <c r="MD19" s="8"/>
      <c r="ME19" s="8"/>
      <c r="MF19" s="7"/>
      <c r="MG19" s="7"/>
      <c r="MH19" s="8"/>
      <c r="MI19" s="8"/>
      <c r="MJ19" s="8"/>
      <c r="MK19" s="8"/>
      <c r="ML19" s="8"/>
      <c r="MM19" s="7"/>
      <c r="MN19" s="7"/>
      <c r="MO19" s="8"/>
      <c r="MP19" s="8"/>
      <c r="MQ19" s="8"/>
      <c r="MR19" s="8"/>
      <c r="MS19" s="8"/>
      <c r="MT19" s="7"/>
      <c r="MU19" s="7"/>
      <c r="MV19" s="8"/>
      <c r="MW19" s="8"/>
      <c r="MX19" s="8"/>
      <c r="MY19" s="8"/>
      <c r="MZ19" s="26"/>
      <c r="NA19" s="7"/>
      <c r="NB19" s="7"/>
      <c r="NC19" s="8"/>
      <c r="ND19" s="8"/>
      <c r="NE19" s="8"/>
      <c r="NF19" s="8"/>
      <c r="NG19" s="8"/>
      <c r="NH19" s="7"/>
      <c r="NI19" s="7"/>
      <c r="NJ19" s="8"/>
      <c r="NK19" s="8"/>
      <c r="NL19" s="8"/>
    </row>
    <row r="20" spans="1:376" customFormat="1">
      <c r="A20" s="1"/>
      <c r="B20" s="29" t="s">
        <v>45</v>
      </c>
      <c r="C20" s="29" t="s">
        <v>36</v>
      </c>
      <c r="D20" s="29" t="s">
        <v>46</v>
      </c>
      <c r="E20" s="29">
        <v>0</v>
      </c>
      <c r="F20" s="29">
        <v>8</v>
      </c>
      <c r="G20" s="29">
        <v>0</v>
      </c>
      <c r="H20" s="29">
        <f t="shared" si="0"/>
        <v>8</v>
      </c>
      <c r="I20" s="30">
        <f t="shared" si="1"/>
        <v>0</v>
      </c>
      <c r="J20" s="30">
        <f t="shared" si="2"/>
        <v>0</v>
      </c>
      <c r="K20" s="30">
        <f t="shared" si="3"/>
        <v>0</v>
      </c>
      <c r="L20" s="28"/>
      <c r="M20" s="8"/>
      <c r="N20" s="8"/>
      <c r="O20" s="7"/>
      <c r="P20" s="7"/>
      <c r="Q20" s="8"/>
      <c r="R20" s="8"/>
      <c r="S20" s="8"/>
      <c r="T20" s="8"/>
      <c r="U20" s="7"/>
      <c r="V20" s="7"/>
      <c r="W20" s="7"/>
      <c r="X20" s="7"/>
      <c r="Y20" s="8"/>
      <c r="Z20" s="8"/>
      <c r="AA20" s="8"/>
      <c r="AB20" s="8"/>
      <c r="AC20" s="7"/>
      <c r="AD20" s="7"/>
      <c r="AE20" s="7"/>
      <c r="AF20" s="8"/>
      <c r="AG20" s="8"/>
      <c r="AH20" s="8"/>
      <c r="AI20" s="8"/>
      <c r="AJ20" s="7"/>
      <c r="AK20" s="7"/>
      <c r="AL20" s="8"/>
      <c r="AM20" s="8"/>
      <c r="AN20" s="8"/>
      <c r="AO20" s="8"/>
      <c r="AP20" s="7"/>
      <c r="AQ20" s="7"/>
      <c r="AR20" s="7"/>
      <c r="AS20" s="8"/>
      <c r="AT20" s="8"/>
      <c r="AU20" s="8"/>
      <c r="AV20" s="8"/>
      <c r="AW20" s="8"/>
      <c r="AX20" s="7"/>
      <c r="AY20" s="7"/>
      <c r="AZ20" s="8"/>
      <c r="BA20" s="8"/>
      <c r="BB20" s="8"/>
      <c r="BC20" s="8"/>
      <c r="BD20" s="11"/>
      <c r="BE20" s="7"/>
      <c r="BF20" s="7"/>
      <c r="BG20" s="8"/>
      <c r="BH20" s="8"/>
      <c r="BI20" s="11"/>
      <c r="BJ20" s="8"/>
      <c r="BK20" s="8"/>
      <c r="BL20" s="7"/>
      <c r="BM20" s="7"/>
      <c r="BN20" s="8"/>
      <c r="BO20" s="8"/>
      <c r="BP20" s="11"/>
      <c r="BQ20" s="11"/>
      <c r="BR20" s="8"/>
      <c r="BS20" s="7"/>
      <c r="BT20" s="7"/>
      <c r="BU20" s="8"/>
      <c r="BV20" s="8"/>
      <c r="BW20" s="11"/>
      <c r="BX20" s="11"/>
      <c r="BY20" s="11"/>
      <c r="BZ20" s="7"/>
      <c r="CA20" s="7"/>
      <c r="CB20" s="11"/>
      <c r="CC20" s="11"/>
      <c r="CD20" s="11"/>
      <c r="CE20" s="11"/>
      <c r="CF20" s="11"/>
      <c r="CG20" s="7"/>
      <c r="CH20" s="7"/>
      <c r="CI20" s="11"/>
      <c r="CJ20" s="11"/>
      <c r="CK20" s="11"/>
      <c r="CL20" s="11"/>
      <c r="CM20" s="11"/>
      <c r="CN20" s="7"/>
      <c r="CO20" s="7"/>
      <c r="CP20" s="11"/>
      <c r="CQ20" s="11"/>
      <c r="CR20" s="7"/>
      <c r="CS20" s="11"/>
      <c r="CT20" s="11"/>
      <c r="CU20" s="7"/>
      <c r="CV20" s="7"/>
      <c r="CW20" s="11"/>
      <c r="CX20" s="11"/>
      <c r="CY20" s="11"/>
      <c r="CZ20" s="11"/>
      <c r="DA20" s="11"/>
      <c r="DB20" s="7"/>
      <c r="DC20" s="7"/>
      <c r="DD20" s="8"/>
      <c r="DE20" s="8"/>
      <c r="DF20" s="8"/>
      <c r="DG20" s="8"/>
      <c r="DH20" s="8"/>
      <c r="DI20" s="7"/>
      <c r="DJ20" s="7"/>
      <c r="DK20" s="8"/>
      <c r="DL20" s="8"/>
      <c r="DM20" s="8"/>
      <c r="DN20" s="8"/>
      <c r="DO20" s="8"/>
      <c r="DP20" s="7"/>
      <c r="DQ20" s="7"/>
      <c r="DR20" s="8"/>
      <c r="DS20" s="8"/>
      <c r="DT20" s="8"/>
      <c r="DU20" s="8"/>
      <c r="DV20" s="8"/>
      <c r="DW20" s="7"/>
      <c r="DX20" s="7"/>
      <c r="DY20" s="8"/>
      <c r="DZ20" s="8"/>
      <c r="EA20" s="8"/>
      <c r="EB20" s="8"/>
      <c r="EC20" s="8"/>
      <c r="ED20" s="7"/>
      <c r="EE20" s="7"/>
      <c r="EF20" s="8"/>
      <c r="EG20" s="8"/>
      <c r="EH20" s="8"/>
      <c r="EI20" s="8"/>
      <c r="EJ20" s="8"/>
      <c r="EK20" s="7"/>
      <c r="EL20" s="7"/>
      <c r="EM20" s="8"/>
      <c r="EN20" s="8"/>
      <c r="EO20" s="8"/>
      <c r="EP20" s="8"/>
      <c r="EQ20" s="8"/>
      <c r="ER20" s="7"/>
      <c r="ES20" s="7"/>
      <c r="ET20" s="8"/>
      <c r="EU20" s="8"/>
      <c r="EV20" s="8"/>
      <c r="EW20" s="8"/>
      <c r="EX20" s="8"/>
      <c r="EY20" s="7"/>
      <c r="EZ20" s="7"/>
      <c r="FA20" s="8"/>
      <c r="FB20" s="8"/>
      <c r="FC20" s="8"/>
      <c r="FD20" s="8"/>
      <c r="FE20" s="8"/>
      <c r="FF20" s="7"/>
      <c r="FG20" s="7"/>
      <c r="FH20" s="8"/>
      <c r="FI20" s="8"/>
      <c r="FJ20" s="8"/>
      <c r="FK20" s="8"/>
      <c r="FL20" s="8"/>
      <c r="FM20" s="7"/>
      <c r="FN20" s="7"/>
      <c r="FO20" s="8"/>
      <c r="FP20" s="8"/>
      <c r="FQ20" s="8"/>
      <c r="FR20" s="8"/>
      <c r="FS20" s="8"/>
      <c r="FT20" s="7"/>
      <c r="FU20" s="7"/>
      <c r="FV20" s="8"/>
      <c r="FW20" s="8"/>
      <c r="FX20" s="8"/>
      <c r="FY20" s="8"/>
      <c r="FZ20" s="8"/>
      <c r="GA20" s="7"/>
      <c r="GB20" s="7"/>
      <c r="GC20" s="8"/>
      <c r="GD20" s="8"/>
      <c r="GE20" s="8"/>
      <c r="GF20" s="8"/>
      <c r="GG20" s="8"/>
      <c r="GH20" s="7"/>
      <c r="GI20" s="7"/>
      <c r="GJ20" s="8"/>
      <c r="GK20" s="8"/>
      <c r="GL20" s="8"/>
      <c r="GM20" s="8"/>
      <c r="GN20" s="8"/>
      <c r="GO20" s="7"/>
      <c r="GP20" s="7"/>
      <c r="GQ20" s="8"/>
      <c r="GR20" s="8"/>
      <c r="GS20" s="8"/>
      <c r="GT20" s="8"/>
      <c r="GU20" s="7"/>
      <c r="GV20" s="7"/>
      <c r="GW20" s="7"/>
      <c r="GX20" s="7"/>
      <c r="GY20" s="8"/>
      <c r="GZ20" s="8"/>
      <c r="HA20" s="8"/>
      <c r="HB20" s="8"/>
      <c r="HC20" s="7"/>
      <c r="HD20" s="7"/>
      <c r="HE20" s="8"/>
      <c r="HF20" s="8"/>
      <c r="HG20" s="8"/>
      <c r="HH20" s="8"/>
      <c r="HI20" s="8"/>
      <c r="HJ20" s="7"/>
      <c r="HK20" s="7"/>
      <c r="HL20" s="8"/>
      <c r="HM20" s="8"/>
      <c r="HN20" s="8"/>
      <c r="HO20" s="8"/>
      <c r="HP20" s="8"/>
      <c r="HQ20" s="7"/>
      <c r="HR20" s="7"/>
      <c r="HS20" s="8"/>
      <c r="HT20" s="8"/>
      <c r="HU20" s="8"/>
      <c r="HV20" s="8"/>
      <c r="HW20" s="8"/>
      <c r="HX20" s="7"/>
      <c r="HY20" s="7"/>
      <c r="HZ20" s="8"/>
      <c r="IA20" s="8"/>
      <c r="IB20" s="8"/>
      <c r="IC20" s="8"/>
      <c r="ID20" s="8"/>
      <c r="IE20" s="7"/>
      <c r="IF20" s="7"/>
      <c r="IG20" s="8"/>
      <c r="IH20" s="8"/>
      <c r="II20" s="8"/>
      <c r="IJ20" s="8"/>
      <c r="IK20" s="8"/>
      <c r="IL20" s="7"/>
      <c r="IM20" s="7"/>
      <c r="IN20" s="8"/>
      <c r="IO20" s="8"/>
      <c r="IP20" s="8"/>
      <c r="IQ20" s="8"/>
      <c r="IR20" s="8"/>
      <c r="IS20" s="7"/>
      <c r="IT20" s="7"/>
      <c r="IU20" s="8"/>
      <c r="IV20" s="8"/>
      <c r="IW20" s="8"/>
      <c r="IX20" s="8"/>
      <c r="IY20" s="8"/>
      <c r="IZ20" s="7"/>
      <c r="JA20" s="7"/>
      <c r="JB20" s="8"/>
      <c r="JC20" s="25"/>
      <c r="JD20" s="8"/>
      <c r="JE20" s="8"/>
      <c r="JF20" s="8"/>
      <c r="JG20" s="7"/>
      <c r="JH20" s="7"/>
      <c r="JI20" s="8"/>
      <c r="JJ20" s="8"/>
      <c r="JK20" s="8"/>
      <c r="JL20" s="8"/>
      <c r="JM20" s="8"/>
      <c r="JN20" s="7"/>
      <c r="JO20" s="7"/>
      <c r="JP20" s="8"/>
      <c r="JQ20" s="8"/>
      <c r="JR20" s="8"/>
      <c r="JS20" s="26"/>
      <c r="JT20" s="25"/>
      <c r="JU20" s="7"/>
      <c r="JV20" s="7"/>
      <c r="JW20" s="8"/>
      <c r="JX20" s="8"/>
      <c r="JY20" s="8"/>
      <c r="JZ20" s="26"/>
      <c r="KA20" s="25"/>
      <c r="KB20" s="7"/>
      <c r="KC20" s="7"/>
      <c r="KD20" s="8"/>
      <c r="KE20" s="8"/>
      <c r="KF20" s="26"/>
      <c r="KG20" s="8"/>
      <c r="KH20" s="8"/>
      <c r="KI20" s="7"/>
      <c r="KJ20" s="7"/>
      <c r="KK20" s="8"/>
      <c r="KL20" s="8"/>
      <c r="KM20" s="8"/>
      <c r="KN20" s="8"/>
      <c r="KO20" s="8"/>
      <c r="KP20" s="7"/>
      <c r="KQ20" s="7"/>
      <c r="KR20" s="8"/>
      <c r="KS20" s="8"/>
      <c r="KT20" s="8"/>
      <c r="KU20" s="8"/>
      <c r="KV20" s="26"/>
      <c r="KW20" s="7"/>
      <c r="KX20" s="7"/>
      <c r="KY20" s="8"/>
      <c r="KZ20" s="8"/>
      <c r="LA20" s="8"/>
      <c r="LB20" s="8"/>
      <c r="LC20" s="8"/>
      <c r="LD20" s="7"/>
      <c r="LE20" s="7"/>
      <c r="LF20" s="8"/>
      <c r="LG20" s="8"/>
      <c r="LH20" s="8"/>
      <c r="LI20" s="8"/>
      <c r="LJ20" s="8"/>
      <c r="LK20" s="7"/>
      <c r="LL20" s="7"/>
      <c r="LM20" s="8"/>
      <c r="LN20" s="8"/>
      <c r="LO20" s="8"/>
      <c r="LP20" s="8"/>
      <c r="LQ20" s="8"/>
      <c r="LR20" s="7"/>
      <c r="LS20" s="7"/>
      <c r="LT20" s="8"/>
      <c r="LU20" s="8"/>
      <c r="LV20" s="8"/>
      <c r="LW20" s="8"/>
      <c r="LX20" s="8"/>
      <c r="LY20" s="7"/>
      <c r="LZ20" s="7"/>
      <c r="MA20" s="8"/>
      <c r="MB20" s="8"/>
      <c r="MC20" s="8"/>
      <c r="MD20" s="8"/>
      <c r="ME20" s="8"/>
      <c r="MF20" s="7"/>
      <c r="MG20" s="7"/>
      <c r="MH20" s="8"/>
      <c r="MI20" s="8"/>
      <c r="MJ20" s="8"/>
      <c r="MK20" s="8"/>
      <c r="ML20" s="8"/>
      <c r="MM20" s="7"/>
      <c r="MN20" s="7"/>
      <c r="MO20" s="8"/>
      <c r="MP20" s="8"/>
      <c r="MQ20" s="8"/>
      <c r="MR20" s="8"/>
      <c r="MS20" s="8"/>
      <c r="MT20" s="7"/>
      <c r="MU20" s="7"/>
      <c r="MV20" s="8"/>
      <c r="MW20" s="8"/>
      <c r="MX20" s="8"/>
      <c r="MY20" s="8"/>
      <c r="MZ20" s="26"/>
      <c r="NA20" s="7"/>
      <c r="NB20" s="7"/>
      <c r="NC20" s="8"/>
      <c r="ND20" s="8"/>
      <c r="NE20" s="8"/>
      <c r="NF20" s="8"/>
      <c r="NG20" s="8"/>
      <c r="NH20" s="7"/>
      <c r="NI20" s="7"/>
      <c r="NJ20" s="8"/>
      <c r="NK20" s="8"/>
      <c r="NL20" s="8"/>
    </row>
    <row r="21" spans="1:376" customFormat="1">
      <c r="A21" s="1"/>
      <c r="B21" s="29" t="s">
        <v>47</v>
      </c>
      <c r="C21" s="29" t="s">
        <v>48</v>
      </c>
      <c r="D21" s="29" t="s">
        <v>49</v>
      </c>
      <c r="E21" s="29">
        <v>0</v>
      </c>
      <c r="F21" s="29">
        <v>10</v>
      </c>
      <c r="G21" s="29">
        <v>0</v>
      </c>
      <c r="H21" s="29">
        <f t="shared" si="0"/>
        <v>10</v>
      </c>
      <c r="I21" s="30">
        <f t="shared" si="1"/>
        <v>0</v>
      </c>
      <c r="J21" s="30">
        <f t="shared" si="2"/>
        <v>0</v>
      </c>
      <c r="K21" s="30">
        <f t="shared" si="3"/>
        <v>0</v>
      </c>
      <c r="L21" s="28"/>
      <c r="M21" s="8"/>
      <c r="N21" s="8"/>
      <c r="O21" s="7"/>
      <c r="P21" s="7"/>
      <c r="Q21" s="8"/>
      <c r="R21" s="8"/>
      <c r="S21" s="8"/>
      <c r="T21" s="8"/>
      <c r="U21" s="7"/>
      <c r="V21" s="7"/>
      <c r="W21" s="7"/>
      <c r="X21" s="7"/>
      <c r="Y21" s="8"/>
      <c r="Z21" s="8"/>
      <c r="AA21" s="8"/>
      <c r="AB21" s="8"/>
      <c r="AC21" s="7"/>
      <c r="AD21" s="7"/>
      <c r="AE21" s="7"/>
      <c r="AF21" s="8"/>
      <c r="AG21" s="8"/>
      <c r="AH21" s="8"/>
      <c r="AI21" s="8"/>
      <c r="AJ21" s="7"/>
      <c r="AK21" s="7"/>
      <c r="AL21" s="8"/>
      <c r="AM21" s="8"/>
      <c r="AN21" s="8"/>
      <c r="AO21" s="8"/>
      <c r="AP21" s="7"/>
      <c r="AQ21" s="7"/>
      <c r="AR21" s="7"/>
      <c r="AS21" s="8"/>
      <c r="AT21" s="8"/>
      <c r="AU21" s="8"/>
      <c r="AV21" s="8"/>
      <c r="AW21" s="8"/>
      <c r="AX21" s="7"/>
      <c r="AY21" s="7"/>
      <c r="AZ21" s="8"/>
      <c r="BA21" s="8"/>
      <c r="BB21" s="8"/>
      <c r="BC21" s="8"/>
      <c r="BD21" s="8"/>
      <c r="BE21" s="7"/>
      <c r="BF21" s="7"/>
      <c r="BG21" s="8"/>
      <c r="BH21" s="8"/>
      <c r="BI21" s="8"/>
      <c r="BJ21" s="8"/>
      <c r="BK21" s="8"/>
      <c r="BL21" s="7"/>
      <c r="BM21" s="7"/>
      <c r="BN21" s="8"/>
      <c r="BO21" s="8"/>
      <c r="BP21" s="8"/>
      <c r="BQ21" s="8"/>
      <c r="BR21" s="8"/>
      <c r="BS21" s="7"/>
      <c r="BT21" s="7"/>
      <c r="BU21" s="8"/>
      <c r="BV21" s="8"/>
      <c r="BW21" s="8"/>
      <c r="BX21" s="8"/>
      <c r="BY21" s="8"/>
      <c r="BZ21" s="7"/>
      <c r="CA21" s="7"/>
      <c r="CB21" s="8"/>
      <c r="CC21" s="8"/>
      <c r="CD21" s="8"/>
      <c r="CE21" s="8"/>
      <c r="CF21" s="8"/>
      <c r="CG21" s="7"/>
      <c r="CH21" s="7"/>
      <c r="CI21" s="8"/>
      <c r="CJ21" s="8"/>
      <c r="CK21" s="8"/>
      <c r="CL21" s="8"/>
      <c r="CM21" s="8"/>
      <c r="CN21" s="7"/>
      <c r="CO21" s="7"/>
      <c r="CP21" s="8"/>
      <c r="CQ21" s="8"/>
      <c r="CR21" s="7"/>
      <c r="CS21" s="8"/>
      <c r="CT21" s="8"/>
      <c r="CU21" s="7"/>
      <c r="CV21" s="7"/>
      <c r="CW21" s="8"/>
      <c r="CX21" s="8"/>
      <c r="CY21" s="8"/>
      <c r="CZ21" s="8"/>
      <c r="DA21" s="8"/>
      <c r="DB21" s="7"/>
      <c r="DC21" s="7"/>
      <c r="DD21" s="8"/>
      <c r="DE21" s="8"/>
      <c r="DF21" s="8"/>
      <c r="DG21" s="8"/>
      <c r="DH21" s="8"/>
      <c r="DI21" s="7"/>
      <c r="DJ21" s="7"/>
      <c r="DK21" s="8"/>
      <c r="DL21" s="8"/>
      <c r="DM21" s="8"/>
      <c r="DN21" s="8"/>
      <c r="DO21" s="8"/>
      <c r="DP21" s="7"/>
      <c r="DQ21" s="7"/>
      <c r="DR21" s="8"/>
      <c r="DS21" s="8"/>
      <c r="DT21" s="8"/>
      <c r="DU21" s="8"/>
      <c r="DV21" s="8"/>
      <c r="DW21" s="7"/>
      <c r="DX21" s="7"/>
      <c r="DY21" s="8"/>
      <c r="DZ21" s="8"/>
      <c r="EA21" s="8"/>
      <c r="EB21" s="8"/>
      <c r="EC21" s="8"/>
      <c r="ED21" s="7"/>
      <c r="EE21" s="7"/>
      <c r="EF21" s="8"/>
      <c r="EG21" s="8"/>
      <c r="EH21" s="8"/>
      <c r="EI21" s="8"/>
      <c r="EJ21" s="8"/>
      <c r="EK21" s="7"/>
      <c r="EL21" s="7"/>
      <c r="EM21" s="8"/>
      <c r="EN21" s="8"/>
      <c r="EO21" s="8"/>
      <c r="EP21" s="8"/>
      <c r="EQ21" s="8"/>
      <c r="ER21" s="7"/>
      <c r="ES21" s="7"/>
      <c r="ET21" s="8"/>
      <c r="EU21" s="8"/>
      <c r="EV21" s="8"/>
      <c r="EW21" s="8"/>
      <c r="EX21" s="8"/>
      <c r="EY21" s="7"/>
      <c r="EZ21" s="7"/>
      <c r="FA21" s="8"/>
      <c r="FB21" s="8"/>
      <c r="FC21" s="8"/>
      <c r="FD21" s="8"/>
      <c r="FE21" s="8"/>
      <c r="FF21" s="7"/>
      <c r="FG21" s="7"/>
      <c r="FH21" s="8"/>
      <c r="FI21" s="8"/>
      <c r="FJ21" s="8"/>
      <c r="FK21" s="8"/>
      <c r="FL21" s="8"/>
      <c r="FM21" s="7"/>
      <c r="FN21" s="7"/>
      <c r="FO21" s="8"/>
      <c r="FP21" s="8"/>
      <c r="FQ21" s="8"/>
      <c r="FR21" s="8"/>
      <c r="FS21" s="8"/>
      <c r="FT21" s="7"/>
      <c r="FU21" s="7"/>
      <c r="FV21" s="8"/>
      <c r="FW21" s="8"/>
      <c r="FX21" s="8"/>
      <c r="FY21" s="8"/>
      <c r="FZ21" s="8"/>
      <c r="GA21" s="7"/>
      <c r="GB21" s="7"/>
      <c r="GC21" s="8"/>
      <c r="GD21" s="8"/>
      <c r="GE21" s="8"/>
      <c r="GF21" s="8"/>
      <c r="GG21" s="8"/>
      <c r="GH21" s="7"/>
      <c r="GI21" s="7"/>
      <c r="GJ21" s="8"/>
      <c r="GK21" s="8"/>
      <c r="GL21" s="8"/>
      <c r="GM21" s="8"/>
      <c r="GN21" s="8"/>
      <c r="GO21" s="7"/>
      <c r="GP21" s="7"/>
      <c r="GQ21" s="8"/>
      <c r="GR21" s="8"/>
      <c r="GS21" s="8"/>
      <c r="GT21" s="8"/>
      <c r="GU21" s="7"/>
      <c r="GV21" s="7"/>
      <c r="GW21" s="7"/>
      <c r="GX21" s="7"/>
      <c r="GY21" s="8"/>
      <c r="GZ21" s="8"/>
      <c r="HA21" s="8"/>
      <c r="HB21" s="8"/>
      <c r="HC21" s="7"/>
      <c r="HD21" s="7"/>
      <c r="HE21" s="8"/>
      <c r="HF21" s="8"/>
      <c r="HG21" s="8"/>
      <c r="HH21" s="8"/>
      <c r="HI21" s="8"/>
      <c r="HJ21" s="7"/>
      <c r="HK21" s="7"/>
      <c r="HL21" s="8"/>
      <c r="HM21" s="8"/>
      <c r="HN21" s="8"/>
      <c r="HO21" s="8"/>
      <c r="HP21" s="8"/>
      <c r="HQ21" s="7"/>
      <c r="HR21" s="7"/>
      <c r="HS21" s="8"/>
      <c r="HT21" s="8"/>
      <c r="HU21" s="8"/>
      <c r="HV21" s="8"/>
      <c r="HW21" s="8"/>
      <c r="HX21" s="7"/>
      <c r="HY21" s="7"/>
      <c r="HZ21" s="8"/>
      <c r="IA21" s="8"/>
      <c r="IB21" s="8"/>
      <c r="IC21" s="8"/>
      <c r="ID21" s="8"/>
      <c r="IE21" s="7"/>
      <c r="IF21" s="7"/>
      <c r="IG21" s="8"/>
      <c r="IH21" s="8"/>
      <c r="II21" s="8"/>
      <c r="IJ21" s="8"/>
      <c r="IK21" s="8"/>
      <c r="IL21" s="7"/>
      <c r="IM21" s="7"/>
      <c r="IN21" s="8"/>
      <c r="IO21" s="8"/>
      <c r="IP21" s="8"/>
      <c r="IQ21" s="8"/>
      <c r="IR21" s="8"/>
      <c r="IS21" s="7"/>
      <c r="IT21" s="7"/>
      <c r="IU21" s="8"/>
      <c r="IV21" s="8"/>
      <c r="IW21" s="8"/>
      <c r="IX21" s="8"/>
      <c r="IY21" s="8"/>
      <c r="IZ21" s="7"/>
      <c r="JA21" s="7"/>
      <c r="JB21" s="8"/>
      <c r="JC21" s="25"/>
      <c r="JD21" s="8"/>
      <c r="JE21" s="8"/>
      <c r="JF21" s="8"/>
      <c r="JG21" s="7"/>
      <c r="JH21" s="7"/>
      <c r="JI21" s="8"/>
      <c r="JJ21" s="8"/>
      <c r="JK21" s="8"/>
      <c r="JL21" s="8"/>
      <c r="JM21" s="8"/>
      <c r="JN21" s="7"/>
      <c r="JO21" s="7"/>
      <c r="JP21" s="8"/>
      <c r="JQ21" s="8"/>
      <c r="JR21" s="8"/>
      <c r="JS21" s="26"/>
      <c r="JT21" s="25"/>
      <c r="JU21" s="7"/>
      <c r="JV21" s="7"/>
      <c r="JW21" s="8"/>
      <c r="JX21" s="8"/>
      <c r="JY21" s="8"/>
      <c r="JZ21" s="26"/>
      <c r="KA21" s="25"/>
      <c r="KB21" s="7"/>
      <c r="KC21" s="7"/>
      <c r="KD21" s="8"/>
      <c r="KE21" s="8"/>
      <c r="KF21" s="26"/>
      <c r="KG21" s="8"/>
      <c r="KH21" s="8"/>
      <c r="KI21" s="7"/>
      <c r="KJ21" s="7"/>
      <c r="KK21" s="8"/>
      <c r="KL21" s="8"/>
      <c r="KM21" s="8"/>
      <c r="KN21" s="8"/>
      <c r="KO21" s="8"/>
      <c r="KP21" s="7"/>
      <c r="KQ21" s="7"/>
      <c r="KR21" s="8"/>
      <c r="KS21" s="8"/>
      <c r="KT21" s="8"/>
      <c r="KU21" s="8"/>
      <c r="KV21" s="8"/>
      <c r="KW21" s="7"/>
      <c r="KX21" s="7"/>
      <c r="KY21" s="8"/>
      <c r="KZ21" s="8"/>
      <c r="LA21" s="8"/>
      <c r="LB21" s="8"/>
      <c r="LC21" s="36"/>
      <c r="LD21" s="7"/>
      <c r="LE21" s="7"/>
      <c r="LF21" s="8"/>
      <c r="LG21" s="8"/>
      <c r="LH21" s="8"/>
      <c r="LI21" s="8"/>
      <c r="LJ21" s="8"/>
      <c r="LK21" s="7"/>
      <c r="LL21" s="7"/>
      <c r="LM21" s="8"/>
      <c r="LN21" s="8"/>
      <c r="LO21" s="8"/>
      <c r="LP21" s="8"/>
      <c r="LQ21" s="8"/>
      <c r="LR21" s="7"/>
      <c r="LS21" s="7"/>
      <c r="LT21" s="8"/>
      <c r="LU21" s="8"/>
      <c r="LV21" s="8"/>
      <c r="LW21" s="8"/>
      <c r="LX21" s="8"/>
      <c r="LY21" s="7"/>
      <c r="LZ21" s="7"/>
      <c r="MA21" s="8"/>
      <c r="MB21" s="8"/>
      <c r="MC21" s="8"/>
      <c r="MD21" s="8"/>
      <c r="ME21" s="8"/>
      <c r="MF21" s="7"/>
      <c r="MG21" s="7"/>
      <c r="MH21" s="8"/>
      <c r="MI21" s="8"/>
      <c r="MJ21" s="8"/>
      <c r="MK21" s="8"/>
      <c r="ML21" s="8"/>
      <c r="MM21" s="7"/>
      <c r="MN21" s="7"/>
      <c r="MO21" s="8"/>
      <c r="MP21" s="8"/>
      <c r="MQ21" s="8"/>
      <c r="MR21" s="8"/>
      <c r="MS21" s="8"/>
      <c r="MT21" s="7"/>
      <c r="MU21" s="7"/>
      <c r="MV21" s="8"/>
      <c r="MW21" s="8"/>
      <c r="MX21" s="8"/>
      <c r="MY21" s="8"/>
      <c r="MZ21" s="8"/>
      <c r="NA21" s="7"/>
      <c r="NB21" s="7"/>
      <c r="NC21" s="8"/>
      <c r="ND21" s="8"/>
      <c r="NE21" s="8"/>
      <c r="NF21" s="8"/>
      <c r="NG21" s="8"/>
      <c r="NH21" s="7"/>
      <c r="NI21" s="7"/>
      <c r="NJ21" s="8"/>
      <c r="NK21" s="8"/>
      <c r="NL21" s="8"/>
    </row>
    <row r="22" spans="1:376" customFormat="1">
      <c r="A22" s="1"/>
      <c r="B22" s="29" t="s">
        <v>50</v>
      </c>
      <c r="C22" s="29" t="s">
        <v>36</v>
      </c>
      <c r="D22" s="29" t="s">
        <v>49</v>
      </c>
      <c r="E22" s="29">
        <v>0</v>
      </c>
      <c r="F22" s="29">
        <v>9</v>
      </c>
      <c r="G22" s="29">
        <v>0</v>
      </c>
      <c r="H22" s="29">
        <f t="shared" si="0"/>
        <v>9</v>
      </c>
      <c r="I22" s="30">
        <f t="shared" si="1"/>
        <v>0</v>
      </c>
      <c r="J22" s="30">
        <f t="shared" si="2"/>
        <v>0</v>
      </c>
      <c r="K22" s="30">
        <f t="shared" si="3"/>
        <v>0</v>
      </c>
      <c r="L22" s="28"/>
      <c r="M22" s="8"/>
      <c r="N22" s="8"/>
      <c r="O22" s="7"/>
      <c r="P22" s="7"/>
      <c r="Q22" s="8"/>
      <c r="R22" s="8"/>
      <c r="S22" s="8"/>
      <c r="T22" s="8"/>
      <c r="U22" s="7"/>
      <c r="V22" s="7"/>
      <c r="W22" s="7"/>
      <c r="X22" s="7"/>
      <c r="Y22" s="8"/>
      <c r="Z22" s="8"/>
      <c r="AA22" s="8"/>
      <c r="AB22" s="8"/>
      <c r="AC22" s="7"/>
      <c r="AD22" s="7"/>
      <c r="AE22" s="7"/>
      <c r="AF22" s="8"/>
      <c r="AG22" s="8"/>
      <c r="AH22" s="8"/>
      <c r="AI22" s="8"/>
      <c r="AJ22" s="7"/>
      <c r="AK22" s="7"/>
      <c r="AL22" s="8"/>
      <c r="AM22" s="8"/>
      <c r="AN22" s="8"/>
      <c r="AO22" s="8"/>
      <c r="AP22" s="7"/>
      <c r="AQ22" s="7"/>
      <c r="AR22" s="7"/>
      <c r="AS22" s="8"/>
      <c r="AT22" s="8"/>
      <c r="AU22" s="8"/>
      <c r="AV22" s="8"/>
      <c r="AW22" s="8"/>
      <c r="AX22" s="7"/>
      <c r="AY22" s="7"/>
      <c r="AZ22" s="8"/>
      <c r="BA22" s="8"/>
      <c r="BB22" s="8"/>
      <c r="BC22" s="8"/>
      <c r="BD22" s="8"/>
      <c r="BE22" s="7"/>
      <c r="BF22" s="7"/>
      <c r="BG22" s="8"/>
      <c r="BH22" s="8"/>
      <c r="BI22" s="8"/>
      <c r="BJ22" s="8"/>
      <c r="BK22" s="8"/>
      <c r="BL22" s="7"/>
      <c r="BM22" s="7"/>
      <c r="BN22" s="8"/>
      <c r="BO22" s="8"/>
      <c r="BP22" s="8"/>
      <c r="BQ22" s="8"/>
      <c r="BR22" s="8"/>
      <c r="BS22" s="7"/>
      <c r="BT22" s="7"/>
      <c r="BU22" s="8"/>
      <c r="BV22" s="8"/>
      <c r="BW22" s="8"/>
      <c r="BX22" s="8"/>
      <c r="BY22" s="8"/>
      <c r="BZ22" s="7"/>
      <c r="CA22" s="7"/>
      <c r="CB22" s="8"/>
      <c r="CC22" s="8"/>
      <c r="CD22" s="8"/>
      <c r="CE22" s="8"/>
      <c r="CF22" s="8"/>
      <c r="CG22" s="7"/>
      <c r="CH22" s="7"/>
      <c r="CI22" s="8"/>
      <c r="CJ22" s="8"/>
      <c r="CK22" s="8"/>
      <c r="CL22" s="8"/>
      <c r="CM22" s="8"/>
      <c r="CN22" s="7"/>
      <c r="CO22" s="7"/>
      <c r="CP22" s="8"/>
      <c r="CQ22" s="8"/>
      <c r="CR22" s="7"/>
      <c r="CS22" s="8"/>
      <c r="CT22" s="8"/>
      <c r="CU22" s="7"/>
      <c r="CV22" s="7"/>
      <c r="CW22" s="8"/>
      <c r="CX22" s="8"/>
      <c r="CY22" s="8"/>
      <c r="CZ22" s="8"/>
      <c r="DA22" s="8"/>
      <c r="DB22" s="7"/>
      <c r="DC22" s="7"/>
      <c r="DD22" s="8"/>
      <c r="DE22" s="8"/>
      <c r="DF22" s="8"/>
      <c r="DG22" s="8"/>
      <c r="DH22" s="8"/>
      <c r="DI22" s="7"/>
      <c r="DJ22" s="7"/>
      <c r="DK22" s="8"/>
      <c r="DL22" s="8"/>
      <c r="DM22" s="8"/>
      <c r="DN22" s="8"/>
      <c r="DO22" s="8"/>
      <c r="DP22" s="7"/>
      <c r="DQ22" s="7"/>
      <c r="DR22" s="8"/>
      <c r="DS22" s="8"/>
      <c r="DT22" s="8"/>
      <c r="DU22" s="8"/>
      <c r="DV22" s="8"/>
      <c r="DW22" s="7"/>
      <c r="DX22" s="7"/>
      <c r="DY22" s="8"/>
      <c r="DZ22" s="8"/>
      <c r="EA22" s="8"/>
      <c r="EB22" s="8"/>
      <c r="EC22" s="8"/>
      <c r="ED22" s="7"/>
      <c r="EE22" s="7"/>
      <c r="EF22" s="8"/>
      <c r="EG22" s="8"/>
      <c r="EH22" s="8"/>
      <c r="EI22" s="8"/>
      <c r="EJ22" s="8"/>
      <c r="EK22" s="7"/>
      <c r="EL22" s="7"/>
      <c r="EM22" s="8"/>
      <c r="EN22" s="8"/>
      <c r="EO22" s="8"/>
      <c r="EP22" s="8"/>
      <c r="EQ22" s="8"/>
      <c r="ER22" s="7"/>
      <c r="ES22" s="7"/>
      <c r="ET22" s="8"/>
      <c r="EU22" s="8"/>
      <c r="EV22" s="8"/>
      <c r="EW22" s="8"/>
      <c r="EX22" s="8"/>
      <c r="EY22" s="7"/>
      <c r="EZ22" s="7"/>
      <c r="FA22" s="8"/>
      <c r="FB22" s="8"/>
      <c r="FC22" s="8"/>
      <c r="FD22" s="8"/>
      <c r="FE22" s="8"/>
      <c r="FF22" s="7"/>
      <c r="FG22" s="7"/>
      <c r="FH22" s="8"/>
      <c r="FI22" s="8"/>
      <c r="FJ22" s="8"/>
      <c r="FK22" s="8"/>
      <c r="FL22" s="8"/>
      <c r="FM22" s="7"/>
      <c r="FN22" s="7"/>
      <c r="FO22" s="8"/>
      <c r="FP22" s="8"/>
      <c r="FQ22" s="8"/>
      <c r="FR22" s="8"/>
      <c r="FS22" s="8"/>
      <c r="FT22" s="7"/>
      <c r="FU22" s="7"/>
      <c r="FV22" s="8"/>
      <c r="FW22" s="8"/>
      <c r="FX22" s="8"/>
      <c r="FY22" s="8"/>
      <c r="FZ22" s="8"/>
      <c r="GA22" s="7"/>
      <c r="GB22" s="7"/>
      <c r="GC22" s="8"/>
      <c r="GD22" s="8"/>
      <c r="GE22" s="8"/>
      <c r="GF22" s="8"/>
      <c r="GG22" s="8"/>
      <c r="GH22" s="7"/>
      <c r="GI22" s="7"/>
      <c r="GJ22" s="8"/>
      <c r="GK22" s="8"/>
      <c r="GL22" s="8"/>
      <c r="GM22" s="8"/>
      <c r="GN22" s="8"/>
      <c r="GO22" s="7"/>
      <c r="GP22" s="7"/>
      <c r="GQ22" s="8"/>
      <c r="GR22" s="8"/>
      <c r="GS22" s="8"/>
      <c r="GT22" s="8"/>
      <c r="GU22" s="7"/>
      <c r="GV22" s="7"/>
      <c r="GW22" s="7"/>
      <c r="GX22" s="7"/>
      <c r="GY22" s="8"/>
      <c r="GZ22" s="8"/>
      <c r="HA22" s="8"/>
      <c r="HB22" s="8"/>
      <c r="HC22" s="7"/>
      <c r="HD22" s="7"/>
      <c r="HE22" s="8"/>
      <c r="HF22" s="8"/>
      <c r="HG22" s="8"/>
      <c r="HH22" s="8"/>
      <c r="HI22" s="8"/>
      <c r="HJ22" s="7"/>
      <c r="HK22" s="7"/>
      <c r="HL22" s="8"/>
      <c r="HM22" s="8"/>
      <c r="HN22" s="8"/>
      <c r="HO22" s="8"/>
      <c r="HP22" s="8"/>
      <c r="HQ22" s="7"/>
      <c r="HR22" s="7"/>
      <c r="HS22" s="8"/>
      <c r="HT22" s="8"/>
      <c r="HU22" s="8"/>
      <c r="HV22" s="8"/>
      <c r="HW22" s="8"/>
      <c r="HX22" s="7"/>
      <c r="HY22" s="7"/>
      <c r="HZ22" s="8"/>
      <c r="IA22" s="8"/>
      <c r="IB22" s="8"/>
      <c r="IC22" s="8"/>
      <c r="ID22" s="8"/>
      <c r="IE22" s="7"/>
      <c r="IF22" s="7"/>
      <c r="IG22" s="8"/>
      <c r="IH22" s="8"/>
      <c r="II22" s="8"/>
      <c r="IJ22" s="8"/>
      <c r="IK22" s="8"/>
      <c r="IL22" s="7"/>
      <c r="IM22" s="7"/>
      <c r="IN22" s="8"/>
      <c r="IO22" s="8"/>
      <c r="IP22" s="8"/>
      <c r="IQ22" s="8"/>
      <c r="IR22" s="8"/>
      <c r="IS22" s="7"/>
      <c r="IT22" s="7"/>
      <c r="IU22" s="8"/>
      <c r="IV22" s="8"/>
      <c r="IW22" s="8"/>
      <c r="IX22" s="8"/>
      <c r="IY22" s="8"/>
      <c r="IZ22" s="7"/>
      <c r="JA22" s="7"/>
      <c r="JB22" s="8"/>
      <c r="JC22" s="25"/>
      <c r="JD22" s="8"/>
      <c r="JE22" s="8"/>
      <c r="JF22" s="8"/>
      <c r="JG22" s="7"/>
      <c r="JH22" s="7"/>
      <c r="JI22" s="8"/>
      <c r="JJ22" s="8"/>
      <c r="JK22" s="8"/>
      <c r="JL22" s="8"/>
      <c r="JM22" s="8"/>
      <c r="JN22" s="7"/>
      <c r="JO22" s="7"/>
      <c r="JP22" s="8"/>
      <c r="JQ22" s="8"/>
      <c r="JR22" s="8"/>
      <c r="JS22" s="26"/>
      <c r="JT22" s="25"/>
      <c r="JU22" s="7"/>
      <c r="JV22" s="7"/>
      <c r="JW22" s="8"/>
      <c r="JX22" s="8"/>
      <c r="JY22" s="8"/>
      <c r="JZ22" s="26"/>
      <c r="KA22" s="25"/>
      <c r="KB22" s="7"/>
      <c r="KC22" s="7"/>
      <c r="KD22" s="8"/>
      <c r="KE22" s="8"/>
      <c r="KF22" s="26"/>
      <c r="KG22" s="8"/>
      <c r="KH22" s="8"/>
      <c r="KI22" s="7"/>
      <c r="KJ22" s="7"/>
      <c r="KK22" s="8"/>
      <c r="KL22" s="8"/>
      <c r="KM22" s="8"/>
      <c r="KN22" s="8"/>
      <c r="KO22" s="8"/>
      <c r="KP22" s="7"/>
      <c r="KQ22" s="7"/>
      <c r="KR22" s="8"/>
      <c r="KS22" s="8"/>
      <c r="KT22" s="8"/>
      <c r="KU22" s="8"/>
      <c r="KV22" s="26"/>
      <c r="KW22" s="7"/>
      <c r="KX22" s="7"/>
      <c r="KY22" s="8"/>
      <c r="KZ22" s="8"/>
      <c r="LA22" s="8"/>
      <c r="LB22" s="8"/>
      <c r="LC22" s="8"/>
      <c r="LD22" s="7"/>
      <c r="LE22" s="7"/>
      <c r="LF22" s="8"/>
      <c r="LG22" s="8"/>
      <c r="LH22" s="8"/>
      <c r="LI22" s="8"/>
      <c r="LJ22" s="8"/>
      <c r="LK22" s="7"/>
      <c r="LL22" s="7"/>
      <c r="LM22" s="8"/>
      <c r="LN22" s="8"/>
      <c r="LO22" s="8"/>
      <c r="LP22" s="8"/>
      <c r="LQ22" s="8"/>
      <c r="LR22" s="7"/>
      <c r="LS22" s="7"/>
      <c r="LT22" s="8"/>
      <c r="LU22" s="8"/>
      <c r="LV22" s="8"/>
      <c r="LW22" s="8"/>
      <c r="LX22" s="8"/>
      <c r="LY22" s="7"/>
      <c r="LZ22" s="7"/>
      <c r="MA22" s="8"/>
      <c r="MB22" s="8"/>
      <c r="MC22" s="8"/>
      <c r="MD22" s="8"/>
      <c r="ME22" s="8"/>
      <c r="MF22" s="7"/>
      <c r="MG22" s="7"/>
      <c r="MH22" s="8"/>
      <c r="MI22" s="8"/>
      <c r="MJ22" s="8"/>
      <c r="MK22" s="8"/>
      <c r="ML22" s="8"/>
      <c r="MM22" s="7"/>
      <c r="MN22" s="7"/>
      <c r="MO22" s="8"/>
      <c r="MP22" s="8"/>
      <c r="MQ22" s="8"/>
      <c r="MR22" s="8"/>
      <c r="MS22" s="8"/>
      <c r="MT22" s="7"/>
      <c r="MU22" s="7"/>
      <c r="MV22" s="8"/>
      <c r="MW22" s="8"/>
      <c r="MX22" s="8"/>
      <c r="MY22" s="8"/>
      <c r="MZ22" s="26"/>
      <c r="NA22" s="7"/>
      <c r="NB22" s="7"/>
      <c r="NC22" s="8"/>
      <c r="ND22" s="8"/>
      <c r="NE22" s="8"/>
      <c r="NF22" s="8"/>
      <c r="NG22" s="8"/>
      <c r="NH22" s="7"/>
      <c r="NI22" s="7"/>
      <c r="NJ22" s="8"/>
      <c r="NK22" s="8"/>
      <c r="NL22" s="8"/>
    </row>
    <row r="23" spans="1:376" customFormat="1">
      <c r="A23" s="1"/>
      <c r="B23" s="29" t="s">
        <v>51</v>
      </c>
      <c r="C23" s="29" t="s">
        <v>36</v>
      </c>
      <c r="D23" s="29" t="s">
        <v>31</v>
      </c>
      <c r="E23" s="29">
        <v>0</v>
      </c>
      <c r="F23" s="29">
        <v>10</v>
      </c>
      <c r="G23" s="29">
        <v>0</v>
      </c>
      <c r="H23" s="29">
        <f t="shared" si="0"/>
        <v>10</v>
      </c>
      <c r="I23" s="30">
        <f t="shared" si="1"/>
        <v>0</v>
      </c>
      <c r="J23" s="30">
        <f t="shared" si="2"/>
        <v>0</v>
      </c>
      <c r="K23" s="30">
        <f t="shared" si="3"/>
        <v>0</v>
      </c>
      <c r="L23" s="28"/>
      <c r="M23" s="8"/>
      <c r="N23" s="8"/>
      <c r="O23" s="7"/>
      <c r="P23" s="7"/>
      <c r="Q23" s="8"/>
      <c r="R23" s="8"/>
      <c r="S23" s="8"/>
      <c r="T23" s="8"/>
      <c r="U23" s="7"/>
      <c r="V23" s="7"/>
      <c r="W23" s="7"/>
      <c r="X23" s="7"/>
      <c r="Y23" s="8"/>
      <c r="Z23" s="8"/>
      <c r="AA23" s="8"/>
      <c r="AB23" s="8"/>
      <c r="AC23" s="7"/>
      <c r="AD23" s="7"/>
      <c r="AE23" s="7"/>
      <c r="AF23" s="8"/>
      <c r="AG23" s="8"/>
      <c r="AH23" s="8"/>
      <c r="AI23" s="8"/>
      <c r="AJ23" s="7"/>
      <c r="AK23" s="7"/>
      <c r="AL23" s="8"/>
      <c r="AM23" s="8"/>
      <c r="AN23" s="8"/>
      <c r="AO23" s="8"/>
      <c r="AP23" s="7"/>
      <c r="AQ23" s="7"/>
      <c r="AR23" s="7"/>
      <c r="AS23" s="8"/>
      <c r="AT23" s="8"/>
      <c r="AU23" s="8"/>
      <c r="AV23" s="8"/>
      <c r="AW23" s="8"/>
      <c r="AX23" s="7"/>
      <c r="AY23" s="7"/>
      <c r="AZ23" s="8"/>
      <c r="BA23" s="8"/>
      <c r="BB23" s="8"/>
      <c r="BC23" s="8"/>
      <c r="BD23" s="8"/>
      <c r="BE23" s="7"/>
      <c r="BF23" s="7"/>
      <c r="BG23" s="8"/>
      <c r="BH23" s="8"/>
      <c r="BI23" s="8"/>
      <c r="BJ23" s="8"/>
      <c r="BK23" s="8"/>
      <c r="BL23" s="7"/>
      <c r="BM23" s="7"/>
      <c r="BN23" s="8"/>
      <c r="BO23" s="8"/>
      <c r="BP23" s="8"/>
      <c r="BQ23" s="8"/>
      <c r="BR23" s="8"/>
      <c r="BS23" s="7"/>
      <c r="BT23" s="7"/>
      <c r="BU23" s="8"/>
      <c r="BV23" s="8"/>
      <c r="BW23" s="8"/>
      <c r="BX23" s="8"/>
      <c r="BY23" s="8"/>
      <c r="BZ23" s="7"/>
      <c r="CA23" s="7"/>
      <c r="CB23" s="8"/>
      <c r="CC23" s="8"/>
      <c r="CD23" s="8"/>
      <c r="CE23" s="8"/>
      <c r="CF23" s="8"/>
      <c r="CG23" s="7"/>
      <c r="CH23" s="7"/>
      <c r="CI23" s="8"/>
      <c r="CJ23" s="8"/>
      <c r="CK23" s="8"/>
      <c r="CL23" s="8"/>
      <c r="CM23" s="8"/>
      <c r="CN23" s="7"/>
      <c r="CO23" s="7"/>
      <c r="CP23" s="8"/>
      <c r="CQ23" s="8"/>
      <c r="CR23" s="7"/>
      <c r="CS23" s="8"/>
      <c r="CT23" s="8"/>
      <c r="CU23" s="7"/>
      <c r="CV23" s="7"/>
      <c r="CW23" s="8"/>
      <c r="CX23" s="8"/>
      <c r="CY23" s="8"/>
      <c r="CZ23" s="8"/>
      <c r="DA23" s="8"/>
      <c r="DB23" s="7"/>
      <c r="DC23" s="7"/>
      <c r="DD23" s="8"/>
      <c r="DE23" s="8"/>
      <c r="DF23" s="8"/>
      <c r="DG23" s="8"/>
      <c r="DH23" s="8"/>
      <c r="DI23" s="7"/>
      <c r="DJ23" s="7"/>
      <c r="DK23" s="8"/>
      <c r="DL23" s="8"/>
      <c r="DM23" s="8"/>
      <c r="DN23" s="8"/>
      <c r="DO23" s="8"/>
      <c r="DP23" s="7"/>
      <c r="DQ23" s="7"/>
      <c r="DR23" s="8"/>
      <c r="DS23" s="8"/>
      <c r="DT23" s="8"/>
      <c r="DU23" s="8"/>
      <c r="DV23" s="8"/>
      <c r="DW23" s="7"/>
      <c r="DX23" s="7"/>
      <c r="DY23" s="8"/>
      <c r="DZ23" s="8"/>
      <c r="EA23" s="8"/>
      <c r="EB23" s="8"/>
      <c r="EC23" s="8"/>
      <c r="ED23" s="7"/>
      <c r="EE23" s="7"/>
      <c r="EF23" s="8"/>
      <c r="EG23" s="8"/>
      <c r="EH23" s="8"/>
      <c r="EI23" s="8"/>
      <c r="EJ23" s="8"/>
      <c r="EK23" s="7"/>
      <c r="EL23" s="7"/>
      <c r="EM23" s="8"/>
      <c r="EN23" s="8"/>
      <c r="EO23" s="8"/>
      <c r="EP23" s="8"/>
      <c r="EQ23" s="8"/>
      <c r="ER23" s="7"/>
      <c r="ES23" s="7"/>
      <c r="ET23" s="8"/>
      <c r="EU23" s="8"/>
      <c r="EV23" s="8"/>
      <c r="EW23" s="8"/>
      <c r="EX23" s="8"/>
      <c r="EY23" s="7"/>
      <c r="EZ23" s="7"/>
      <c r="FA23" s="8"/>
      <c r="FB23" s="8"/>
      <c r="FC23" s="8"/>
      <c r="FD23" s="8"/>
      <c r="FE23" s="8"/>
      <c r="FF23" s="7"/>
      <c r="FG23" s="7"/>
      <c r="FH23" s="8"/>
      <c r="FI23" s="8"/>
      <c r="FJ23" s="8"/>
      <c r="FK23" s="8"/>
      <c r="FL23" s="8"/>
      <c r="FM23" s="7"/>
      <c r="FN23" s="7"/>
      <c r="FO23" s="8"/>
      <c r="FP23" s="8"/>
      <c r="FQ23" s="8"/>
      <c r="FR23" s="8"/>
      <c r="FS23" s="8"/>
      <c r="FT23" s="7"/>
      <c r="FU23" s="7"/>
      <c r="FV23" s="8"/>
      <c r="FW23" s="8"/>
      <c r="FX23" s="8"/>
      <c r="FY23" s="8"/>
      <c r="FZ23" s="8"/>
      <c r="GA23" s="7"/>
      <c r="GB23" s="7"/>
      <c r="GC23" s="8"/>
      <c r="GD23" s="8"/>
      <c r="GE23" s="8"/>
      <c r="GF23" s="8"/>
      <c r="GG23" s="8"/>
      <c r="GH23" s="7"/>
      <c r="GI23" s="7"/>
      <c r="GJ23" s="8"/>
      <c r="GK23" s="8"/>
      <c r="GL23" s="8"/>
      <c r="GM23" s="8"/>
      <c r="GN23" s="8"/>
      <c r="GO23" s="7"/>
      <c r="GP23" s="7"/>
      <c r="GQ23" s="8"/>
      <c r="GR23" s="8"/>
      <c r="GS23" s="8"/>
      <c r="GT23" s="8"/>
      <c r="GU23" s="7"/>
      <c r="GV23" s="7"/>
      <c r="GW23" s="7"/>
      <c r="GX23" s="7"/>
      <c r="GY23" s="8"/>
      <c r="GZ23" s="8"/>
      <c r="HA23" s="8"/>
      <c r="HB23" s="8"/>
      <c r="HC23" s="7"/>
      <c r="HD23" s="7"/>
      <c r="HE23" s="8"/>
      <c r="HF23" s="8"/>
      <c r="HG23" s="8"/>
      <c r="HH23" s="8"/>
      <c r="HI23" s="8"/>
      <c r="HJ23" s="7"/>
      <c r="HK23" s="7"/>
      <c r="HL23" s="8"/>
      <c r="HM23" s="8"/>
      <c r="HN23" s="8"/>
      <c r="HO23" s="8"/>
      <c r="HP23" s="8"/>
      <c r="HQ23" s="7"/>
      <c r="HR23" s="7"/>
      <c r="HS23" s="8"/>
      <c r="HT23" s="8"/>
      <c r="HU23" s="8"/>
      <c r="HV23" s="8"/>
      <c r="HW23" s="8"/>
      <c r="HX23" s="7"/>
      <c r="HY23" s="7"/>
      <c r="HZ23" s="8"/>
      <c r="IA23" s="8"/>
      <c r="IB23" s="8"/>
      <c r="IC23" s="8"/>
      <c r="ID23" s="8"/>
      <c r="IE23" s="7"/>
      <c r="IF23" s="7"/>
      <c r="IG23" s="8"/>
      <c r="IH23" s="8"/>
      <c r="II23" s="8"/>
      <c r="IJ23" s="8"/>
      <c r="IK23" s="8"/>
      <c r="IL23" s="7"/>
      <c r="IM23" s="7"/>
      <c r="IN23" s="8"/>
      <c r="IO23" s="8"/>
      <c r="IP23" s="8"/>
      <c r="IQ23" s="8"/>
      <c r="IR23" s="8"/>
      <c r="IS23" s="7"/>
      <c r="IT23" s="7"/>
      <c r="IU23" s="8"/>
      <c r="IV23" s="8"/>
      <c r="IW23" s="8"/>
      <c r="IX23" s="8"/>
      <c r="IY23" s="8"/>
      <c r="IZ23" s="7"/>
      <c r="JA23" s="7"/>
      <c r="JB23" s="8"/>
      <c r="JC23" s="25"/>
      <c r="JD23" s="8"/>
      <c r="JE23" s="8"/>
      <c r="JF23" s="8"/>
      <c r="JG23" s="7"/>
      <c r="JH23" s="7"/>
      <c r="JI23" s="8"/>
      <c r="JJ23" s="8"/>
      <c r="JK23" s="8"/>
      <c r="JL23" s="8"/>
      <c r="JM23" s="8"/>
      <c r="JN23" s="7"/>
      <c r="JO23" s="7"/>
      <c r="JP23" s="8"/>
      <c r="JQ23" s="8"/>
      <c r="JR23" s="8"/>
      <c r="JS23" s="26"/>
      <c r="JT23" s="25"/>
      <c r="JU23" s="7"/>
      <c r="JV23" s="7"/>
      <c r="JW23" s="8"/>
      <c r="JX23" s="8"/>
      <c r="JY23" s="8"/>
      <c r="JZ23" s="26"/>
      <c r="KA23" s="25"/>
      <c r="KB23" s="7"/>
      <c r="KC23" s="7"/>
      <c r="KD23" s="8"/>
      <c r="KE23" s="8"/>
      <c r="KF23" s="26"/>
      <c r="KG23" s="8"/>
      <c r="KH23" s="8"/>
      <c r="KI23" s="7"/>
      <c r="KJ23" s="7"/>
      <c r="KK23" s="8"/>
      <c r="KL23" s="8"/>
      <c r="KM23" s="8"/>
      <c r="KN23" s="8"/>
      <c r="KO23" s="8"/>
      <c r="KP23" s="7"/>
      <c r="KQ23" s="7"/>
      <c r="KR23" s="8"/>
      <c r="KS23" s="8"/>
      <c r="KT23" s="8"/>
      <c r="KU23" s="8"/>
      <c r="KV23" s="26"/>
      <c r="KW23" s="7"/>
      <c r="KX23" s="7"/>
      <c r="KY23" s="8"/>
      <c r="KZ23" s="8"/>
      <c r="LA23" s="8"/>
      <c r="LB23" s="8"/>
      <c r="LC23" s="8"/>
      <c r="LD23" s="7"/>
      <c r="LE23" s="7"/>
      <c r="LF23" s="8"/>
      <c r="LG23" s="8"/>
      <c r="LH23" s="8"/>
      <c r="LI23" s="8"/>
      <c r="LJ23" s="8"/>
      <c r="LK23" s="7"/>
      <c r="LL23" s="7"/>
      <c r="LM23" s="8"/>
      <c r="LN23" s="8"/>
      <c r="LO23" s="8"/>
      <c r="LP23" s="8"/>
      <c r="LQ23" s="8"/>
      <c r="LR23" s="7"/>
      <c r="LS23" s="7"/>
      <c r="LT23" s="8"/>
      <c r="LU23" s="8"/>
      <c r="LV23" s="8"/>
      <c r="LW23" s="8"/>
      <c r="LX23" s="8"/>
      <c r="LY23" s="7"/>
      <c r="LZ23" s="7"/>
      <c r="MA23" s="8"/>
      <c r="MB23" s="8"/>
      <c r="MC23" s="8"/>
      <c r="MD23" s="8"/>
      <c r="ME23" s="8"/>
      <c r="MF23" s="7"/>
      <c r="MG23" s="7"/>
      <c r="MH23" s="8"/>
      <c r="MI23" s="8"/>
      <c r="MJ23" s="8"/>
      <c r="MK23" s="8"/>
      <c r="ML23" s="8"/>
      <c r="MM23" s="7"/>
      <c r="MN23" s="7"/>
      <c r="MO23" s="8"/>
      <c r="MP23" s="8"/>
      <c r="MQ23" s="8"/>
      <c r="MR23" s="8"/>
      <c r="MS23" s="8"/>
      <c r="MT23" s="7"/>
      <c r="MU23" s="7"/>
      <c r="MV23" s="8"/>
      <c r="MW23" s="8"/>
      <c r="MX23" s="8"/>
      <c r="MY23" s="8"/>
      <c r="MZ23" s="26"/>
      <c r="NA23" s="7"/>
      <c r="NB23" s="7"/>
      <c r="NC23" s="8"/>
      <c r="ND23" s="8"/>
      <c r="NE23" s="8"/>
      <c r="NF23" s="8"/>
      <c r="NG23" s="8"/>
      <c r="NH23" s="7"/>
      <c r="NI23" s="7"/>
      <c r="NJ23" s="8"/>
      <c r="NK23" s="8"/>
      <c r="NL23" s="8"/>
    </row>
    <row r="24" spans="1:376" customFormat="1">
      <c r="A24" s="1"/>
      <c r="B24" s="29" t="s">
        <v>52</v>
      </c>
      <c r="C24" s="29" t="s">
        <v>30</v>
      </c>
      <c r="D24" s="29" t="s">
        <v>31</v>
      </c>
      <c r="E24" s="29">
        <v>0</v>
      </c>
      <c r="F24" s="29">
        <v>10</v>
      </c>
      <c r="G24" s="29">
        <v>0</v>
      </c>
      <c r="H24" s="29">
        <f t="shared" si="0"/>
        <v>10</v>
      </c>
      <c r="I24" s="30">
        <f t="shared" si="1"/>
        <v>0</v>
      </c>
      <c r="J24" s="30">
        <f t="shared" si="2"/>
        <v>0</v>
      </c>
      <c r="K24" s="30">
        <f t="shared" si="3"/>
        <v>0</v>
      </c>
      <c r="L24" s="28"/>
      <c r="M24" s="8"/>
      <c r="N24" s="8"/>
      <c r="O24" s="7"/>
      <c r="P24" s="7"/>
      <c r="Q24" s="8"/>
      <c r="R24" s="8"/>
      <c r="S24" s="8"/>
      <c r="T24" s="8"/>
      <c r="U24" s="7"/>
      <c r="V24" s="7"/>
      <c r="W24" s="7"/>
      <c r="X24" s="7"/>
      <c r="Y24" s="8"/>
      <c r="Z24" s="8"/>
      <c r="AA24" s="8"/>
      <c r="AB24" s="8"/>
      <c r="AC24" s="7"/>
      <c r="AD24" s="7"/>
      <c r="AE24" s="7"/>
      <c r="AF24" s="8"/>
      <c r="AG24" s="8"/>
      <c r="AH24" s="8"/>
      <c r="AI24" s="8"/>
      <c r="AJ24" s="7"/>
      <c r="AK24" s="7"/>
      <c r="AL24" s="8"/>
      <c r="AM24" s="8"/>
      <c r="AN24" s="8"/>
      <c r="AO24" s="8"/>
      <c r="AP24" s="7"/>
      <c r="AQ24" s="7"/>
      <c r="AR24" s="7"/>
      <c r="AS24" s="8"/>
      <c r="AT24" s="8"/>
      <c r="AU24" s="8"/>
      <c r="AV24" s="8"/>
      <c r="AW24" s="8"/>
      <c r="AX24" s="7"/>
      <c r="AY24" s="7"/>
      <c r="AZ24" s="8"/>
      <c r="BA24" s="8"/>
      <c r="BB24" s="8"/>
      <c r="BC24" s="8"/>
      <c r="BD24" s="8"/>
      <c r="BE24" s="7"/>
      <c r="BF24" s="7"/>
      <c r="BG24" s="8"/>
      <c r="BH24" s="8"/>
      <c r="BI24" s="8"/>
      <c r="BJ24" s="8"/>
      <c r="BK24" s="8"/>
      <c r="BL24" s="7"/>
      <c r="BM24" s="7"/>
      <c r="BN24" s="8"/>
      <c r="BO24" s="8"/>
      <c r="BP24" s="8"/>
      <c r="BQ24" s="8"/>
      <c r="BR24" s="8"/>
      <c r="BS24" s="7"/>
      <c r="BT24" s="7"/>
      <c r="BU24" s="8"/>
      <c r="BV24" s="8"/>
      <c r="BW24" s="8"/>
      <c r="BX24" s="8"/>
      <c r="BY24" s="8"/>
      <c r="BZ24" s="7"/>
      <c r="CA24" s="7"/>
      <c r="CB24" s="8"/>
      <c r="CC24" s="8"/>
      <c r="CD24" s="8"/>
      <c r="CE24" s="8"/>
      <c r="CF24" s="8"/>
      <c r="CG24" s="7"/>
      <c r="CH24" s="7"/>
      <c r="CI24" s="8"/>
      <c r="CJ24" s="8"/>
      <c r="CK24" s="8"/>
      <c r="CL24" s="8"/>
      <c r="CM24" s="8"/>
      <c r="CN24" s="7"/>
      <c r="CO24" s="7"/>
      <c r="CP24" s="8"/>
      <c r="CQ24" s="8"/>
      <c r="CR24" s="7"/>
      <c r="CS24" s="8"/>
      <c r="CT24" s="8"/>
      <c r="CU24" s="7"/>
      <c r="CV24" s="7"/>
      <c r="CW24" s="8"/>
      <c r="CX24" s="8"/>
      <c r="CY24" s="8"/>
      <c r="CZ24" s="8"/>
      <c r="DA24" s="8"/>
      <c r="DB24" s="7"/>
      <c r="DC24" s="7"/>
      <c r="DD24" s="8"/>
      <c r="DE24" s="8"/>
      <c r="DF24" s="8"/>
      <c r="DG24" s="8"/>
      <c r="DH24" s="8"/>
      <c r="DI24" s="7"/>
      <c r="DJ24" s="7"/>
      <c r="DK24" s="8"/>
      <c r="DL24" s="8"/>
      <c r="DM24" s="8"/>
      <c r="DN24" s="8"/>
      <c r="DO24" s="8"/>
      <c r="DP24" s="7"/>
      <c r="DQ24" s="7"/>
      <c r="DR24" s="8"/>
      <c r="DS24" s="8"/>
      <c r="DT24" s="8"/>
      <c r="DU24" s="8"/>
      <c r="DV24" s="8"/>
      <c r="DW24" s="7"/>
      <c r="DX24" s="7"/>
      <c r="DY24" s="8"/>
      <c r="DZ24" s="8"/>
      <c r="EA24" s="8"/>
      <c r="EB24" s="8"/>
      <c r="EC24" s="8"/>
      <c r="ED24" s="7"/>
      <c r="EE24" s="7"/>
      <c r="EF24" s="8"/>
      <c r="EG24" s="8"/>
      <c r="EH24" s="8"/>
      <c r="EI24" s="8"/>
      <c r="EJ24" s="8"/>
      <c r="EK24" s="7"/>
      <c r="EL24" s="7"/>
      <c r="EM24" s="8"/>
      <c r="EN24" s="8"/>
      <c r="EO24" s="8"/>
      <c r="EP24" s="8"/>
      <c r="EQ24" s="8"/>
      <c r="ER24" s="7"/>
      <c r="ES24" s="7"/>
      <c r="ET24" s="8"/>
      <c r="EU24" s="8"/>
      <c r="EV24" s="8"/>
      <c r="EW24" s="8"/>
      <c r="EX24" s="8"/>
      <c r="EY24" s="7"/>
      <c r="EZ24" s="7"/>
      <c r="FA24" s="8"/>
      <c r="FB24" s="8"/>
      <c r="FC24" s="8"/>
      <c r="FD24" s="8"/>
      <c r="FE24" s="8"/>
      <c r="FF24" s="7"/>
      <c r="FG24" s="7"/>
      <c r="FH24" s="8"/>
      <c r="FI24" s="8"/>
      <c r="FJ24" s="8"/>
      <c r="FK24" s="8"/>
      <c r="FL24" s="8"/>
      <c r="FM24" s="7"/>
      <c r="FN24" s="7"/>
      <c r="FO24" s="8"/>
      <c r="FP24" s="8"/>
      <c r="FQ24" s="8"/>
      <c r="FR24" s="8"/>
      <c r="FS24" s="8"/>
      <c r="FT24" s="7"/>
      <c r="FU24" s="7"/>
      <c r="FV24" s="8"/>
      <c r="FW24" s="8"/>
      <c r="FX24" s="8"/>
      <c r="FY24" s="8"/>
      <c r="FZ24" s="8"/>
      <c r="GA24" s="7"/>
      <c r="GB24" s="7"/>
      <c r="GC24" s="8"/>
      <c r="GD24" s="8"/>
      <c r="GE24" s="8"/>
      <c r="GF24" s="8"/>
      <c r="GG24" s="8"/>
      <c r="GH24" s="7"/>
      <c r="GI24" s="7"/>
      <c r="GJ24" s="8"/>
      <c r="GK24" s="8"/>
      <c r="GL24" s="8"/>
      <c r="GM24" s="8"/>
      <c r="GN24" s="8"/>
      <c r="GO24" s="7"/>
      <c r="GP24" s="7"/>
      <c r="GQ24" s="8"/>
      <c r="GR24" s="8"/>
      <c r="GS24" s="8"/>
      <c r="GT24" s="8"/>
      <c r="GU24" s="7"/>
      <c r="GV24" s="7"/>
      <c r="GW24" s="7"/>
      <c r="GX24" s="7"/>
      <c r="GY24" s="8"/>
      <c r="GZ24" s="8"/>
      <c r="HA24" s="8"/>
      <c r="HB24" s="8"/>
      <c r="HC24" s="7"/>
      <c r="HD24" s="7"/>
      <c r="HE24" s="8"/>
      <c r="HF24" s="8"/>
      <c r="HG24" s="8"/>
      <c r="HH24" s="8"/>
      <c r="HI24" s="8"/>
      <c r="HJ24" s="7"/>
      <c r="HK24" s="7"/>
      <c r="HL24" s="8"/>
      <c r="HM24" s="8"/>
      <c r="HN24" s="8"/>
      <c r="HO24" s="8"/>
      <c r="HP24" s="8"/>
      <c r="HQ24" s="7"/>
      <c r="HR24" s="7"/>
      <c r="HS24" s="8"/>
      <c r="HT24" s="8"/>
      <c r="HU24" s="8"/>
      <c r="HV24" s="8"/>
      <c r="HW24" s="8"/>
      <c r="HX24" s="7"/>
      <c r="HY24" s="7"/>
      <c r="HZ24" s="8"/>
      <c r="IA24" s="8"/>
      <c r="IB24" s="8"/>
      <c r="IC24" s="8"/>
      <c r="ID24" s="8"/>
      <c r="IE24" s="7"/>
      <c r="IF24" s="7"/>
      <c r="IG24" s="8"/>
      <c r="IH24" s="8"/>
      <c r="II24" s="8"/>
      <c r="IJ24" s="8"/>
      <c r="IK24" s="8"/>
      <c r="IL24" s="7"/>
      <c r="IM24" s="7"/>
      <c r="IN24" s="8"/>
      <c r="IO24" s="8"/>
      <c r="IP24" s="8"/>
      <c r="IQ24" s="8"/>
      <c r="IR24" s="8"/>
      <c r="IS24" s="7"/>
      <c r="IT24" s="7"/>
      <c r="IU24" s="8"/>
      <c r="IV24" s="8"/>
      <c r="IW24" s="8"/>
      <c r="IX24" s="8"/>
      <c r="IY24" s="8"/>
      <c r="IZ24" s="7"/>
      <c r="JA24" s="7"/>
      <c r="JB24" s="8"/>
      <c r="JC24" s="25"/>
      <c r="JD24" s="8"/>
      <c r="JE24" s="8"/>
      <c r="JF24" s="8"/>
      <c r="JG24" s="7"/>
      <c r="JH24" s="7"/>
      <c r="JI24" s="8"/>
      <c r="JJ24" s="8"/>
      <c r="JK24" s="8"/>
      <c r="JL24" s="8"/>
      <c r="JM24" s="8"/>
      <c r="JN24" s="7"/>
      <c r="JO24" s="7"/>
      <c r="JP24" s="8"/>
      <c r="JQ24" s="8"/>
      <c r="JR24" s="8"/>
      <c r="JS24" s="8"/>
      <c r="JT24" s="25"/>
      <c r="JU24" s="7"/>
      <c r="JV24" s="7"/>
      <c r="JW24" s="8"/>
      <c r="JX24" s="8"/>
      <c r="JY24" s="8"/>
      <c r="JZ24" s="8"/>
      <c r="KA24" s="25"/>
      <c r="KB24" s="7"/>
      <c r="KC24" s="7"/>
      <c r="KD24" s="8"/>
      <c r="KE24" s="8"/>
      <c r="KF24" s="8"/>
      <c r="KG24" s="8"/>
      <c r="KH24" s="8"/>
      <c r="KI24" s="7"/>
      <c r="KJ24" s="7"/>
      <c r="KK24" s="8"/>
      <c r="KL24" s="8"/>
      <c r="KM24" s="8"/>
      <c r="KN24" s="8"/>
      <c r="KO24" s="8"/>
      <c r="KP24" s="7"/>
      <c r="KQ24" s="7"/>
      <c r="KR24" s="8"/>
      <c r="KS24" s="8"/>
      <c r="KT24" s="8"/>
      <c r="KU24" s="8"/>
      <c r="KV24" s="8"/>
      <c r="KW24" s="7"/>
      <c r="KX24" s="7"/>
      <c r="KY24" s="8"/>
      <c r="KZ24" s="8"/>
      <c r="LA24" s="8"/>
      <c r="LB24" s="8"/>
      <c r="LC24" s="8"/>
      <c r="LD24" s="7"/>
      <c r="LE24" s="7"/>
      <c r="LF24" s="8"/>
      <c r="LG24" s="8"/>
      <c r="LH24" s="8"/>
      <c r="LI24" s="8"/>
      <c r="LJ24" s="8"/>
      <c r="LK24" s="7"/>
      <c r="LL24" s="7"/>
      <c r="LM24" s="8"/>
      <c r="LN24" s="8"/>
      <c r="LO24" s="8"/>
      <c r="LP24" s="8"/>
      <c r="LQ24" s="8"/>
      <c r="LR24" s="7"/>
      <c r="LS24" s="7"/>
      <c r="LT24" s="8"/>
      <c r="LU24" s="8"/>
      <c r="LV24" s="8"/>
      <c r="LW24" s="8"/>
      <c r="LX24" s="8"/>
      <c r="LY24" s="7"/>
      <c r="LZ24" s="7"/>
      <c r="MA24" s="8"/>
      <c r="MB24" s="8"/>
      <c r="MC24" s="8"/>
      <c r="MD24" s="8"/>
      <c r="ME24" s="8"/>
      <c r="MF24" s="7"/>
      <c r="MG24" s="7"/>
      <c r="MH24" s="8"/>
      <c r="MI24" s="8"/>
      <c r="MJ24" s="8"/>
      <c r="MK24" s="8"/>
      <c r="ML24" s="8"/>
      <c r="MM24" s="7"/>
      <c r="MN24" s="7"/>
      <c r="MO24" s="8"/>
      <c r="MP24" s="8"/>
      <c r="MQ24" s="8"/>
      <c r="MR24" s="8"/>
      <c r="MS24" s="8"/>
      <c r="MT24" s="7"/>
      <c r="MU24" s="7"/>
      <c r="MV24" s="8"/>
      <c r="MW24" s="8"/>
      <c r="MX24" s="8"/>
      <c r="MY24" s="8"/>
      <c r="MZ24" s="8"/>
      <c r="NA24" s="7"/>
      <c r="NB24" s="7"/>
      <c r="NC24" s="8"/>
      <c r="ND24" s="8"/>
      <c r="NE24" s="8"/>
      <c r="NF24" s="8"/>
      <c r="NG24" s="8"/>
      <c r="NH24" s="7"/>
      <c r="NI24" s="7"/>
      <c r="NJ24" s="8"/>
      <c r="NK24" s="8"/>
      <c r="NL24" s="8"/>
    </row>
    <row r="25" spans="1:376" customFormat="1">
      <c r="A25" s="1"/>
      <c r="B25" s="29" t="s">
        <v>53</v>
      </c>
      <c r="C25" s="29" t="s">
        <v>30</v>
      </c>
      <c r="D25" s="29" t="s">
        <v>31</v>
      </c>
      <c r="E25" s="29">
        <v>0</v>
      </c>
      <c r="F25" s="29">
        <v>0</v>
      </c>
      <c r="G25" s="29">
        <v>0</v>
      </c>
      <c r="H25" s="29">
        <f t="shared" si="0"/>
        <v>0</v>
      </c>
      <c r="I25" s="30">
        <f t="shared" si="1"/>
        <v>0</v>
      </c>
      <c r="J25" s="30">
        <f t="shared" si="2"/>
        <v>0</v>
      </c>
      <c r="K25" s="30">
        <f t="shared" si="3"/>
        <v>0</v>
      </c>
      <c r="L25" s="28"/>
      <c r="M25" s="8"/>
      <c r="N25" s="8"/>
      <c r="O25" s="7"/>
      <c r="P25" s="7"/>
      <c r="Q25" s="8"/>
      <c r="R25" s="8"/>
      <c r="S25" s="8"/>
      <c r="T25" s="8"/>
      <c r="U25" s="7"/>
      <c r="V25" s="7"/>
      <c r="W25" s="7"/>
      <c r="X25" s="7"/>
      <c r="Y25" s="8"/>
      <c r="Z25" s="8"/>
      <c r="AA25" s="8"/>
      <c r="AB25" s="8"/>
      <c r="AC25" s="7"/>
      <c r="AD25" s="7"/>
      <c r="AE25" s="7"/>
      <c r="AF25" s="8"/>
      <c r="AG25" s="8"/>
      <c r="AH25" s="8"/>
      <c r="AI25" s="8"/>
      <c r="AJ25" s="7"/>
      <c r="AK25" s="7"/>
      <c r="AL25" s="8"/>
      <c r="AM25" s="8"/>
      <c r="AN25" s="8"/>
      <c r="AO25" s="8"/>
      <c r="AP25" s="7"/>
      <c r="AQ25" s="7"/>
      <c r="AR25" s="7"/>
      <c r="AS25" s="8"/>
      <c r="AT25" s="8"/>
      <c r="AU25" s="8"/>
      <c r="AV25" s="8"/>
      <c r="AW25" s="8"/>
      <c r="AX25" s="7"/>
      <c r="AY25" s="7"/>
      <c r="AZ25" s="8"/>
      <c r="BA25" s="8"/>
      <c r="BB25" s="8"/>
      <c r="BC25" s="8"/>
      <c r="BD25" s="8"/>
      <c r="BE25" s="7"/>
      <c r="BF25" s="7"/>
      <c r="BG25" s="8"/>
      <c r="BH25" s="8"/>
      <c r="BI25" s="8"/>
      <c r="BJ25" s="8"/>
      <c r="BK25" s="8"/>
      <c r="BL25" s="7"/>
      <c r="BM25" s="7"/>
      <c r="BN25" s="8"/>
      <c r="BO25" s="8"/>
      <c r="BP25" s="8"/>
      <c r="BQ25" s="8"/>
      <c r="BR25" s="8"/>
      <c r="BS25" s="7"/>
      <c r="BT25" s="7"/>
      <c r="BU25" s="8"/>
      <c r="BV25" s="8"/>
      <c r="BW25" s="8"/>
      <c r="BX25" s="8"/>
      <c r="BY25" s="8"/>
      <c r="BZ25" s="7"/>
      <c r="CA25" s="7"/>
      <c r="CB25" s="8"/>
      <c r="CC25" s="8"/>
      <c r="CD25" s="8"/>
      <c r="CE25" s="8"/>
      <c r="CF25" s="8"/>
      <c r="CG25" s="7"/>
      <c r="CH25" s="7"/>
      <c r="CI25" s="8"/>
      <c r="CJ25" s="8"/>
      <c r="CK25" s="8"/>
      <c r="CL25" s="8"/>
      <c r="CM25" s="8"/>
      <c r="CN25" s="7"/>
      <c r="CO25" s="7"/>
      <c r="CP25" s="8"/>
      <c r="CQ25" s="8"/>
      <c r="CR25" s="7"/>
      <c r="CS25" s="8"/>
      <c r="CT25" s="8"/>
      <c r="CU25" s="7"/>
      <c r="CV25" s="7"/>
      <c r="CW25" s="8"/>
      <c r="CX25" s="8"/>
      <c r="CY25" s="8"/>
      <c r="CZ25" s="8"/>
      <c r="DA25" s="8"/>
      <c r="DB25" s="7"/>
      <c r="DC25" s="7"/>
      <c r="DD25" s="8"/>
      <c r="DE25" s="8"/>
      <c r="DF25" s="8"/>
      <c r="DG25" s="8"/>
      <c r="DH25" s="8"/>
      <c r="DI25" s="7"/>
      <c r="DJ25" s="7"/>
      <c r="DK25" s="8"/>
      <c r="DL25" s="8"/>
      <c r="DM25" s="8"/>
      <c r="DN25" s="8"/>
      <c r="DO25" s="8"/>
      <c r="DP25" s="7"/>
      <c r="DQ25" s="7"/>
      <c r="DR25" s="8"/>
      <c r="DS25" s="8"/>
      <c r="DT25" s="8"/>
      <c r="DU25" s="8"/>
      <c r="DV25" s="8"/>
      <c r="DW25" s="7"/>
      <c r="DX25" s="7"/>
      <c r="DY25" s="8"/>
      <c r="DZ25" s="8"/>
      <c r="EA25" s="8"/>
      <c r="EB25" s="8"/>
      <c r="EC25" s="8"/>
      <c r="ED25" s="7"/>
      <c r="EE25" s="7"/>
      <c r="EF25" s="8"/>
      <c r="EG25" s="8"/>
      <c r="EH25" s="8"/>
      <c r="EI25" s="8"/>
      <c r="EJ25" s="8"/>
      <c r="EK25" s="7"/>
      <c r="EL25" s="7"/>
      <c r="EM25" s="8"/>
      <c r="EN25" s="8"/>
      <c r="EO25" s="8"/>
      <c r="EP25" s="8"/>
      <c r="EQ25" s="8"/>
      <c r="ER25" s="7"/>
      <c r="ES25" s="7"/>
      <c r="ET25" s="8"/>
      <c r="EU25" s="8"/>
      <c r="EV25" s="8"/>
      <c r="EW25" s="8"/>
      <c r="EX25" s="8"/>
      <c r="EY25" s="7"/>
      <c r="EZ25" s="7"/>
      <c r="FA25" s="8"/>
      <c r="FB25" s="8"/>
      <c r="FC25" s="8"/>
      <c r="FD25" s="8"/>
      <c r="FE25" s="8"/>
      <c r="FF25" s="7"/>
      <c r="FG25" s="7"/>
      <c r="FH25" s="8"/>
      <c r="FI25" s="8"/>
      <c r="FJ25" s="8"/>
      <c r="FK25" s="8"/>
      <c r="FL25" s="8"/>
      <c r="FM25" s="7"/>
      <c r="FN25" s="7"/>
      <c r="FO25" s="8"/>
      <c r="FP25" s="8"/>
      <c r="FQ25" s="8"/>
      <c r="FR25" s="8"/>
      <c r="FS25" s="8"/>
      <c r="FT25" s="7"/>
      <c r="FU25" s="7"/>
      <c r="FV25" s="8"/>
      <c r="FW25" s="8"/>
      <c r="FX25" s="8"/>
      <c r="FY25" s="8"/>
      <c r="FZ25" s="8"/>
      <c r="GA25" s="7"/>
      <c r="GB25" s="7"/>
      <c r="GC25" s="8"/>
      <c r="GD25" s="8"/>
      <c r="GE25" s="8"/>
      <c r="GF25" s="8"/>
      <c r="GG25" s="8"/>
      <c r="GH25" s="7"/>
      <c r="GI25" s="7"/>
      <c r="GJ25" s="8"/>
      <c r="GK25" s="8"/>
      <c r="GL25" s="8"/>
      <c r="GM25" s="8"/>
      <c r="GN25" s="8"/>
      <c r="GO25" s="7"/>
      <c r="GP25" s="7"/>
      <c r="GQ25" s="8"/>
      <c r="GR25" s="8"/>
      <c r="GS25" s="8"/>
      <c r="GT25" s="8"/>
      <c r="GU25" s="7"/>
      <c r="GV25" s="7"/>
      <c r="GW25" s="7"/>
      <c r="GX25" s="7"/>
      <c r="GY25" s="8"/>
      <c r="GZ25" s="8"/>
      <c r="HA25" s="8"/>
      <c r="HB25" s="8"/>
      <c r="HC25" s="7"/>
      <c r="HD25" s="7"/>
      <c r="HE25" s="8"/>
      <c r="HF25" s="8"/>
      <c r="HG25" s="8"/>
      <c r="HH25" s="8"/>
      <c r="HI25" s="8"/>
      <c r="HJ25" s="7"/>
      <c r="HK25" s="7"/>
      <c r="HL25" s="8"/>
      <c r="HM25" s="8"/>
      <c r="HN25" s="8"/>
      <c r="HO25" s="8"/>
      <c r="HP25" s="8"/>
      <c r="HQ25" s="7"/>
      <c r="HR25" s="7"/>
      <c r="HS25" s="8"/>
      <c r="HT25" s="8"/>
      <c r="HU25" s="8"/>
      <c r="HV25" s="8"/>
      <c r="HW25" s="8"/>
      <c r="HX25" s="7"/>
      <c r="HY25" s="7"/>
      <c r="HZ25" s="8"/>
      <c r="IA25" s="8"/>
      <c r="IB25" s="8"/>
      <c r="IC25" s="8"/>
      <c r="ID25" s="8"/>
      <c r="IE25" s="7"/>
      <c r="IF25" s="7"/>
      <c r="IG25" s="8"/>
      <c r="IH25" s="8"/>
      <c r="II25" s="8"/>
      <c r="IJ25" s="8"/>
      <c r="IK25" s="8"/>
      <c r="IL25" s="7"/>
      <c r="IM25" s="7"/>
      <c r="IN25" s="8"/>
      <c r="IO25" s="8"/>
      <c r="IP25" s="8"/>
      <c r="IQ25" s="8"/>
      <c r="IR25" s="8"/>
      <c r="IS25" s="7"/>
      <c r="IT25" s="7"/>
      <c r="IU25" s="8"/>
      <c r="IV25" s="8"/>
      <c r="IW25" s="8"/>
      <c r="IX25" s="8"/>
      <c r="IY25" s="8"/>
      <c r="IZ25" s="7"/>
      <c r="JA25" s="7"/>
      <c r="JB25" s="8"/>
      <c r="JC25" s="25"/>
      <c r="JD25" s="8"/>
      <c r="JE25" s="8"/>
      <c r="JF25" s="8"/>
      <c r="JG25" s="7"/>
      <c r="JH25" s="7"/>
      <c r="JI25" s="8"/>
      <c r="JJ25" s="8"/>
      <c r="JK25" s="8"/>
      <c r="JL25" s="8"/>
      <c r="JM25" s="8"/>
      <c r="JN25" s="7"/>
      <c r="JO25" s="7"/>
      <c r="JP25" s="8"/>
      <c r="JQ25" s="8"/>
      <c r="JR25" s="8"/>
      <c r="JS25" s="8"/>
      <c r="JT25" s="25"/>
      <c r="JU25" s="7"/>
      <c r="JV25" s="7"/>
      <c r="JW25" s="8"/>
      <c r="JX25" s="8"/>
      <c r="JY25" s="8"/>
      <c r="JZ25" s="8"/>
      <c r="KA25" s="25"/>
      <c r="KB25" s="7"/>
      <c r="KC25" s="7"/>
      <c r="KD25" s="8"/>
      <c r="KE25" s="8"/>
      <c r="KF25" s="8"/>
      <c r="KG25" s="8"/>
      <c r="KH25" s="8"/>
      <c r="KI25" s="7"/>
      <c r="KJ25" s="7"/>
      <c r="KK25" s="8"/>
      <c r="KL25" s="8"/>
      <c r="KM25" s="8"/>
      <c r="KN25" s="8"/>
      <c r="KO25" s="8"/>
      <c r="KP25" s="7"/>
      <c r="KQ25" s="7"/>
      <c r="KR25" s="8"/>
      <c r="KS25" s="8"/>
      <c r="KT25" s="8"/>
      <c r="KU25" s="8"/>
      <c r="KV25" s="8"/>
      <c r="KW25" s="7"/>
      <c r="KX25" s="7"/>
      <c r="KY25" s="8"/>
      <c r="KZ25" s="8"/>
      <c r="LA25" s="8"/>
      <c r="LB25" s="8"/>
      <c r="LC25" s="8"/>
      <c r="LD25" s="7"/>
      <c r="LE25" s="7"/>
      <c r="LF25" s="8"/>
      <c r="LG25" s="8"/>
      <c r="LH25" s="8"/>
      <c r="LI25" s="8"/>
      <c r="LJ25" s="8"/>
      <c r="LK25" s="7"/>
      <c r="LL25" s="7"/>
      <c r="LM25" s="8"/>
      <c r="LN25" s="8"/>
      <c r="LO25" s="8"/>
      <c r="LP25" s="8"/>
      <c r="LQ25" s="8"/>
      <c r="LR25" s="7"/>
      <c r="LS25" s="7"/>
      <c r="LT25" s="8"/>
      <c r="LU25" s="8"/>
      <c r="LV25" s="8"/>
      <c r="LW25" s="8"/>
      <c r="LX25" s="8"/>
      <c r="LY25" s="7"/>
      <c r="LZ25" s="7"/>
      <c r="MA25" s="8"/>
      <c r="MB25" s="8"/>
      <c r="MC25" s="8"/>
      <c r="MD25" s="8"/>
      <c r="ME25" s="8"/>
      <c r="MF25" s="7"/>
      <c r="MG25" s="7"/>
      <c r="MH25" s="8"/>
      <c r="MI25" s="8"/>
      <c r="MJ25" s="8"/>
      <c r="MK25" s="8"/>
      <c r="ML25" s="8"/>
      <c r="MM25" s="7"/>
      <c r="MN25" s="7"/>
      <c r="MO25" s="8"/>
      <c r="MP25" s="8"/>
      <c r="MQ25" s="8"/>
      <c r="MR25" s="8"/>
      <c r="MS25" s="8"/>
      <c r="MT25" s="7"/>
      <c r="MU25" s="7"/>
      <c r="MV25" s="8"/>
      <c r="MW25" s="8"/>
      <c r="MX25" s="8"/>
      <c r="MY25" s="8"/>
      <c r="MZ25" s="8"/>
      <c r="NA25" s="7"/>
      <c r="NB25" s="7"/>
      <c r="NC25" s="8"/>
      <c r="ND25" s="8"/>
      <c r="NE25" s="8"/>
      <c r="NF25" s="8"/>
      <c r="NG25" s="8"/>
      <c r="NH25" s="7"/>
      <c r="NI25" s="7"/>
      <c r="NJ25" s="8"/>
      <c r="NK25" s="8"/>
      <c r="NL25" s="8"/>
    </row>
    <row r="26" spans="1:376" customFormat="1">
      <c r="A26" s="1"/>
      <c r="B26" s="29" t="s">
        <v>54</v>
      </c>
      <c r="C26" s="29" t="s">
        <v>30</v>
      </c>
      <c r="D26" s="29" t="s">
        <v>49</v>
      </c>
      <c r="E26" s="29">
        <v>0</v>
      </c>
      <c r="F26" s="29">
        <v>8</v>
      </c>
      <c r="G26" s="29">
        <v>0</v>
      </c>
      <c r="H26" s="29">
        <f t="shared" si="0"/>
        <v>8</v>
      </c>
      <c r="I26" s="30">
        <f t="shared" si="1"/>
        <v>0</v>
      </c>
      <c r="J26" s="30">
        <f t="shared" si="2"/>
        <v>0</v>
      </c>
      <c r="K26" s="30">
        <f t="shared" si="3"/>
        <v>0</v>
      </c>
      <c r="L26" s="28"/>
      <c r="M26" s="8"/>
      <c r="N26" s="8"/>
      <c r="O26" s="7"/>
      <c r="P26" s="7"/>
      <c r="Q26" s="8"/>
      <c r="R26" s="8"/>
      <c r="S26" s="8"/>
      <c r="T26" s="8"/>
      <c r="U26" s="7"/>
      <c r="V26" s="7"/>
      <c r="W26" s="7"/>
      <c r="X26" s="7"/>
      <c r="Y26" s="8"/>
      <c r="Z26" s="8"/>
      <c r="AA26" s="8"/>
      <c r="AB26" s="8"/>
      <c r="AC26" s="7"/>
      <c r="AD26" s="7"/>
      <c r="AE26" s="7"/>
      <c r="AF26" s="8"/>
      <c r="AG26" s="8"/>
      <c r="AH26" s="8"/>
      <c r="AI26" s="8"/>
      <c r="AJ26" s="7"/>
      <c r="AK26" s="7"/>
      <c r="AL26" s="8"/>
      <c r="AM26" s="8"/>
      <c r="AN26" s="8"/>
      <c r="AO26" s="8"/>
      <c r="AP26" s="7"/>
      <c r="AQ26" s="7"/>
      <c r="AR26" s="7"/>
      <c r="AS26" s="8"/>
      <c r="AT26" s="8"/>
      <c r="AU26" s="8"/>
      <c r="AV26" s="8"/>
      <c r="AW26" s="8"/>
      <c r="AX26" s="7"/>
      <c r="AY26" s="7"/>
      <c r="AZ26" s="8"/>
      <c r="BA26" s="8"/>
      <c r="BB26" s="8"/>
      <c r="BC26" s="8"/>
      <c r="BD26" s="8"/>
      <c r="BE26" s="7"/>
      <c r="BF26" s="7"/>
      <c r="BG26" s="8"/>
      <c r="BH26" s="8"/>
      <c r="BI26" s="8"/>
      <c r="BJ26" s="8"/>
      <c r="BK26" s="8"/>
      <c r="BL26" s="7"/>
      <c r="BM26" s="7"/>
      <c r="BN26" s="8"/>
      <c r="BO26" s="8"/>
      <c r="BP26" s="8"/>
      <c r="BQ26" s="8"/>
      <c r="BR26" s="8"/>
      <c r="BS26" s="7"/>
      <c r="BT26" s="7"/>
      <c r="BU26" s="8"/>
      <c r="BV26" s="8"/>
      <c r="BW26" s="8"/>
      <c r="BX26" s="8"/>
      <c r="BY26" s="8"/>
      <c r="BZ26" s="7"/>
      <c r="CA26" s="7"/>
      <c r="CB26" s="8"/>
      <c r="CC26" s="8"/>
      <c r="CD26" s="8"/>
      <c r="CE26" s="8"/>
      <c r="CF26" s="8"/>
      <c r="CG26" s="7"/>
      <c r="CH26" s="7"/>
      <c r="CI26" s="8"/>
      <c r="CJ26" s="8"/>
      <c r="CK26" s="8"/>
      <c r="CL26" s="8"/>
      <c r="CM26" s="8"/>
      <c r="CN26" s="7"/>
      <c r="CO26" s="7"/>
      <c r="CP26" s="8"/>
      <c r="CQ26" s="8"/>
      <c r="CR26" s="7"/>
      <c r="CS26" s="8"/>
      <c r="CT26" s="8"/>
      <c r="CU26" s="7"/>
      <c r="CV26" s="7"/>
      <c r="CW26" s="8"/>
      <c r="CX26" s="8"/>
      <c r="CY26" s="8"/>
      <c r="CZ26" s="8"/>
      <c r="DA26" s="8"/>
      <c r="DB26" s="7"/>
      <c r="DC26" s="7"/>
      <c r="DD26" s="8"/>
      <c r="DE26" s="8"/>
      <c r="DF26" s="8"/>
      <c r="DG26" s="8"/>
      <c r="DH26" s="8"/>
      <c r="DI26" s="7"/>
      <c r="DJ26" s="7"/>
      <c r="DK26" s="8"/>
      <c r="DL26" s="8"/>
      <c r="DM26" s="8"/>
      <c r="DN26" s="8"/>
      <c r="DO26" s="8"/>
      <c r="DP26" s="7"/>
      <c r="DQ26" s="7"/>
      <c r="DR26" s="8"/>
      <c r="DS26" s="8"/>
      <c r="DT26" s="8"/>
      <c r="DU26" s="8"/>
      <c r="DV26" s="8"/>
      <c r="DW26" s="7"/>
      <c r="DX26" s="7"/>
      <c r="DY26" s="8"/>
      <c r="DZ26" s="8"/>
      <c r="EA26" s="8"/>
      <c r="EB26" s="8"/>
      <c r="EC26" s="8"/>
      <c r="ED26" s="7"/>
      <c r="EE26" s="7"/>
      <c r="EF26" s="8"/>
      <c r="EG26" s="8"/>
      <c r="EH26" s="8"/>
      <c r="EI26" s="8"/>
      <c r="EJ26" s="8"/>
      <c r="EK26" s="7"/>
      <c r="EL26" s="7"/>
      <c r="EM26" s="8"/>
      <c r="EN26" s="8"/>
      <c r="EO26" s="8"/>
      <c r="EP26" s="8"/>
      <c r="EQ26" s="8"/>
      <c r="ER26" s="10"/>
      <c r="ES26" s="7"/>
      <c r="ET26" s="8"/>
      <c r="EU26" s="8"/>
      <c r="EV26" s="8"/>
      <c r="EW26" s="8"/>
      <c r="EX26" s="8"/>
      <c r="EY26" s="7"/>
      <c r="EZ26" s="7"/>
      <c r="FA26" s="8"/>
      <c r="FB26" s="8"/>
      <c r="FC26" s="8"/>
      <c r="FD26" s="8"/>
      <c r="FE26" s="8"/>
      <c r="FF26" s="7"/>
      <c r="FG26" s="7"/>
      <c r="FH26" s="8"/>
      <c r="FI26" s="8"/>
      <c r="FJ26" s="8"/>
      <c r="FK26" s="8"/>
      <c r="FL26" s="8"/>
      <c r="FM26" s="7"/>
      <c r="FN26" s="7"/>
      <c r="FO26" s="8"/>
      <c r="FP26" s="8"/>
      <c r="FQ26" s="8"/>
      <c r="FR26" s="8"/>
      <c r="FS26" s="8"/>
      <c r="FT26" s="7"/>
      <c r="FU26" s="7"/>
      <c r="FV26" s="8"/>
      <c r="FW26" s="8"/>
      <c r="FX26" s="8"/>
      <c r="FY26" s="8"/>
      <c r="FZ26" s="8"/>
      <c r="GA26" s="7"/>
      <c r="GB26" s="7"/>
      <c r="GC26" s="8"/>
      <c r="GD26" s="8"/>
      <c r="GE26" s="8"/>
      <c r="GF26" s="8"/>
      <c r="GG26" s="8"/>
      <c r="GH26" s="7"/>
      <c r="GI26" s="7"/>
      <c r="GJ26" s="8"/>
      <c r="GK26" s="8"/>
      <c r="GL26" s="8"/>
      <c r="GM26" s="8"/>
      <c r="GN26" s="8"/>
      <c r="GO26" s="7"/>
      <c r="GP26" s="7"/>
      <c r="GQ26" s="8"/>
      <c r="GR26" s="8"/>
      <c r="GS26" s="8"/>
      <c r="GT26" s="8"/>
      <c r="GU26" s="7"/>
      <c r="GV26" s="7"/>
      <c r="GW26" s="7"/>
      <c r="GX26" s="7"/>
      <c r="GY26" s="8"/>
      <c r="GZ26" s="8"/>
      <c r="HA26" s="8"/>
      <c r="HB26" s="8"/>
      <c r="HC26" s="7"/>
      <c r="HD26" s="7"/>
      <c r="HE26" s="8"/>
      <c r="HF26" s="8"/>
      <c r="HG26" s="8"/>
      <c r="HH26" s="8"/>
      <c r="HI26" s="8"/>
      <c r="HJ26" s="7"/>
      <c r="HK26" s="7"/>
      <c r="HL26" s="8"/>
      <c r="HM26" s="8"/>
      <c r="HN26" s="8"/>
      <c r="HO26" s="8"/>
      <c r="HP26" s="8"/>
      <c r="HQ26" s="7"/>
      <c r="HR26" s="7"/>
      <c r="HS26" s="8"/>
      <c r="HT26" s="8"/>
      <c r="HU26" s="8"/>
      <c r="HV26" s="8"/>
      <c r="HW26" s="8"/>
      <c r="HX26" s="7"/>
      <c r="HY26" s="7"/>
      <c r="HZ26" s="8"/>
      <c r="IA26" s="8"/>
      <c r="IB26" s="8"/>
      <c r="IC26" s="8"/>
      <c r="ID26" s="8"/>
      <c r="IE26" s="7"/>
      <c r="IF26" s="7"/>
      <c r="IG26" s="8"/>
      <c r="IH26" s="8"/>
      <c r="II26" s="8"/>
      <c r="IJ26" s="8"/>
      <c r="IK26" s="8"/>
      <c r="IL26" s="7"/>
      <c r="IM26" s="7"/>
      <c r="IN26" s="8"/>
      <c r="IO26" s="8"/>
      <c r="IP26" s="8"/>
      <c r="IQ26" s="8"/>
      <c r="IR26" s="8"/>
      <c r="IS26" s="7"/>
      <c r="IT26" s="7"/>
      <c r="IU26" s="8"/>
      <c r="IV26" s="8"/>
      <c r="IW26" s="8"/>
      <c r="IX26" s="8"/>
      <c r="IY26" s="8"/>
      <c r="IZ26" s="7"/>
      <c r="JA26" s="7"/>
      <c r="JB26" s="8"/>
      <c r="JC26" s="25"/>
      <c r="JD26" s="8"/>
      <c r="JE26" s="8"/>
      <c r="JF26" s="8"/>
      <c r="JG26" s="7"/>
      <c r="JH26" s="7"/>
      <c r="JI26" s="8"/>
      <c r="JJ26" s="8"/>
      <c r="JK26" s="8"/>
      <c r="JL26" s="8"/>
      <c r="JM26" s="8"/>
      <c r="JN26" s="7"/>
      <c r="JO26" s="7"/>
      <c r="JP26" s="8"/>
      <c r="JQ26" s="8"/>
      <c r="JR26" s="8"/>
      <c r="JS26" s="8"/>
      <c r="JT26" s="25"/>
      <c r="JU26" s="7"/>
      <c r="JV26" s="7"/>
      <c r="JW26" s="8"/>
      <c r="JX26" s="8"/>
      <c r="JY26" s="8"/>
      <c r="JZ26" s="8"/>
      <c r="KA26" s="25"/>
      <c r="KB26" s="7"/>
      <c r="KC26" s="7"/>
      <c r="KD26" s="8"/>
      <c r="KE26" s="8"/>
      <c r="KF26" s="8"/>
      <c r="KG26" s="8"/>
      <c r="KH26" s="8"/>
      <c r="KI26" s="7"/>
      <c r="KJ26" s="7"/>
      <c r="KK26" s="8"/>
      <c r="KL26" s="8"/>
      <c r="KM26" s="8"/>
      <c r="KN26" s="8"/>
      <c r="KO26" s="8"/>
      <c r="KP26" s="7"/>
      <c r="KQ26" s="7"/>
      <c r="KR26" s="8"/>
      <c r="KS26" s="8"/>
      <c r="KT26" s="8"/>
      <c r="KU26" s="8"/>
      <c r="KV26" s="8"/>
      <c r="KW26" s="7"/>
      <c r="KX26" s="7"/>
      <c r="KY26" s="8"/>
      <c r="KZ26" s="8"/>
      <c r="LA26" s="8"/>
      <c r="LB26" s="8"/>
      <c r="LC26" s="8"/>
      <c r="LD26" s="7"/>
      <c r="LE26" s="7"/>
      <c r="LF26" s="8"/>
      <c r="LG26" s="8"/>
      <c r="LH26" s="8"/>
      <c r="LI26" s="8"/>
      <c r="LJ26" s="8"/>
      <c r="LK26" s="7"/>
      <c r="LL26" s="7"/>
      <c r="LM26" s="8"/>
      <c r="LN26" s="8"/>
      <c r="LO26" s="8"/>
      <c r="LP26" s="8"/>
      <c r="LQ26" s="8"/>
      <c r="LR26" s="7"/>
      <c r="LS26" s="7"/>
      <c r="LT26" s="8"/>
      <c r="LU26" s="8"/>
      <c r="LV26" s="8"/>
      <c r="LW26" s="8"/>
      <c r="LX26" s="8"/>
      <c r="LY26" s="7"/>
      <c r="LZ26" s="7"/>
      <c r="MA26" s="8"/>
      <c r="MB26" s="8"/>
      <c r="MC26" s="8"/>
      <c r="MD26" s="8"/>
      <c r="ME26" s="8"/>
      <c r="MF26" s="7"/>
      <c r="MG26" s="7"/>
      <c r="MH26" s="8"/>
      <c r="MI26" s="8"/>
      <c r="MJ26" s="8"/>
      <c r="MK26" s="8"/>
      <c r="ML26" s="8"/>
      <c r="MM26" s="7"/>
      <c r="MN26" s="7"/>
      <c r="MO26" s="8"/>
      <c r="MP26" s="8"/>
      <c r="MQ26" s="8"/>
      <c r="MR26" s="8"/>
      <c r="MS26" s="8"/>
      <c r="MT26" s="7"/>
      <c r="MU26" s="7"/>
      <c r="MV26" s="8"/>
      <c r="MW26" s="8"/>
      <c r="MX26" s="8"/>
      <c r="MY26" s="8"/>
      <c r="MZ26" s="8"/>
      <c r="NA26" s="7"/>
      <c r="NB26" s="7"/>
      <c r="NC26" s="8"/>
      <c r="ND26" s="8"/>
      <c r="NE26" s="8"/>
      <c r="NF26" s="8"/>
      <c r="NG26" s="8"/>
      <c r="NH26" s="7"/>
      <c r="NI26" s="7"/>
      <c r="NJ26" s="8"/>
      <c r="NK26" s="8"/>
      <c r="NL26" s="8"/>
    </row>
    <row r="27" spans="1:376" customFormat="1">
      <c r="A27" s="1"/>
      <c r="B27" s="29" t="s">
        <v>55</v>
      </c>
      <c r="C27" s="29" t="s">
        <v>30</v>
      </c>
      <c r="D27" s="29" t="s">
        <v>49</v>
      </c>
      <c r="E27" s="29">
        <v>0</v>
      </c>
      <c r="F27" s="29">
        <v>20</v>
      </c>
      <c r="G27" s="29">
        <v>0</v>
      </c>
      <c r="H27" s="29">
        <f t="shared" si="0"/>
        <v>20</v>
      </c>
      <c r="I27" s="30">
        <f t="shared" si="1"/>
        <v>0</v>
      </c>
      <c r="J27" s="30">
        <f t="shared" si="2"/>
        <v>0</v>
      </c>
      <c r="K27" s="30">
        <f t="shared" si="3"/>
        <v>0</v>
      </c>
      <c r="L27" s="28"/>
      <c r="M27" s="8"/>
      <c r="N27" s="8"/>
      <c r="O27" s="7"/>
      <c r="P27" s="7"/>
      <c r="Q27" s="8"/>
      <c r="R27" s="8"/>
      <c r="S27" s="8"/>
      <c r="T27" s="8"/>
      <c r="U27" s="7"/>
      <c r="V27" s="7"/>
      <c r="W27" s="7"/>
      <c r="X27" s="7"/>
      <c r="Y27" s="8"/>
      <c r="Z27" s="8"/>
      <c r="AA27" s="8"/>
      <c r="AB27" s="8"/>
      <c r="AC27" s="7"/>
      <c r="AD27" s="7"/>
      <c r="AE27" s="7"/>
      <c r="AF27" s="8"/>
      <c r="AG27" s="8"/>
      <c r="AH27" s="8"/>
      <c r="AI27" s="8"/>
      <c r="AJ27" s="7"/>
      <c r="AK27" s="7"/>
      <c r="AL27" s="8"/>
      <c r="AM27" s="8"/>
      <c r="AN27" s="8"/>
      <c r="AO27" s="8"/>
      <c r="AP27" s="7"/>
      <c r="AQ27" s="7"/>
      <c r="AR27" s="7"/>
      <c r="AS27" s="8"/>
      <c r="AT27" s="8"/>
      <c r="AU27" s="8"/>
      <c r="AV27" s="8"/>
      <c r="AW27" s="8"/>
      <c r="AX27" s="7"/>
      <c r="AY27" s="7"/>
      <c r="AZ27" s="8"/>
      <c r="BA27" s="8"/>
      <c r="BB27" s="8"/>
      <c r="BC27" s="8"/>
      <c r="BD27" s="8"/>
      <c r="BE27" s="7"/>
      <c r="BF27" s="7"/>
      <c r="BG27" s="8"/>
      <c r="BH27" s="8"/>
      <c r="BI27" s="8"/>
      <c r="BJ27" s="8"/>
      <c r="BK27" s="8"/>
      <c r="BL27" s="7"/>
      <c r="BM27" s="7"/>
      <c r="BN27" s="8"/>
      <c r="BO27" s="8"/>
      <c r="BP27" s="8"/>
      <c r="BQ27" s="8"/>
      <c r="BR27" s="8"/>
      <c r="BS27" s="7"/>
      <c r="BT27" s="7"/>
      <c r="BU27" s="8"/>
      <c r="BV27" s="8"/>
      <c r="BW27" s="8"/>
      <c r="BX27" s="8"/>
      <c r="BY27" s="8"/>
      <c r="BZ27" s="7"/>
      <c r="CA27" s="7"/>
      <c r="CB27" s="8"/>
      <c r="CC27" s="8"/>
      <c r="CD27" s="8"/>
      <c r="CE27" s="8"/>
      <c r="CF27" s="8"/>
      <c r="CG27" s="7"/>
      <c r="CH27" s="7"/>
      <c r="CI27" s="8"/>
      <c r="CJ27" s="8"/>
      <c r="CK27" s="8"/>
      <c r="CL27" s="8"/>
      <c r="CM27" s="8"/>
      <c r="CN27" s="7"/>
      <c r="CO27" s="7"/>
      <c r="CP27" s="8"/>
      <c r="CQ27" s="8"/>
      <c r="CR27" s="7"/>
      <c r="CS27" s="8"/>
      <c r="CT27" s="8"/>
      <c r="CU27" s="7"/>
      <c r="CV27" s="7"/>
      <c r="CW27" s="8"/>
      <c r="CX27" s="8"/>
      <c r="CY27" s="8"/>
      <c r="CZ27" s="8"/>
      <c r="DA27" s="8"/>
      <c r="DB27" s="7"/>
      <c r="DC27" s="7"/>
      <c r="DD27" s="8"/>
      <c r="DE27" s="8"/>
      <c r="DF27" s="8"/>
      <c r="DG27" s="8"/>
      <c r="DH27" s="8"/>
      <c r="DI27" s="7"/>
      <c r="DJ27" s="7"/>
      <c r="DK27" s="8"/>
      <c r="DL27" s="8"/>
      <c r="DM27" s="8"/>
      <c r="DN27" s="8"/>
      <c r="DO27" s="8"/>
      <c r="DP27" s="7"/>
      <c r="DQ27" s="7"/>
      <c r="DR27" s="8"/>
      <c r="DS27" s="8"/>
      <c r="DT27" s="8"/>
      <c r="DU27" s="8"/>
      <c r="DV27" s="8"/>
      <c r="DW27" s="7"/>
      <c r="DX27" s="7"/>
      <c r="DY27" s="8"/>
      <c r="DZ27" s="8"/>
      <c r="EA27" s="8"/>
      <c r="EB27" s="8"/>
      <c r="EC27" s="8"/>
      <c r="ED27" s="7"/>
      <c r="EE27" s="7"/>
      <c r="EF27" s="8"/>
      <c r="EG27" s="8"/>
      <c r="EH27" s="8"/>
      <c r="EI27" s="8"/>
      <c r="EJ27" s="8"/>
      <c r="EK27" s="7"/>
      <c r="EL27" s="7"/>
      <c r="EM27" s="8"/>
      <c r="EN27" s="8"/>
      <c r="EO27" s="8"/>
      <c r="EP27" s="8"/>
      <c r="EQ27" s="8"/>
      <c r="ER27" s="7"/>
      <c r="ES27" s="7"/>
      <c r="ET27" s="8"/>
      <c r="EU27" s="8"/>
      <c r="EV27" s="8"/>
      <c r="EW27" s="8"/>
      <c r="EX27" s="8"/>
      <c r="EY27" s="7"/>
      <c r="EZ27" s="7"/>
      <c r="FA27" s="8"/>
      <c r="FB27" s="8"/>
      <c r="FC27" s="8"/>
      <c r="FD27" s="8"/>
      <c r="FE27" s="8"/>
      <c r="FF27" s="7"/>
      <c r="FG27" s="7"/>
      <c r="FH27" s="8"/>
      <c r="FI27" s="8"/>
      <c r="FJ27" s="8"/>
      <c r="FK27" s="8"/>
      <c r="FL27" s="8"/>
      <c r="FM27" s="7"/>
      <c r="FN27" s="7"/>
      <c r="FO27" s="8"/>
      <c r="FP27" s="8"/>
      <c r="FQ27" s="8"/>
      <c r="FR27" s="8"/>
      <c r="FS27" s="8"/>
      <c r="FT27" s="7"/>
      <c r="FU27" s="7"/>
      <c r="FV27" s="8"/>
      <c r="FW27" s="8"/>
      <c r="FX27" s="8"/>
      <c r="FY27" s="8"/>
      <c r="FZ27" s="8"/>
      <c r="GA27" s="7"/>
      <c r="GB27" s="7"/>
      <c r="GC27" s="8"/>
      <c r="GD27" s="8"/>
      <c r="GE27" s="8"/>
      <c r="GF27" s="8"/>
      <c r="GG27" s="8"/>
      <c r="GH27" s="7"/>
      <c r="GI27" s="7"/>
      <c r="GJ27" s="8"/>
      <c r="GK27" s="8"/>
      <c r="GL27" s="8"/>
      <c r="GM27" s="8"/>
      <c r="GN27" s="8"/>
      <c r="GO27" s="7"/>
      <c r="GP27" s="7"/>
      <c r="GQ27" s="8"/>
      <c r="GR27" s="8"/>
      <c r="GS27" s="8"/>
      <c r="GT27" s="8"/>
      <c r="GU27" s="7"/>
      <c r="GV27" s="7"/>
      <c r="GW27" s="7"/>
      <c r="GX27" s="7"/>
      <c r="GY27" s="8"/>
      <c r="GZ27" s="8"/>
      <c r="HA27" s="8"/>
      <c r="HB27" s="8"/>
      <c r="HC27" s="7"/>
      <c r="HD27" s="7"/>
      <c r="HE27" s="8"/>
      <c r="HF27" s="8"/>
      <c r="HG27" s="8"/>
      <c r="HH27" s="8"/>
      <c r="HI27" s="8"/>
      <c r="HJ27" s="7"/>
      <c r="HK27" s="7"/>
      <c r="HL27" s="8"/>
      <c r="HM27" s="8"/>
      <c r="HN27" s="8"/>
      <c r="HO27" s="8"/>
      <c r="HP27" s="8"/>
      <c r="HQ27" s="7"/>
      <c r="HR27" s="7"/>
      <c r="HS27" s="8"/>
      <c r="HT27" s="8"/>
      <c r="HU27" s="8"/>
      <c r="HV27" s="8"/>
      <c r="HW27" s="8"/>
      <c r="HX27" s="7"/>
      <c r="HY27" s="7"/>
      <c r="HZ27" s="8"/>
      <c r="IA27" s="8"/>
      <c r="IB27" s="8"/>
      <c r="IC27" s="8"/>
      <c r="ID27" s="8"/>
      <c r="IE27" s="7"/>
      <c r="IF27" s="7"/>
      <c r="IG27" s="8"/>
      <c r="IH27" s="8"/>
      <c r="II27" s="8"/>
      <c r="IJ27" s="8"/>
      <c r="IK27" s="8"/>
      <c r="IL27" s="7"/>
      <c r="IM27" s="7"/>
      <c r="IN27" s="8"/>
      <c r="IO27" s="8"/>
      <c r="IP27" s="8"/>
      <c r="IQ27" s="8"/>
      <c r="IR27" s="8"/>
      <c r="IS27" s="7"/>
      <c r="IT27" s="7"/>
      <c r="IU27" s="8"/>
      <c r="IV27" s="8"/>
      <c r="IW27" s="8"/>
      <c r="IX27" s="8"/>
      <c r="IY27" s="8"/>
      <c r="IZ27" s="7"/>
      <c r="JA27" s="7"/>
      <c r="JB27" s="8"/>
      <c r="JC27" s="25"/>
      <c r="JD27" s="8"/>
      <c r="JE27" s="8"/>
      <c r="JF27" s="8"/>
      <c r="JG27" s="7"/>
      <c r="JH27" s="7"/>
      <c r="JI27" s="8"/>
      <c r="JJ27" s="8"/>
      <c r="JK27" s="8"/>
      <c r="JL27" s="8"/>
      <c r="JM27" s="8"/>
      <c r="JN27" s="7"/>
      <c r="JO27" s="7"/>
      <c r="JP27" s="8"/>
      <c r="JQ27" s="8"/>
      <c r="JR27" s="8"/>
      <c r="JS27" s="8"/>
      <c r="JT27" s="25"/>
      <c r="JU27" s="7"/>
      <c r="JV27" s="7"/>
      <c r="JW27" s="8"/>
      <c r="JX27" s="8"/>
      <c r="JY27" s="8"/>
      <c r="JZ27" s="8"/>
      <c r="KA27" s="25"/>
      <c r="KB27" s="7"/>
      <c r="KC27" s="7"/>
      <c r="KD27" s="8"/>
      <c r="KE27" s="8"/>
      <c r="KF27" s="8"/>
      <c r="KG27" s="8"/>
      <c r="KH27" s="8"/>
      <c r="KI27" s="7"/>
      <c r="KJ27" s="7"/>
      <c r="KK27" s="8"/>
      <c r="KL27" s="8"/>
      <c r="KM27" s="8"/>
      <c r="KN27" s="8"/>
      <c r="KO27" s="8"/>
      <c r="KP27" s="7"/>
      <c r="KQ27" s="7"/>
      <c r="KR27" s="8"/>
      <c r="KS27" s="8"/>
      <c r="KT27" s="8"/>
      <c r="KU27" s="8"/>
      <c r="KV27" s="8"/>
      <c r="KW27" s="7"/>
      <c r="KX27" s="7"/>
      <c r="KY27" s="8"/>
      <c r="KZ27" s="8"/>
      <c r="LA27" s="8"/>
      <c r="LB27" s="8"/>
      <c r="LC27" s="8"/>
      <c r="LD27" s="7"/>
      <c r="LE27" s="7"/>
      <c r="LF27" s="8"/>
      <c r="LG27" s="8"/>
      <c r="LH27" s="8"/>
      <c r="LI27" s="8"/>
      <c r="LJ27" s="8"/>
      <c r="LK27" s="7"/>
      <c r="LL27" s="7"/>
      <c r="LM27" s="8"/>
      <c r="LN27" s="8"/>
      <c r="LO27" s="8"/>
      <c r="LP27" s="8"/>
      <c r="LQ27" s="8"/>
      <c r="LR27" s="7"/>
      <c r="LS27" s="7"/>
      <c r="LT27" s="8"/>
      <c r="LU27" s="8"/>
      <c r="LV27" s="8"/>
      <c r="LW27" s="8"/>
      <c r="LX27" s="8"/>
      <c r="LY27" s="7"/>
      <c r="LZ27" s="7"/>
      <c r="MA27" s="8"/>
      <c r="MB27" s="8"/>
      <c r="MC27" s="8"/>
      <c r="MD27" s="8"/>
      <c r="ME27" s="8"/>
      <c r="MF27" s="7"/>
      <c r="MG27" s="7"/>
      <c r="MH27" s="8"/>
      <c r="MI27" s="8"/>
      <c r="MJ27" s="8"/>
      <c r="MK27" s="8"/>
      <c r="ML27" s="8"/>
      <c r="MM27" s="7"/>
      <c r="MN27" s="7"/>
      <c r="MO27" s="8"/>
      <c r="MP27" s="8"/>
      <c r="MQ27" s="8"/>
      <c r="MR27" s="8"/>
      <c r="MS27" s="8"/>
      <c r="MT27" s="7"/>
      <c r="MU27" s="7"/>
      <c r="MV27" s="8"/>
      <c r="MW27" s="8"/>
      <c r="MX27" s="8"/>
      <c r="MY27" s="8"/>
      <c r="MZ27" s="8"/>
      <c r="NA27" s="7"/>
      <c r="NB27" s="7"/>
      <c r="NC27" s="8"/>
      <c r="ND27" s="8"/>
      <c r="NE27" s="8"/>
      <c r="NF27" s="8"/>
      <c r="NG27" s="8"/>
      <c r="NH27" s="7"/>
      <c r="NI27" s="7"/>
      <c r="NJ27" s="8"/>
      <c r="NK27" s="8"/>
      <c r="NL27" s="8"/>
    </row>
    <row r="28" spans="1:376" customFormat="1">
      <c r="A28" s="1"/>
      <c r="B28" s="29" t="s">
        <v>56</v>
      </c>
      <c r="C28" s="29" t="s">
        <v>30</v>
      </c>
      <c r="D28" s="29" t="s">
        <v>31</v>
      </c>
      <c r="E28" s="29">
        <v>0</v>
      </c>
      <c r="F28" s="29">
        <v>0</v>
      </c>
      <c r="G28" s="29">
        <v>0</v>
      </c>
      <c r="H28" s="29">
        <f t="shared" si="0"/>
        <v>0</v>
      </c>
      <c r="I28" s="30">
        <f t="shared" si="1"/>
        <v>0</v>
      </c>
      <c r="J28" s="30">
        <f t="shared" si="2"/>
        <v>0</v>
      </c>
      <c r="K28" s="30">
        <f t="shared" si="3"/>
        <v>0</v>
      </c>
      <c r="L28" s="28"/>
      <c r="M28" s="8"/>
      <c r="N28" s="8"/>
      <c r="O28" s="7"/>
      <c r="P28" s="7"/>
      <c r="Q28" s="8"/>
      <c r="R28" s="8"/>
      <c r="S28" s="8"/>
      <c r="T28" s="8"/>
      <c r="U28" s="7"/>
      <c r="V28" s="7"/>
      <c r="W28" s="7"/>
      <c r="X28" s="7"/>
      <c r="Y28" s="8"/>
      <c r="Z28" s="8"/>
      <c r="AA28" s="8"/>
      <c r="AB28" s="8"/>
      <c r="AC28" s="7"/>
      <c r="AD28" s="7"/>
      <c r="AE28" s="7"/>
      <c r="AF28" s="8"/>
      <c r="AG28" s="8"/>
      <c r="AH28" s="8"/>
      <c r="AI28" s="8"/>
      <c r="AJ28" s="7"/>
      <c r="AK28" s="7"/>
      <c r="AL28" s="8"/>
      <c r="AM28" s="8"/>
      <c r="AN28" s="8"/>
      <c r="AO28" s="8"/>
      <c r="AP28" s="7"/>
      <c r="AQ28" s="7"/>
      <c r="AR28" s="7"/>
      <c r="AS28" s="8"/>
      <c r="AT28" s="8"/>
      <c r="AU28" s="8"/>
      <c r="AV28" s="8"/>
      <c r="AW28" s="8"/>
      <c r="AX28" s="7"/>
      <c r="AY28" s="7"/>
      <c r="AZ28" s="8"/>
      <c r="BA28" s="8"/>
      <c r="BB28" s="8"/>
      <c r="BC28" s="8"/>
      <c r="BD28" s="8"/>
      <c r="BE28" s="7"/>
      <c r="BF28" s="7"/>
      <c r="BG28" s="8"/>
      <c r="BH28" s="8"/>
      <c r="BI28" s="8"/>
      <c r="BJ28" s="8"/>
      <c r="BK28" s="8"/>
      <c r="BL28" s="7"/>
      <c r="BM28" s="7"/>
      <c r="BN28" s="8"/>
      <c r="BO28" s="8"/>
      <c r="BP28" s="8"/>
      <c r="BQ28" s="8"/>
      <c r="BR28" s="8"/>
      <c r="BS28" s="7"/>
      <c r="BT28" s="7"/>
      <c r="BU28" s="8"/>
      <c r="BV28" s="8"/>
      <c r="BW28" s="8"/>
      <c r="BX28" s="8"/>
      <c r="BY28" s="8"/>
      <c r="BZ28" s="7"/>
      <c r="CA28" s="7"/>
      <c r="CB28" s="8"/>
      <c r="CC28" s="8"/>
      <c r="CD28" s="8"/>
      <c r="CE28" s="8"/>
      <c r="CF28" s="8"/>
      <c r="CG28" s="7"/>
      <c r="CH28" s="7"/>
      <c r="CI28" s="8"/>
      <c r="CJ28" s="8"/>
      <c r="CK28" s="8"/>
      <c r="CL28" s="8"/>
      <c r="CM28" s="8"/>
      <c r="CN28" s="7"/>
      <c r="CO28" s="7"/>
      <c r="CP28" s="8"/>
      <c r="CQ28" s="8"/>
      <c r="CR28" s="7"/>
      <c r="CS28" s="8"/>
      <c r="CT28" s="8"/>
      <c r="CU28" s="7"/>
      <c r="CV28" s="7"/>
      <c r="CW28" s="8"/>
      <c r="CX28" s="8"/>
      <c r="CY28" s="8"/>
      <c r="CZ28" s="8"/>
      <c r="DA28" s="8"/>
      <c r="DB28" s="7"/>
      <c r="DC28" s="7"/>
      <c r="DD28" s="8"/>
      <c r="DE28" s="8"/>
      <c r="DF28" s="8"/>
      <c r="DG28" s="8"/>
      <c r="DH28" s="8"/>
      <c r="DI28" s="7"/>
      <c r="DJ28" s="7"/>
      <c r="DK28" s="8"/>
      <c r="DL28" s="8"/>
      <c r="DM28" s="8"/>
      <c r="DN28" s="8"/>
      <c r="DO28" s="8"/>
      <c r="DP28" s="7"/>
      <c r="DQ28" s="7"/>
      <c r="DR28" s="8"/>
      <c r="DS28" s="8"/>
      <c r="DT28" s="8"/>
      <c r="DU28" s="8"/>
      <c r="DV28" s="8"/>
      <c r="DW28" s="7"/>
      <c r="DX28" s="7"/>
      <c r="DY28" s="8"/>
      <c r="DZ28" s="8"/>
      <c r="EA28" s="8"/>
      <c r="EB28" s="8"/>
      <c r="EC28" s="8"/>
      <c r="ED28" s="7"/>
      <c r="EE28" s="7"/>
      <c r="EF28" s="8"/>
      <c r="EG28" s="8"/>
      <c r="EH28" s="8"/>
      <c r="EI28" s="8"/>
      <c r="EJ28" s="8"/>
      <c r="EK28" s="7"/>
      <c r="EL28" s="7"/>
      <c r="EM28" s="8"/>
      <c r="EN28" s="8"/>
      <c r="EO28" s="8"/>
      <c r="EP28" s="8"/>
      <c r="EQ28" s="8"/>
      <c r="ER28" s="7"/>
      <c r="ES28" s="7"/>
      <c r="ET28" s="8"/>
      <c r="EU28" s="8"/>
      <c r="EV28" s="8"/>
      <c r="EW28" s="8"/>
      <c r="EX28" s="8"/>
      <c r="EY28" s="7"/>
      <c r="EZ28" s="7"/>
      <c r="FA28" s="8"/>
      <c r="FB28" s="8"/>
      <c r="FC28" s="8"/>
      <c r="FD28" s="8"/>
      <c r="FE28" s="8"/>
      <c r="FF28" s="7"/>
      <c r="FG28" s="7"/>
      <c r="FH28" s="8"/>
      <c r="FI28" s="8"/>
      <c r="FJ28" s="8"/>
      <c r="FK28" s="8"/>
      <c r="FL28" s="8"/>
      <c r="FM28" s="7"/>
      <c r="FN28" s="7"/>
      <c r="FO28" s="8"/>
      <c r="FP28" s="8"/>
      <c r="FQ28" s="8"/>
      <c r="FR28" s="8"/>
      <c r="FS28" s="8"/>
      <c r="FT28" s="7"/>
      <c r="FU28" s="7"/>
      <c r="FV28" s="8"/>
      <c r="FW28" s="8"/>
      <c r="FX28" s="8"/>
      <c r="FY28" s="8"/>
      <c r="FZ28" s="8"/>
      <c r="GA28" s="7"/>
      <c r="GB28" s="7"/>
      <c r="GC28" s="8"/>
      <c r="GD28" s="8"/>
      <c r="GE28" s="8"/>
      <c r="GF28" s="8"/>
      <c r="GG28" s="8"/>
      <c r="GH28" s="7"/>
      <c r="GI28" s="7"/>
      <c r="GJ28" s="8"/>
      <c r="GK28" s="8"/>
      <c r="GL28" s="8"/>
      <c r="GM28" s="8"/>
      <c r="GN28" s="8"/>
      <c r="GO28" s="7"/>
      <c r="GP28" s="7"/>
      <c r="GQ28" s="8"/>
      <c r="GR28" s="8"/>
      <c r="GS28" s="8"/>
      <c r="GT28" s="8"/>
      <c r="GU28" s="7"/>
      <c r="GV28" s="7"/>
      <c r="GW28" s="7"/>
      <c r="GX28" s="7"/>
      <c r="GY28" s="8"/>
      <c r="GZ28" s="8"/>
      <c r="HA28" s="8"/>
      <c r="HB28" s="8"/>
      <c r="HC28" s="7"/>
      <c r="HD28" s="7"/>
      <c r="HE28" s="8"/>
      <c r="HF28" s="8"/>
      <c r="HG28" s="8"/>
      <c r="HH28" s="8"/>
      <c r="HI28" s="8"/>
      <c r="HJ28" s="7"/>
      <c r="HK28" s="7"/>
      <c r="HL28" s="8"/>
      <c r="HM28" s="8"/>
      <c r="HN28" s="8"/>
      <c r="HO28" s="8"/>
      <c r="HP28" s="8"/>
      <c r="HQ28" s="7"/>
      <c r="HR28" s="7"/>
      <c r="HS28" s="8"/>
      <c r="HT28" s="8"/>
      <c r="HU28" s="8"/>
      <c r="HV28" s="8"/>
      <c r="HW28" s="8"/>
      <c r="HX28" s="7"/>
      <c r="HY28" s="7"/>
      <c r="HZ28" s="8"/>
      <c r="IA28" s="8"/>
      <c r="IB28" s="8"/>
      <c r="IC28" s="8"/>
      <c r="ID28" s="8"/>
      <c r="IE28" s="7"/>
      <c r="IF28" s="7"/>
      <c r="IG28" s="8"/>
      <c r="IH28" s="8"/>
      <c r="II28" s="8"/>
      <c r="IJ28" s="8"/>
      <c r="IK28" s="8"/>
      <c r="IL28" s="7"/>
      <c r="IM28" s="7"/>
      <c r="IN28" s="8"/>
      <c r="IO28" s="8"/>
      <c r="IP28" s="8"/>
      <c r="IQ28" s="8"/>
      <c r="IR28" s="8"/>
      <c r="IS28" s="7"/>
      <c r="IT28" s="7"/>
      <c r="IU28" s="8"/>
      <c r="IV28" s="8"/>
      <c r="IW28" s="8"/>
      <c r="IX28" s="8"/>
      <c r="IY28" s="8"/>
      <c r="IZ28" s="7"/>
      <c r="JA28" s="7"/>
      <c r="JB28" s="8"/>
      <c r="JC28" s="25"/>
      <c r="JD28" s="8"/>
      <c r="JE28" s="8"/>
      <c r="JF28" s="8"/>
      <c r="JG28" s="7"/>
      <c r="JH28" s="7"/>
      <c r="JI28" s="8"/>
      <c r="JJ28" s="8"/>
      <c r="JK28" s="8"/>
      <c r="JL28" s="8"/>
      <c r="JM28" s="8"/>
      <c r="JN28" s="7"/>
      <c r="JO28" s="7"/>
      <c r="JP28" s="8"/>
      <c r="JQ28" s="8"/>
      <c r="JR28" s="8"/>
      <c r="JS28" s="8"/>
      <c r="JT28" s="25"/>
      <c r="JU28" s="7"/>
      <c r="JV28" s="7"/>
      <c r="JW28" s="8"/>
      <c r="JX28" s="8"/>
      <c r="JY28" s="8"/>
      <c r="JZ28" s="8"/>
      <c r="KA28" s="25"/>
      <c r="KB28" s="7"/>
      <c r="KC28" s="7"/>
      <c r="KD28" s="8"/>
      <c r="KE28" s="8"/>
      <c r="KF28" s="8"/>
      <c r="KG28" s="8"/>
      <c r="KH28" s="8"/>
      <c r="KI28" s="7"/>
      <c r="KJ28" s="7"/>
      <c r="KK28" s="8"/>
      <c r="KL28" s="8"/>
      <c r="KM28" s="8"/>
      <c r="KN28" s="8"/>
      <c r="KO28" s="8"/>
      <c r="KP28" s="7"/>
      <c r="KQ28" s="7"/>
      <c r="KR28" s="8"/>
      <c r="KS28" s="8"/>
      <c r="KT28" s="8"/>
      <c r="KU28" s="8"/>
      <c r="KV28" s="8"/>
      <c r="KW28" s="7"/>
      <c r="KX28" s="7"/>
      <c r="KY28" s="8"/>
      <c r="KZ28" s="8"/>
      <c r="LA28" s="8"/>
      <c r="LB28" s="8"/>
      <c r="LC28" s="8"/>
      <c r="LD28" s="7"/>
      <c r="LE28" s="7"/>
      <c r="LF28" s="8"/>
      <c r="LG28" s="8"/>
      <c r="LH28" s="8"/>
      <c r="LI28" s="8"/>
      <c r="LJ28" s="8"/>
      <c r="LK28" s="7"/>
      <c r="LL28" s="7"/>
      <c r="LM28" s="8"/>
      <c r="LN28" s="8"/>
      <c r="LO28" s="8"/>
      <c r="LP28" s="8"/>
      <c r="LQ28" s="8"/>
      <c r="LR28" s="7"/>
      <c r="LS28" s="7"/>
      <c r="LT28" s="8"/>
      <c r="LU28" s="8"/>
      <c r="LV28" s="8"/>
      <c r="LW28" s="8"/>
      <c r="LX28" s="8"/>
      <c r="LY28" s="7"/>
      <c r="LZ28" s="7"/>
      <c r="MA28" s="8"/>
      <c r="MB28" s="8"/>
      <c r="MC28" s="8"/>
      <c r="MD28" s="8"/>
      <c r="ME28" s="8"/>
      <c r="MF28" s="7"/>
      <c r="MG28" s="7"/>
      <c r="MH28" s="8"/>
      <c r="MI28" s="8"/>
      <c r="MJ28" s="8"/>
      <c r="MK28" s="8"/>
      <c r="ML28" s="8"/>
      <c r="MM28" s="7"/>
      <c r="MN28" s="7"/>
      <c r="MO28" s="8"/>
      <c r="MP28" s="8"/>
      <c r="MQ28" s="8"/>
      <c r="MR28" s="8"/>
      <c r="MS28" s="8"/>
      <c r="MT28" s="7"/>
      <c r="MU28" s="7"/>
      <c r="MV28" s="8"/>
      <c r="MW28" s="8"/>
      <c r="MX28" s="8"/>
      <c r="MY28" s="8"/>
      <c r="MZ28" s="8"/>
      <c r="NA28" s="7"/>
      <c r="NB28" s="7"/>
      <c r="NC28" s="8"/>
      <c r="ND28" s="8"/>
      <c r="NE28" s="8"/>
      <c r="NF28" s="8"/>
      <c r="NG28" s="8"/>
      <c r="NH28" s="7"/>
      <c r="NI28" s="7"/>
      <c r="NJ28" s="8"/>
      <c r="NK28" s="8"/>
      <c r="NL28" s="8"/>
    </row>
    <row r="29" spans="1:376" customFormat="1">
      <c r="A29" s="1"/>
      <c r="B29" s="29" t="s">
        <v>57</v>
      </c>
      <c r="C29" s="29" t="s">
        <v>36</v>
      </c>
      <c r="D29" s="29" t="s">
        <v>58</v>
      </c>
      <c r="E29" s="29">
        <v>0</v>
      </c>
      <c r="F29" s="29">
        <v>7</v>
      </c>
      <c r="G29" s="29">
        <v>0</v>
      </c>
      <c r="H29" s="29">
        <f t="shared" si="0"/>
        <v>7</v>
      </c>
      <c r="I29" s="30">
        <f t="shared" si="1"/>
        <v>0</v>
      </c>
      <c r="J29" s="30">
        <f t="shared" si="2"/>
        <v>0</v>
      </c>
      <c r="K29" s="30">
        <f t="shared" si="3"/>
        <v>0</v>
      </c>
      <c r="L29" s="28"/>
      <c r="M29" s="8"/>
      <c r="N29" s="8"/>
      <c r="O29" s="7"/>
      <c r="P29" s="7"/>
      <c r="Q29" s="8"/>
      <c r="R29" s="8"/>
      <c r="S29" s="8"/>
      <c r="T29" s="8"/>
      <c r="U29" s="7"/>
      <c r="V29" s="7"/>
      <c r="W29" s="7"/>
      <c r="X29" s="7"/>
      <c r="Y29" s="8"/>
      <c r="Z29" s="8"/>
      <c r="AA29" s="8"/>
      <c r="AB29" s="8"/>
      <c r="AC29" s="7"/>
      <c r="AD29" s="7"/>
      <c r="AE29" s="7"/>
      <c r="AF29" s="8"/>
      <c r="AG29" s="8"/>
      <c r="AH29" s="8"/>
      <c r="AI29" s="8"/>
      <c r="AJ29" s="7"/>
      <c r="AK29" s="7"/>
      <c r="AL29" s="8"/>
      <c r="AM29" s="8"/>
      <c r="AN29" s="8"/>
      <c r="AO29" s="8"/>
      <c r="AP29" s="7"/>
      <c r="AQ29" s="7"/>
      <c r="AR29" s="7"/>
      <c r="AS29" s="8"/>
      <c r="AT29" s="8"/>
      <c r="AU29" s="8"/>
      <c r="AV29" s="8"/>
      <c r="AW29" s="8"/>
      <c r="AX29" s="7"/>
      <c r="AY29" s="7"/>
      <c r="AZ29" s="8"/>
      <c r="BA29" s="8"/>
      <c r="BB29" s="8"/>
      <c r="BC29" s="8"/>
      <c r="BD29" s="8"/>
      <c r="BE29" s="7"/>
      <c r="BF29" s="7"/>
      <c r="BG29" s="8"/>
      <c r="BH29" s="8"/>
      <c r="BI29" s="8"/>
      <c r="BJ29" s="8"/>
      <c r="BK29" s="8"/>
      <c r="BL29" s="7"/>
      <c r="BM29" s="7"/>
      <c r="BN29" s="8"/>
      <c r="BO29" s="8"/>
      <c r="BP29" s="8"/>
      <c r="BQ29" s="8"/>
      <c r="BR29" s="8"/>
      <c r="BS29" s="7"/>
      <c r="BT29" s="7"/>
      <c r="BU29" s="8"/>
      <c r="BV29" s="8"/>
      <c r="BW29" s="8"/>
      <c r="BX29" s="8"/>
      <c r="BY29" s="8"/>
      <c r="BZ29" s="7"/>
      <c r="CA29" s="7"/>
      <c r="CB29" s="8"/>
      <c r="CC29" s="8"/>
      <c r="CD29" s="8"/>
      <c r="CE29" s="8"/>
      <c r="CF29" s="8"/>
      <c r="CG29" s="7"/>
      <c r="CH29" s="7"/>
      <c r="CI29" s="8"/>
      <c r="CJ29" s="8"/>
      <c r="CK29" s="8"/>
      <c r="CL29" s="8"/>
      <c r="CM29" s="8"/>
      <c r="CN29" s="7"/>
      <c r="CO29" s="7"/>
      <c r="CP29" s="8"/>
      <c r="CQ29" s="8"/>
      <c r="CR29" s="7"/>
      <c r="CS29" s="8"/>
      <c r="CT29" s="8"/>
      <c r="CU29" s="7"/>
      <c r="CV29" s="7"/>
      <c r="CW29" s="8"/>
      <c r="CX29" s="8"/>
      <c r="CY29" s="8"/>
      <c r="CZ29" s="8"/>
      <c r="DA29" s="8"/>
      <c r="DB29" s="7"/>
      <c r="DC29" s="7"/>
      <c r="DD29" s="8"/>
      <c r="DE29" s="8"/>
      <c r="DF29" s="8"/>
      <c r="DG29" s="8"/>
      <c r="DH29" s="8"/>
      <c r="DI29" s="7"/>
      <c r="DJ29" s="7"/>
      <c r="DK29" s="8"/>
      <c r="DL29" s="8"/>
      <c r="DM29" s="8"/>
      <c r="DN29" s="8"/>
      <c r="DO29" s="8"/>
      <c r="DP29" s="7"/>
      <c r="DQ29" s="7"/>
      <c r="DR29" s="8"/>
      <c r="DS29" s="8"/>
      <c r="DT29" s="8"/>
      <c r="DU29" s="8"/>
      <c r="DV29" s="8"/>
      <c r="DW29" s="7"/>
      <c r="DX29" s="7"/>
      <c r="DY29" s="8"/>
      <c r="DZ29" s="8"/>
      <c r="EA29" s="8"/>
      <c r="EB29" s="8"/>
      <c r="EC29" s="8"/>
      <c r="ED29" s="7"/>
      <c r="EE29" s="7"/>
      <c r="EF29" s="8"/>
      <c r="EG29" s="8"/>
      <c r="EH29" s="8"/>
      <c r="EI29" s="8"/>
      <c r="EJ29" s="8"/>
      <c r="EK29" s="7"/>
      <c r="EL29" s="7"/>
      <c r="EM29" s="8"/>
      <c r="EN29" s="8"/>
      <c r="EO29" s="8"/>
      <c r="EP29" s="8"/>
      <c r="EQ29" s="8"/>
      <c r="ER29" s="7"/>
      <c r="ES29" s="7"/>
      <c r="ET29" s="8"/>
      <c r="EU29" s="8"/>
      <c r="EV29" s="8"/>
      <c r="EW29" s="8"/>
      <c r="EX29" s="8"/>
      <c r="EY29" s="7"/>
      <c r="EZ29" s="7"/>
      <c r="FA29" s="8"/>
      <c r="FB29" s="8"/>
      <c r="FC29" s="8"/>
      <c r="FD29" s="8"/>
      <c r="FE29" s="8"/>
      <c r="FF29" s="7"/>
      <c r="FG29" s="7"/>
      <c r="FH29" s="8"/>
      <c r="FI29" s="8"/>
      <c r="FJ29" s="8"/>
      <c r="FK29" s="8"/>
      <c r="FL29" s="8"/>
      <c r="FM29" s="7"/>
      <c r="FN29" s="7"/>
      <c r="FO29" s="8"/>
      <c r="FP29" s="8"/>
      <c r="FQ29" s="8"/>
      <c r="FR29" s="8"/>
      <c r="FS29" s="8"/>
      <c r="FT29" s="7"/>
      <c r="FU29" s="7"/>
      <c r="FV29" s="8"/>
      <c r="FW29" s="8"/>
      <c r="FX29" s="8"/>
      <c r="FY29" s="8"/>
      <c r="FZ29" s="8"/>
      <c r="GA29" s="7"/>
      <c r="GB29" s="7"/>
      <c r="GC29" s="8"/>
      <c r="GD29" s="8"/>
      <c r="GE29" s="8"/>
      <c r="GF29" s="8"/>
      <c r="GG29" s="8"/>
      <c r="GH29" s="7"/>
      <c r="GI29" s="7"/>
      <c r="GJ29" s="8"/>
      <c r="GK29" s="8"/>
      <c r="GL29" s="8"/>
      <c r="GM29" s="8"/>
      <c r="GN29" s="8"/>
      <c r="GO29" s="7"/>
      <c r="GP29" s="7"/>
      <c r="GQ29" s="8"/>
      <c r="GR29" s="8"/>
      <c r="GS29" s="8"/>
      <c r="GT29" s="8"/>
      <c r="GU29" s="7"/>
      <c r="GV29" s="7"/>
      <c r="GW29" s="7"/>
      <c r="GX29" s="7"/>
      <c r="GY29" s="8"/>
      <c r="GZ29" s="8"/>
      <c r="HA29" s="8"/>
      <c r="HB29" s="8"/>
      <c r="HC29" s="7"/>
      <c r="HD29" s="7"/>
      <c r="HE29" s="8"/>
      <c r="HF29" s="8"/>
      <c r="HG29" s="8"/>
      <c r="HH29" s="8"/>
      <c r="HI29" s="8"/>
      <c r="HJ29" s="7"/>
      <c r="HK29" s="7"/>
      <c r="HL29" s="8"/>
      <c r="HM29" s="8"/>
      <c r="HN29" s="8"/>
      <c r="HO29" s="8"/>
      <c r="HP29" s="8"/>
      <c r="HQ29" s="7"/>
      <c r="HR29" s="7"/>
      <c r="HS29" s="8"/>
      <c r="HT29" s="8"/>
      <c r="HU29" s="8"/>
      <c r="HV29" s="8"/>
      <c r="HW29" s="8"/>
      <c r="HX29" s="7"/>
      <c r="HY29" s="7"/>
      <c r="HZ29" s="8"/>
      <c r="IA29" s="8"/>
      <c r="IB29" s="8"/>
      <c r="IC29" s="8"/>
      <c r="ID29" s="8"/>
      <c r="IE29" s="7"/>
      <c r="IF29" s="7"/>
      <c r="IG29" s="8"/>
      <c r="IH29" s="8"/>
      <c r="II29" s="8"/>
      <c r="IJ29" s="8"/>
      <c r="IK29" s="8"/>
      <c r="IL29" s="7"/>
      <c r="IM29" s="7"/>
      <c r="IN29" s="8"/>
      <c r="IO29" s="8"/>
      <c r="IP29" s="8"/>
      <c r="IQ29" s="8"/>
      <c r="IR29" s="8"/>
      <c r="IS29" s="7"/>
      <c r="IT29" s="7"/>
      <c r="IU29" s="8"/>
      <c r="IV29" s="8"/>
      <c r="IW29" s="8"/>
      <c r="IX29" s="8"/>
      <c r="IY29" s="8"/>
      <c r="IZ29" s="7"/>
      <c r="JA29" s="7"/>
      <c r="JB29" s="8"/>
      <c r="JC29" s="25"/>
      <c r="JD29" s="8"/>
      <c r="JE29" s="8"/>
      <c r="JF29" s="8"/>
      <c r="JG29" s="7"/>
      <c r="JH29" s="7"/>
      <c r="JI29" s="8"/>
      <c r="JJ29" s="8"/>
      <c r="JK29" s="8"/>
      <c r="JL29" s="8"/>
      <c r="JM29" s="8"/>
      <c r="JN29" s="7"/>
      <c r="JO29" s="7"/>
      <c r="JP29" s="8"/>
      <c r="JQ29" s="8"/>
      <c r="JR29" s="8"/>
      <c r="JS29" s="26"/>
      <c r="JT29" s="25"/>
      <c r="JU29" s="7"/>
      <c r="JV29" s="7"/>
      <c r="JW29" s="8"/>
      <c r="JX29" s="8"/>
      <c r="JY29" s="8"/>
      <c r="JZ29" s="26"/>
      <c r="KA29" s="25"/>
      <c r="KB29" s="7"/>
      <c r="KC29" s="7"/>
      <c r="KD29" s="8"/>
      <c r="KE29" s="8"/>
      <c r="KF29" s="26"/>
      <c r="KG29" s="8"/>
      <c r="KH29" s="8"/>
      <c r="KI29" s="7"/>
      <c r="KJ29" s="7"/>
      <c r="KK29" s="8"/>
      <c r="KL29" s="8"/>
      <c r="KM29" s="8"/>
      <c r="KN29" s="8"/>
      <c r="KO29" s="8"/>
      <c r="KP29" s="7"/>
      <c r="KQ29" s="7"/>
      <c r="KR29" s="8"/>
      <c r="KS29" s="8"/>
      <c r="KT29" s="8"/>
      <c r="KU29" s="8"/>
      <c r="KV29" s="26"/>
      <c r="KW29" s="7"/>
      <c r="KX29" s="7"/>
      <c r="KY29" s="8"/>
      <c r="KZ29" s="8"/>
      <c r="LA29" s="8"/>
      <c r="LB29" s="8"/>
      <c r="LC29" s="8"/>
      <c r="LD29" s="7"/>
      <c r="LE29" s="7"/>
      <c r="LF29" s="8"/>
      <c r="LG29" s="8"/>
      <c r="LH29" s="8"/>
      <c r="LI29" s="8"/>
      <c r="LJ29" s="8"/>
      <c r="LK29" s="7"/>
      <c r="LL29" s="7"/>
      <c r="LM29" s="8"/>
      <c r="LN29" s="8"/>
      <c r="LO29" s="8"/>
      <c r="LP29" s="8"/>
      <c r="LQ29" s="8"/>
      <c r="LR29" s="7"/>
      <c r="LS29" s="7"/>
      <c r="LT29" s="8"/>
      <c r="LU29" s="8"/>
      <c r="LV29" s="8"/>
      <c r="LW29" s="8"/>
      <c r="LX29" s="8"/>
      <c r="LY29" s="7"/>
      <c r="LZ29" s="7"/>
      <c r="MA29" s="8"/>
      <c r="MB29" s="8"/>
      <c r="MC29" s="8"/>
      <c r="MD29" s="8"/>
      <c r="ME29" s="8"/>
      <c r="MF29" s="7"/>
      <c r="MG29" s="7"/>
      <c r="MH29" s="8"/>
      <c r="MI29" s="8"/>
      <c r="MJ29" s="8"/>
      <c r="MK29" s="8"/>
      <c r="ML29" s="8"/>
      <c r="MM29" s="7"/>
      <c r="MN29" s="7"/>
      <c r="MO29" s="8"/>
      <c r="MP29" s="8"/>
      <c r="MQ29" s="8"/>
      <c r="MR29" s="8"/>
      <c r="MS29" s="8"/>
      <c r="MT29" s="7"/>
      <c r="MU29" s="7"/>
      <c r="MV29" s="8"/>
      <c r="MW29" s="8"/>
      <c r="MX29" s="8"/>
      <c r="MY29" s="8"/>
      <c r="MZ29" s="26"/>
      <c r="NA29" s="7"/>
      <c r="NB29" s="7"/>
      <c r="NC29" s="8"/>
      <c r="ND29" s="8"/>
      <c r="NE29" s="8"/>
      <c r="NF29" s="8"/>
      <c r="NG29" s="8"/>
      <c r="NH29" s="7"/>
      <c r="NI29" s="7"/>
      <c r="NJ29" s="8"/>
      <c r="NK29" s="8"/>
      <c r="NL29" s="8"/>
    </row>
    <row r="30" spans="1:376" customFormat="1">
      <c r="A30" s="1"/>
      <c r="B30" s="29" t="s">
        <v>59</v>
      </c>
      <c r="C30" s="29" t="s">
        <v>30</v>
      </c>
      <c r="D30" s="29" t="s">
        <v>60</v>
      </c>
      <c r="E30" s="29">
        <v>0</v>
      </c>
      <c r="F30" s="29">
        <v>13</v>
      </c>
      <c r="G30" s="29">
        <v>0</v>
      </c>
      <c r="H30" s="29">
        <f t="shared" si="0"/>
        <v>13</v>
      </c>
      <c r="I30" s="30">
        <f t="shared" si="1"/>
        <v>0</v>
      </c>
      <c r="J30" s="30">
        <f t="shared" si="2"/>
        <v>0</v>
      </c>
      <c r="K30" s="30">
        <f t="shared" si="3"/>
        <v>0</v>
      </c>
      <c r="L30" s="28"/>
      <c r="M30" s="8"/>
      <c r="N30" s="8"/>
      <c r="O30" s="7"/>
      <c r="P30" s="7"/>
      <c r="Q30" s="8"/>
      <c r="R30" s="8"/>
      <c r="S30" s="8"/>
      <c r="T30" s="8"/>
      <c r="U30" s="7"/>
      <c r="V30" s="7"/>
      <c r="W30" s="7"/>
      <c r="X30" s="7"/>
      <c r="Y30" s="8"/>
      <c r="Z30" s="8"/>
      <c r="AA30" s="8"/>
      <c r="AB30" s="8"/>
      <c r="AC30" s="7"/>
      <c r="AD30" s="7"/>
      <c r="AE30" s="7"/>
      <c r="AF30" s="8"/>
      <c r="AG30" s="8"/>
      <c r="AH30" s="8"/>
      <c r="AI30" s="8"/>
      <c r="AJ30" s="7"/>
      <c r="AK30" s="7"/>
      <c r="AL30" s="8"/>
      <c r="AM30" s="8"/>
      <c r="AN30" s="8"/>
      <c r="AO30" s="8"/>
      <c r="AP30" s="7"/>
      <c r="AQ30" s="7"/>
      <c r="AR30" s="7"/>
      <c r="AS30" s="8"/>
      <c r="AT30" s="8"/>
      <c r="AU30" s="8"/>
      <c r="AV30" s="8"/>
      <c r="AW30" s="8"/>
      <c r="AX30" s="7"/>
      <c r="AY30" s="7"/>
      <c r="AZ30" s="8"/>
      <c r="BA30" s="8"/>
      <c r="BB30" s="8"/>
      <c r="BC30" s="8"/>
      <c r="BD30" s="8"/>
      <c r="BE30" s="7"/>
      <c r="BF30" s="7"/>
      <c r="BG30" s="8"/>
      <c r="BH30" s="8"/>
      <c r="BI30" s="8"/>
      <c r="BJ30" s="8"/>
      <c r="BK30" s="8"/>
      <c r="BL30" s="7"/>
      <c r="BM30" s="7"/>
      <c r="BN30" s="8"/>
      <c r="BO30" s="8"/>
      <c r="BP30" s="8"/>
      <c r="BQ30" s="8"/>
      <c r="BR30" s="8"/>
      <c r="BS30" s="7"/>
      <c r="BT30" s="7"/>
      <c r="BU30" s="8"/>
      <c r="BV30" s="8"/>
      <c r="BW30" s="8"/>
      <c r="BX30" s="8"/>
      <c r="BY30" s="8"/>
      <c r="BZ30" s="7"/>
      <c r="CA30" s="7"/>
      <c r="CB30" s="8"/>
      <c r="CC30" s="8"/>
      <c r="CD30" s="8"/>
      <c r="CE30" s="8"/>
      <c r="CF30" s="8"/>
      <c r="CG30" s="7"/>
      <c r="CH30" s="7"/>
      <c r="CI30" s="8"/>
      <c r="CJ30" s="8"/>
      <c r="CK30" s="8"/>
      <c r="CL30" s="8"/>
      <c r="CM30" s="8"/>
      <c r="CN30" s="7"/>
      <c r="CO30" s="7"/>
      <c r="CP30" s="8"/>
      <c r="CQ30" s="8"/>
      <c r="CR30" s="7"/>
      <c r="CS30" s="8"/>
      <c r="CT30" s="8"/>
      <c r="CU30" s="7"/>
      <c r="CV30" s="7"/>
      <c r="CW30" s="8"/>
      <c r="CX30" s="8"/>
      <c r="CY30" s="8"/>
      <c r="CZ30" s="8"/>
      <c r="DA30" s="8"/>
      <c r="DB30" s="7"/>
      <c r="DC30" s="7"/>
      <c r="DD30" s="8"/>
      <c r="DE30" s="8"/>
      <c r="DF30" s="8"/>
      <c r="DG30" s="8"/>
      <c r="DH30" s="8"/>
      <c r="DI30" s="7"/>
      <c r="DJ30" s="7"/>
      <c r="DK30" s="8"/>
      <c r="DL30" s="8"/>
      <c r="DM30" s="8"/>
      <c r="DN30" s="8"/>
      <c r="DO30" s="8"/>
      <c r="DP30" s="7"/>
      <c r="DQ30" s="7"/>
      <c r="DR30" s="8"/>
      <c r="DS30" s="8"/>
      <c r="DT30" s="8"/>
      <c r="DU30" s="8"/>
      <c r="DV30" s="8"/>
      <c r="DW30" s="7"/>
      <c r="DX30" s="7"/>
      <c r="DY30" s="8"/>
      <c r="DZ30" s="8"/>
      <c r="EA30" s="8"/>
      <c r="EB30" s="8"/>
      <c r="EC30" s="8"/>
      <c r="ED30" s="7"/>
      <c r="EE30" s="7"/>
      <c r="EF30" s="8"/>
      <c r="EG30" s="8"/>
      <c r="EH30" s="8"/>
      <c r="EI30" s="8"/>
      <c r="EJ30" s="8"/>
      <c r="EK30" s="7"/>
      <c r="EL30" s="7"/>
      <c r="EM30" s="8"/>
      <c r="EN30" s="8"/>
      <c r="EO30" s="8"/>
      <c r="EP30" s="8"/>
      <c r="EQ30" s="8"/>
      <c r="ER30" s="7"/>
      <c r="ES30" s="7"/>
      <c r="ET30" s="8"/>
      <c r="EU30" s="8"/>
      <c r="EV30" s="8"/>
      <c r="EW30" s="8"/>
      <c r="EX30" s="8"/>
      <c r="EY30" s="7"/>
      <c r="EZ30" s="7"/>
      <c r="FA30" s="8"/>
      <c r="FB30" s="8"/>
      <c r="FC30" s="8"/>
      <c r="FD30" s="8"/>
      <c r="FE30" s="8"/>
      <c r="FF30" s="7"/>
      <c r="FG30" s="7"/>
      <c r="FH30" s="8"/>
      <c r="FI30" s="8"/>
      <c r="FJ30" s="8"/>
      <c r="FK30" s="8"/>
      <c r="FL30" s="8"/>
      <c r="FM30" s="7"/>
      <c r="FN30" s="7"/>
      <c r="FO30" s="8"/>
      <c r="FP30" s="8"/>
      <c r="FQ30" s="8"/>
      <c r="FR30" s="8"/>
      <c r="FS30" s="8"/>
      <c r="FT30" s="7"/>
      <c r="FU30" s="7"/>
      <c r="FV30" s="8"/>
      <c r="FW30" s="8"/>
      <c r="FX30" s="8"/>
      <c r="FY30" s="8"/>
      <c r="FZ30" s="8"/>
      <c r="GA30" s="7"/>
      <c r="GB30" s="7"/>
      <c r="GC30" s="8"/>
      <c r="GD30" s="8"/>
      <c r="GE30" s="8"/>
      <c r="GF30" s="8"/>
      <c r="GG30" s="8"/>
      <c r="GH30" s="7"/>
      <c r="GI30" s="7"/>
      <c r="GJ30" s="8"/>
      <c r="GK30" s="8"/>
      <c r="GL30" s="8"/>
      <c r="GM30" s="8"/>
      <c r="GN30" s="8"/>
      <c r="GO30" s="7"/>
      <c r="GP30" s="7"/>
      <c r="GQ30" s="8"/>
      <c r="GR30" s="8"/>
      <c r="GS30" s="8"/>
      <c r="GT30" s="8"/>
      <c r="GU30" s="7"/>
      <c r="GV30" s="7"/>
      <c r="GW30" s="7"/>
      <c r="GX30" s="7"/>
      <c r="GY30" s="8"/>
      <c r="GZ30" s="8"/>
      <c r="HA30" s="8"/>
      <c r="HB30" s="8"/>
      <c r="HC30" s="7"/>
      <c r="HD30" s="7"/>
      <c r="HE30" s="8"/>
      <c r="HF30" s="8"/>
      <c r="HG30" s="8"/>
      <c r="HH30" s="8"/>
      <c r="HI30" s="8"/>
      <c r="HJ30" s="7"/>
      <c r="HK30" s="7"/>
      <c r="HL30" s="8"/>
      <c r="HM30" s="8"/>
      <c r="HN30" s="8"/>
      <c r="HO30" s="8"/>
      <c r="HP30" s="8"/>
      <c r="HQ30" s="7"/>
      <c r="HR30" s="7"/>
      <c r="HS30" s="8"/>
      <c r="HT30" s="8"/>
      <c r="HU30" s="8"/>
      <c r="HV30" s="8"/>
      <c r="HW30" s="8"/>
      <c r="HX30" s="7"/>
      <c r="HY30" s="7"/>
      <c r="HZ30" s="8"/>
      <c r="IA30" s="8"/>
      <c r="IB30" s="8"/>
      <c r="IC30" s="8"/>
      <c r="ID30" s="8"/>
      <c r="IE30" s="7"/>
      <c r="IF30" s="7"/>
      <c r="IG30" s="8"/>
      <c r="IH30" s="8"/>
      <c r="II30" s="8"/>
      <c r="IJ30" s="8"/>
      <c r="IK30" s="8"/>
      <c r="IL30" s="7"/>
      <c r="IM30" s="7"/>
      <c r="IN30" s="8"/>
      <c r="IO30" s="8"/>
      <c r="IP30" s="8"/>
      <c r="IQ30" s="8"/>
      <c r="IR30" s="8"/>
      <c r="IS30" s="7"/>
      <c r="IT30" s="7"/>
      <c r="IU30" s="8"/>
      <c r="IV30" s="8"/>
      <c r="IW30" s="8"/>
      <c r="IX30" s="8"/>
      <c r="IY30" s="8"/>
      <c r="IZ30" s="7"/>
      <c r="JA30" s="7"/>
      <c r="JB30" s="8"/>
      <c r="JC30" s="25"/>
      <c r="JD30" s="8"/>
      <c r="JE30" s="8"/>
      <c r="JF30" s="8"/>
      <c r="JG30" s="7"/>
      <c r="JH30" s="7"/>
      <c r="JI30" s="8"/>
      <c r="JJ30" s="8"/>
      <c r="JK30" s="8"/>
      <c r="JL30" s="8"/>
      <c r="JM30" s="8"/>
      <c r="JN30" s="7"/>
      <c r="JO30" s="7"/>
      <c r="JP30" s="8"/>
      <c r="JQ30" s="8"/>
      <c r="JR30" s="8"/>
      <c r="JS30" s="8"/>
      <c r="JT30" s="25"/>
      <c r="JU30" s="7"/>
      <c r="JV30" s="7"/>
      <c r="JW30" s="8"/>
      <c r="JX30" s="8"/>
      <c r="JY30" s="8"/>
      <c r="JZ30" s="8"/>
      <c r="KA30" s="25"/>
      <c r="KB30" s="7"/>
      <c r="KC30" s="7"/>
      <c r="KD30" s="8"/>
      <c r="KE30" s="8"/>
      <c r="KF30" s="8"/>
      <c r="KG30" s="8"/>
      <c r="KH30" s="8"/>
      <c r="KI30" s="7"/>
      <c r="KJ30" s="7"/>
      <c r="KK30" s="8"/>
      <c r="KL30" s="8"/>
      <c r="KM30" s="8"/>
      <c r="KN30" s="8"/>
      <c r="KO30" s="8"/>
      <c r="KP30" s="7"/>
      <c r="KQ30" s="7"/>
      <c r="KR30" s="8"/>
      <c r="KS30" s="8"/>
      <c r="KT30" s="8"/>
      <c r="KU30" s="8"/>
      <c r="KV30" s="8"/>
      <c r="KW30" s="7"/>
      <c r="KX30" s="7"/>
      <c r="KY30" s="8"/>
      <c r="KZ30" s="8"/>
      <c r="LA30" s="8"/>
      <c r="LB30" s="8"/>
      <c r="LC30" s="8"/>
      <c r="LD30" s="7"/>
      <c r="LE30" s="7"/>
      <c r="LF30" s="8"/>
      <c r="LG30" s="8"/>
      <c r="LH30" s="8"/>
      <c r="LI30" s="8"/>
      <c r="LJ30" s="8"/>
      <c r="LK30" s="7"/>
      <c r="LL30" s="7"/>
      <c r="LM30" s="8"/>
      <c r="LN30" s="8"/>
      <c r="LO30" s="8"/>
      <c r="LP30" s="8"/>
      <c r="LQ30" s="8"/>
      <c r="LR30" s="7"/>
      <c r="LS30" s="7"/>
      <c r="LT30" s="8"/>
      <c r="LU30" s="8"/>
      <c r="LV30" s="8"/>
      <c r="LW30" s="8"/>
      <c r="LX30" s="8"/>
      <c r="LY30" s="7"/>
      <c r="LZ30" s="7"/>
      <c r="MA30" s="8"/>
      <c r="MB30" s="8"/>
      <c r="MC30" s="8"/>
      <c r="MD30" s="8"/>
      <c r="ME30" s="8"/>
      <c r="MF30" s="7"/>
      <c r="MG30" s="7"/>
      <c r="MH30" s="8"/>
      <c r="MI30" s="8"/>
      <c r="MJ30" s="8"/>
      <c r="MK30" s="8"/>
      <c r="ML30" s="8"/>
      <c r="MM30" s="7"/>
      <c r="MN30" s="7"/>
      <c r="MO30" s="8"/>
      <c r="MP30" s="8"/>
      <c r="MQ30" s="8"/>
      <c r="MR30" s="8"/>
      <c r="MS30" s="8"/>
      <c r="MT30" s="7"/>
      <c r="MU30" s="7"/>
      <c r="MV30" s="8"/>
      <c r="MW30" s="8"/>
      <c r="MX30" s="8"/>
      <c r="MY30" s="8"/>
      <c r="MZ30" s="8"/>
      <c r="NA30" s="7"/>
      <c r="NB30" s="7"/>
      <c r="NC30" s="8"/>
      <c r="ND30" s="8"/>
      <c r="NE30" s="8"/>
      <c r="NF30" s="8"/>
      <c r="NG30" s="8"/>
      <c r="NH30" s="7"/>
      <c r="NI30" s="7"/>
      <c r="NJ30" s="8"/>
      <c r="NK30" s="8"/>
      <c r="NL30" s="8"/>
    </row>
    <row r="31" spans="1:376" customFormat="1">
      <c r="A31" s="1"/>
      <c r="B31" s="29" t="s">
        <v>61</v>
      </c>
      <c r="C31" s="29" t="s">
        <v>30</v>
      </c>
      <c r="D31" s="29" t="s">
        <v>58</v>
      </c>
      <c r="E31" s="29">
        <v>0</v>
      </c>
      <c r="F31" s="29">
        <v>15</v>
      </c>
      <c r="G31" s="29">
        <v>0</v>
      </c>
      <c r="H31" s="29">
        <f t="shared" si="0"/>
        <v>15</v>
      </c>
      <c r="I31" s="30">
        <f t="shared" si="1"/>
        <v>0</v>
      </c>
      <c r="J31" s="30">
        <f t="shared" si="2"/>
        <v>0</v>
      </c>
      <c r="K31" s="30">
        <f t="shared" si="3"/>
        <v>0</v>
      </c>
      <c r="L31" s="28"/>
      <c r="M31" s="8"/>
      <c r="N31" s="8"/>
      <c r="O31" s="7"/>
      <c r="P31" s="7"/>
      <c r="Q31" s="8"/>
      <c r="R31" s="8"/>
      <c r="S31" s="8"/>
      <c r="T31" s="8"/>
      <c r="U31" s="7"/>
      <c r="V31" s="7"/>
      <c r="W31" s="7"/>
      <c r="X31" s="7"/>
      <c r="Y31" s="8"/>
      <c r="Z31" s="8"/>
      <c r="AA31" s="8"/>
      <c r="AB31" s="8"/>
      <c r="AC31" s="7"/>
      <c r="AD31" s="7"/>
      <c r="AE31" s="7"/>
      <c r="AF31" s="8"/>
      <c r="AG31" s="8"/>
      <c r="AH31" s="8"/>
      <c r="AI31" s="8"/>
      <c r="AJ31" s="7"/>
      <c r="AK31" s="7"/>
      <c r="AL31" s="8"/>
      <c r="AM31" s="8"/>
      <c r="AN31" s="8"/>
      <c r="AO31" s="8"/>
      <c r="AP31" s="7"/>
      <c r="AQ31" s="7"/>
      <c r="AR31" s="7"/>
      <c r="AS31" s="8"/>
      <c r="AT31" s="8"/>
      <c r="AU31" s="8"/>
      <c r="AV31" s="8"/>
      <c r="AW31" s="8"/>
      <c r="AX31" s="7"/>
      <c r="AY31" s="7"/>
      <c r="AZ31" s="8"/>
      <c r="BA31" s="8"/>
      <c r="BB31" s="8"/>
      <c r="BC31" s="8"/>
      <c r="BD31" s="8"/>
      <c r="BE31" s="7"/>
      <c r="BF31" s="7"/>
      <c r="BG31" s="8"/>
      <c r="BH31" s="8"/>
      <c r="BI31" s="8"/>
      <c r="BJ31" s="8"/>
      <c r="BK31" s="8"/>
      <c r="BL31" s="7"/>
      <c r="BM31" s="7"/>
      <c r="BN31" s="8"/>
      <c r="BO31" s="8"/>
      <c r="BP31" s="8"/>
      <c r="BQ31" s="8"/>
      <c r="BR31" s="8"/>
      <c r="BS31" s="7"/>
      <c r="BT31" s="7"/>
      <c r="BU31" s="8"/>
      <c r="BV31" s="8"/>
      <c r="BW31" s="8"/>
      <c r="BX31" s="8"/>
      <c r="BY31" s="8"/>
      <c r="BZ31" s="7"/>
      <c r="CA31" s="7"/>
      <c r="CB31" s="8"/>
      <c r="CC31" s="8"/>
      <c r="CD31" s="8"/>
      <c r="CE31" s="8"/>
      <c r="CF31" s="8"/>
      <c r="CG31" s="7"/>
      <c r="CH31" s="7"/>
      <c r="CI31" s="8"/>
      <c r="CJ31" s="8"/>
      <c r="CK31" s="8"/>
      <c r="CL31" s="8"/>
      <c r="CM31" s="8"/>
      <c r="CN31" s="7"/>
      <c r="CO31" s="7"/>
      <c r="CP31" s="8"/>
      <c r="CQ31" s="8"/>
      <c r="CR31" s="7"/>
      <c r="CS31" s="8"/>
      <c r="CT31" s="8"/>
      <c r="CU31" s="7"/>
      <c r="CV31" s="7"/>
      <c r="CW31" s="8"/>
      <c r="CX31" s="8"/>
      <c r="CY31" s="8"/>
      <c r="CZ31" s="8"/>
      <c r="DA31" s="8"/>
      <c r="DB31" s="7"/>
      <c r="DC31" s="7"/>
      <c r="DD31" s="8"/>
      <c r="DE31" s="8"/>
      <c r="DF31" s="8"/>
      <c r="DG31" s="8"/>
      <c r="DH31" s="8"/>
      <c r="DI31" s="7"/>
      <c r="DJ31" s="7"/>
      <c r="DK31" s="8"/>
      <c r="DL31" s="8"/>
      <c r="DM31" s="8"/>
      <c r="DN31" s="8"/>
      <c r="DO31" s="8"/>
      <c r="DP31" s="7"/>
      <c r="DQ31" s="7"/>
      <c r="DR31" s="8"/>
      <c r="DS31" s="8"/>
      <c r="DT31" s="8"/>
      <c r="DU31" s="8"/>
      <c r="DV31" s="8"/>
      <c r="DW31" s="7"/>
      <c r="DX31" s="7"/>
      <c r="DY31" s="8"/>
      <c r="DZ31" s="8"/>
      <c r="EA31" s="8"/>
      <c r="EB31" s="8"/>
      <c r="EC31" s="8"/>
      <c r="ED31" s="7"/>
      <c r="EE31" s="7"/>
      <c r="EF31" s="8"/>
      <c r="EG31" s="8"/>
      <c r="EH31" s="8"/>
      <c r="EI31" s="8"/>
      <c r="EJ31" s="8"/>
      <c r="EK31" s="7"/>
      <c r="EL31" s="7"/>
      <c r="EM31" s="8"/>
      <c r="EN31" s="8"/>
      <c r="EO31" s="8"/>
      <c r="EP31" s="8"/>
      <c r="EQ31" s="8"/>
      <c r="ER31" s="7"/>
      <c r="ES31" s="7"/>
      <c r="ET31" s="8"/>
      <c r="EU31" s="8"/>
      <c r="EV31" s="8"/>
      <c r="EW31" s="8"/>
      <c r="EX31" s="8"/>
      <c r="EY31" s="7"/>
      <c r="EZ31" s="7"/>
      <c r="FA31" s="8"/>
      <c r="FB31" s="8"/>
      <c r="FC31" s="8"/>
      <c r="FD31" s="8"/>
      <c r="FE31" s="8"/>
      <c r="FF31" s="7"/>
      <c r="FG31" s="7"/>
      <c r="FH31" s="8"/>
      <c r="FI31" s="8"/>
      <c r="FJ31" s="8"/>
      <c r="FK31" s="8"/>
      <c r="FL31" s="8"/>
      <c r="FM31" s="7"/>
      <c r="FN31" s="7"/>
      <c r="FO31" s="8"/>
      <c r="FP31" s="8"/>
      <c r="FQ31" s="8"/>
      <c r="FR31" s="8"/>
      <c r="FS31" s="8"/>
      <c r="FT31" s="7"/>
      <c r="FU31" s="7"/>
      <c r="FV31" s="8"/>
      <c r="FW31" s="8"/>
      <c r="FX31" s="8"/>
      <c r="FY31" s="8"/>
      <c r="FZ31" s="8"/>
      <c r="GA31" s="7"/>
      <c r="GB31" s="7"/>
      <c r="GC31" s="8"/>
      <c r="GD31" s="8"/>
      <c r="GE31" s="8"/>
      <c r="GF31" s="8"/>
      <c r="GG31" s="8"/>
      <c r="GH31" s="7"/>
      <c r="GI31" s="7"/>
      <c r="GJ31" s="8"/>
      <c r="GK31" s="8"/>
      <c r="GL31" s="8"/>
      <c r="GM31" s="8"/>
      <c r="GN31" s="8"/>
      <c r="GO31" s="7"/>
      <c r="GP31" s="7"/>
      <c r="GQ31" s="8"/>
      <c r="GR31" s="8"/>
      <c r="GS31" s="8"/>
      <c r="GT31" s="8"/>
      <c r="GU31" s="7"/>
      <c r="GV31" s="7"/>
      <c r="GW31" s="7"/>
      <c r="GX31" s="7"/>
      <c r="GY31" s="8"/>
      <c r="GZ31" s="8"/>
      <c r="HA31" s="8"/>
      <c r="HB31" s="8"/>
      <c r="HC31" s="7"/>
      <c r="HD31" s="7"/>
      <c r="HE31" s="8"/>
      <c r="HF31" s="8"/>
      <c r="HG31" s="8"/>
      <c r="HH31" s="8"/>
      <c r="HI31" s="8"/>
      <c r="HJ31" s="7"/>
      <c r="HK31" s="7"/>
      <c r="HL31" s="8"/>
      <c r="HM31" s="8"/>
      <c r="HN31" s="8"/>
      <c r="HO31" s="8"/>
      <c r="HP31" s="8"/>
      <c r="HQ31" s="7"/>
      <c r="HR31" s="7"/>
      <c r="HS31" s="8"/>
      <c r="HT31" s="8"/>
      <c r="HU31" s="8"/>
      <c r="HV31" s="8"/>
      <c r="HW31" s="8"/>
      <c r="HX31" s="7"/>
      <c r="HY31" s="7"/>
      <c r="HZ31" s="8"/>
      <c r="IA31" s="8"/>
      <c r="IB31" s="8"/>
      <c r="IC31" s="8"/>
      <c r="ID31" s="8"/>
      <c r="IE31" s="7"/>
      <c r="IF31" s="7"/>
      <c r="IG31" s="8"/>
      <c r="IH31" s="8"/>
      <c r="II31" s="8"/>
      <c r="IJ31" s="8"/>
      <c r="IK31" s="8"/>
      <c r="IL31" s="7"/>
      <c r="IM31" s="7"/>
      <c r="IN31" s="8"/>
      <c r="IO31" s="8"/>
      <c r="IP31" s="8"/>
      <c r="IQ31" s="8"/>
      <c r="IR31" s="8"/>
      <c r="IS31" s="7"/>
      <c r="IT31" s="7"/>
      <c r="IU31" s="8"/>
      <c r="IV31" s="8"/>
      <c r="IW31" s="8"/>
      <c r="IX31" s="8"/>
      <c r="IY31" s="8"/>
      <c r="IZ31" s="7"/>
      <c r="JA31" s="7"/>
      <c r="JB31" s="8"/>
      <c r="JC31" s="25"/>
      <c r="JD31" s="8"/>
      <c r="JE31" s="8"/>
      <c r="JF31" s="8"/>
      <c r="JG31" s="7"/>
      <c r="JH31" s="7"/>
      <c r="JI31" s="8"/>
      <c r="JJ31" s="8"/>
      <c r="JK31" s="8"/>
      <c r="JL31" s="8"/>
      <c r="JM31" s="8"/>
      <c r="JN31" s="7"/>
      <c r="JO31" s="7"/>
      <c r="JP31" s="8"/>
      <c r="JQ31" s="8"/>
      <c r="JR31" s="8"/>
      <c r="JS31" s="8"/>
      <c r="JT31" s="25"/>
      <c r="JU31" s="7"/>
      <c r="JV31" s="7"/>
      <c r="JW31" s="8"/>
      <c r="JX31" s="8"/>
      <c r="JY31" s="8"/>
      <c r="JZ31" s="8"/>
      <c r="KA31" s="25"/>
      <c r="KB31" s="7"/>
      <c r="KC31" s="7"/>
      <c r="KD31" s="8"/>
      <c r="KE31" s="8"/>
      <c r="KF31" s="8"/>
      <c r="KG31" s="8"/>
      <c r="KH31" s="8"/>
      <c r="KI31" s="7"/>
      <c r="KJ31" s="7"/>
      <c r="KK31" s="8"/>
      <c r="KL31" s="8"/>
      <c r="KM31" s="8"/>
      <c r="KN31" s="8"/>
      <c r="KO31" s="8"/>
      <c r="KP31" s="7"/>
      <c r="KQ31" s="7"/>
      <c r="KR31" s="8"/>
      <c r="KS31" s="8"/>
      <c r="KT31" s="8"/>
      <c r="KU31" s="8"/>
      <c r="KV31" s="8"/>
      <c r="KW31" s="7"/>
      <c r="KX31" s="7"/>
      <c r="KY31" s="8"/>
      <c r="KZ31" s="8"/>
      <c r="LA31" s="8"/>
      <c r="LB31" s="8"/>
      <c r="LC31" s="8"/>
      <c r="LD31" s="7"/>
      <c r="LE31" s="7"/>
      <c r="LF31" s="8"/>
      <c r="LG31" s="8"/>
      <c r="LH31" s="8"/>
      <c r="LI31" s="8"/>
      <c r="LJ31" s="8"/>
      <c r="LK31" s="7"/>
      <c r="LL31" s="7"/>
      <c r="LM31" s="8"/>
      <c r="LN31" s="8"/>
      <c r="LO31" s="8"/>
      <c r="LP31" s="8"/>
      <c r="LQ31" s="8"/>
      <c r="LR31" s="7"/>
      <c r="LS31" s="7"/>
      <c r="LT31" s="8"/>
      <c r="LU31" s="8"/>
      <c r="LV31" s="8"/>
      <c r="LW31" s="8"/>
      <c r="LX31" s="8"/>
      <c r="LY31" s="7"/>
      <c r="LZ31" s="7"/>
      <c r="MA31" s="8"/>
      <c r="MB31" s="8"/>
      <c r="MC31" s="8"/>
      <c r="MD31" s="8"/>
      <c r="ME31" s="8"/>
      <c r="MF31" s="7"/>
      <c r="MG31" s="7"/>
      <c r="MH31" s="8"/>
      <c r="MI31" s="8"/>
      <c r="MJ31" s="8"/>
      <c r="MK31" s="8"/>
      <c r="ML31" s="8"/>
      <c r="MM31" s="7"/>
      <c r="MN31" s="7"/>
      <c r="MO31" s="8"/>
      <c r="MP31" s="8"/>
      <c r="MQ31" s="8"/>
      <c r="MR31" s="8"/>
      <c r="MS31" s="8"/>
      <c r="MT31" s="7"/>
      <c r="MU31" s="7"/>
      <c r="MV31" s="8"/>
      <c r="MW31" s="8"/>
      <c r="MX31" s="8"/>
      <c r="MY31" s="8"/>
      <c r="MZ31" s="8"/>
      <c r="NA31" s="7"/>
      <c r="NB31" s="7"/>
      <c r="NC31" s="8"/>
      <c r="ND31" s="8"/>
      <c r="NE31" s="8"/>
      <c r="NF31" s="8"/>
      <c r="NG31" s="8"/>
      <c r="NH31" s="7"/>
      <c r="NI31" s="7"/>
      <c r="NJ31" s="8"/>
      <c r="NK31" s="8"/>
      <c r="NL31" s="8"/>
    </row>
    <row r="32" spans="1:376" customFormat="1">
      <c r="A32" s="1"/>
      <c r="B32" s="29" t="s">
        <v>62</v>
      </c>
      <c r="C32" s="29" t="s">
        <v>30</v>
      </c>
      <c r="D32" s="29" t="s">
        <v>58</v>
      </c>
      <c r="E32" s="29">
        <v>0</v>
      </c>
      <c r="F32" s="29">
        <v>5</v>
      </c>
      <c r="G32" s="29">
        <v>0</v>
      </c>
      <c r="H32" s="29">
        <f t="shared" si="0"/>
        <v>5</v>
      </c>
      <c r="I32" s="30">
        <f t="shared" si="1"/>
        <v>0</v>
      </c>
      <c r="J32" s="30">
        <f t="shared" si="2"/>
        <v>0</v>
      </c>
      <c r="K32" s="30">
        <f t="shared" si="3"/>
        <v>0</v>
      </c>
      <c r="L32" s="28"/>
      <c r="M32" s="8"/>
      <c r="N32" s="8"/>
      <c r="O32" s="7"/>
      <c r="P32" s="7"/>
      <c r="Q32" s="8"/>
      <c r="R32" s="8"/>
      <c r="S32" s="8"/>
      <c r="T32" s="8"/>
      <c r="U32" s="7"/>
      <c r="V32" s="7"/>
      <c r="W32" s="7"/>
      <c r="X32" s="7"/>
      <c r="Y32" s="8"/>
      <c r="Z32" s="8"/>
      <c r="AA32" s="8"/>
      <c r="AB32" s="8"/>
      <c r="AC32" s="7"/>
      <c r="AD32" s="7"/>
      <c r="AE32" s="7"/>
      <c r="AF32" s="8"/>
      <c r="AG32" s="8"/>
      <c r="AH32" s="8"/>
      <c r="AI32" s="8"/>
      <c r="AJ32" s="7"/>
      <c r="AK32" s="7"/>
      <c r="AL32" s="8"/>
      <c r="AM32" s="8"/>
      <c r="AN32" s="8"/>
      <c r="AO32" s="8"/>
      <c r="AP32" s="7"/>
      <c r="AQ32" s="7"/>
      <c r="AR32" s="7"/>
      <c r="AS32" s="8"/>
      <c r="AT32" s="8"/>
      <c r="AU32" s="8"/>
      <c r="AV32" s="8"/>
      <c r="AW32" s="8"/>
      <c r="AX32" s="7"/>
      <c r="AY32" s="7"/>
      <c r="AZ32" s="8"/>
      <c r="BA32" s="8"/>
      <c r="BB32" s="8"/>
      <c r="BC32" s="8"/>
      <c r="BD32" s="8"/>
      <c r="BE32" s="7"/>
      <c r="BF32" s="7"/>
      <c r="BG32" s="8"/>
      <c r="BH32" s="8"/>
      <c r="BI32" s="8"/>
      <c r="BJ32" s="8"/>
      <c r="BK32" s="8"/>
      <c r="BL32" s="7"/>
      <c r="BM32" s="7"/>
      <c r="BN32" s="8"/>
      <c r="BO32" s="8"/>
      <c r="BP32" s="8"/>
      <c r="BQ32" s="8"/>
      <c r="BR32" s="8"/>
      <c r="BS32" s="7"/>
      <c r="BT32" s="7"/>
      <c r="BU32" s="8"/>
      <c r="BV32" s="8"/>
      <c r="BW32" s="8"/>
      <c r="BX32" s="8"/>
      <c r="BY32" s="8"/>
      <c r="BZ32" s="7"/>
      <c r="CA32" s="7"/>
      <c r="CB32" s="8"/>
      <c r="CC32" s="8"/>
      <c r="CD32" s="8"/>
      <c r="CE32" s="8"/>
      <c r="CF32" s="8"/>
      <c r="CG32" s="7"/>
      <c r="CH32" s="7"/>
      <c r="CI32" s="8"/>
      <c r="CJ32" s="8"/>
      <c r="CK32" s="8"/>
      <c r="CL32" s="8"/>
      <c r="CM32" s="8"/>
      <c r="CN32" s="7"/>
      <c r="CO32" s="7"/>
      <c r="CP32" s="8"/>
      <c r="CQ32" s="8"/>
      <c r="CR32" s="7"/>
      <c r="CS32" s="8"/>
      <c r="CT32" s="8"/>
      <c r="CU32" s="7"/>
      <c r="CV32" s="7"/>
      <c r="CW32" s="8"/>
      <c r="CX32" s="8"/>
      <c r="CY32" s="8"/>
      <c r="CZ32" s="8"/>
      <c r="DA32" s="8"/>
      <c r="DB32" s="7"/>
      <c r="DC32" s="7"/>
      <c r="DD32" s="8"/>
      <c r="DE32" s="8"/>
      <c r="DF32" s="8"/>
      <c r="DG32" s="8"/>
      <c r="DH32" s="8"/>
      <c r="DI32" s="7"/>
      <c r="DJ32" s="7"/>
      <c r="DK32" s="8"/>
      <c r="DL32" s="8"/>
      <c r="DM32" s="8"/>
      <c r="DN32" s="8"/>
      <c r="DO32" s="8"/>
      <c r="DP32" s="7"/>
      <c r="DQ32" s="7"/>
      <c r="DR32" s="8"/>
      <c r="DS32" s="8"/>
      <c r="DT32" s="8"/>
      <c r="DU32" s="8"/>
      <c r="DV32" s="8"/>
      <c r="DW32" s="7"/>
      <c r="DX32" s="7"/>
      <c r="DY32" s="8"/>
      <c r="DZ32" s="8"/>
      <c r="EA32" s="8"/>
      <c r="EB32" s="8"/>
      <c r="EC32" s="8"/>
      <c r="ED32" s="7"/>
      <c r="EE32" s="7"/>
      <c r="EF32" s="8"/>
      <c r="EG32" s="8"/>
      <c r="EH32" s="8"/>
      <c r="EI32" s="8"/>
      <c r="EJ32" s="8"/>
      <c r="EK32" s="7"/>
      <c r="EL32" s="7"/>
      <c r="EM32" s="8"/>
      <c r="EN32" s="8"/>
      <c r="EO32" s="8"/>
      <c r="EP32" s="8"/>
      <c r="EQ32" s="8"/>
      <c r="ER32" s="7"/>
      <c r="ES32" s="7"/>
      <c r="ET32" s="8"/>
      <c r="EU32" s="8"/>
      <c r="EV32" s="8"/>
      <c r="EW32" s="8"/>
      <c r="EX32" s="8"/>
      <c r="EY32" s="7"/>
      <c r="EZ32" s="7"/>
      <c r="FA32" s="8"/>
      <c r="FB32" s="8"/>
      <c r="FC32" s="8"/>
      <c r="FD32" s="8"/>
      <c r="FE32" s="8"/>
      <c r="FF32" s="7"/>
      <c r="FG32" s="7"/>
      <c r="FH32" s="8"/>
      <c r="FI32" s="8"/>
      <c r="FJ32" s="8"/>
      <c r="FK32" s="8"/>
      <c r="FL32" s="8"/>
      <c r="FM32" s="7"/>
      <c r="FN32" s="7"/>
      <c r="FO32" s="8"/>
      <c r="FP32" s="8"/>
      <c r="FQ32" s="8"/>
      <c r="FR32" s="8"/>
      <c r="FS32" s="8"/>
      <c r="FT32" s="7"/>
      <c r="FU32" s="7"/>
      <c r="FV32" s="8"/>
      <c r="FW32" s="8"/>
      <c r="FX32" s="8"/>
      <c r="FY32" s="8"/>
      <c r="FZ32" s="8"/>
      <c r="GA32" s="7"/>
      <c r="GB32" s="7"/>
      <c r="GC32" s="8"/>
      <c r="GD32" s="8"/>
      <c r="GE32" s="8"/>
      <c r="GF32" s="8"/>
      <c r="GG32" s="8"/>
      <c r="GH32" s="7"/>
      <c r="GI32" s="7"/>
      <c r="GJ32" s="8"/>
      <c r="GK32" s="8"/>
      <c r="GL32" s="8"/>
      <c r="GM32" s="8"/>
      <c r="GN32" s="8"/>
      <c r="GO32" s="7"/>
      <c r="GP32" s="7"/>
      <c r="GQ32" s="8"/>
      <c r="GR32" s="8"/>
      <c r="GS32" s="8"/>
      <c r="GT32" s="8"/>
      <c r="GU32" s="7"/>
      <c r="GV32" s="7"/>
      <c r="GW32" s="7"/>
      <c r="GX32" s="7"/>
      <c r="GY32" s="8"/>
      <c r="GZ32" s="8"/>
      <c r="HA32" s="8"/>
      <c r="HB32" s="8"/>
      <c r="HC32" s="7"/>
      <c r="HD32" s="7"/>
      <c r="HE32" s="8"/>
      <c r="HF32" s="8"/>
      <c r="HG32" s="8"/>
      <c r="HH32" s="8"/>
      <c r="HI32" s="8"/>
      <c r="HJ32" s="7"/>
      <c r="HK32" s="7"/>
      <c r="HL32" s="8"/>
      <c r="HM32" s="8"/>
      <c r="HN32" s="8"/>
      <c r="HO32" s="8"/>
      <c r="HP32" s="8"/>
      <c r="HQ32" s="7"/>
      <c r="HR32" s="7"/>
      <c r="HS32" s="8"/>
      <c r="HT32" s="8"/>
      <c r="HU32" s="8"/>
      <c r="HV32" s="8"/>
      <c r="HW32" s="8"/>
      <c r="HX32" s="7"/>
      <c r="HY32" s="7"/>
      <c r="HZ32" s="8"/>
      <c r="IA32" s="8"/>
      <c r="IB32" s="8"/>
      <c r="IC32" s="8"/>
      <c r="ID32" s="8"/>
      <c r="IE32" s="7"/>
      <c r="IF32" s="7"/>
      <c r="IG32" s="8"/>
      <c r="IH32" s="8"/>
      <c r="II32" s="8"/>
      <c r="IJ32" s="8"/>
      <c r="IK32" s="8"/>
      <c r="IL32" s="7"/>
      <c r="IM32" s="7"/>
      <c r="IN32" s="8"/>
      <c r="IO32" s="8"/>
      <c r="IP32" s="8"/>
      <c r="IQ32" s="8"/>
      <c r="IR32" s="8"/>
      <c r="IS32" s="7"/>
      <c r="IT32" s="7"/>
      <c r="IU32" s="8"/>
      <c r="IV32" s="8"/>
      <c r="IW32" s="8"/>
      <c r="IX32" s="8"/>
      <c r="IY32" s="8"/>
      <c r="IZ32" s="7"/>
      <c r="JA32" s="7"/>
      <c r="JB32" s="8"/>
      <c r="JC32" s="25"/>
      <c r="JD32" s="8"/>
      <c r="JE32" s="8"/>
      <c r="JF32" s="8"/>
      <c r="JG32" s="7"/>
      <c r="JH32" s="7"/>
      <c r="JI32" s="8"/>
      <c r="JJ32" s="8"/>
      <c r="JK32" s="8"/>
      <c r="JL32" s="8"/>
      <c r="JM32" s="8"/>
      <c r="JN32" s="7"/>
      <c r="JO32" s="7"/>
      <c r="JP32" s="8"/>
      <c r="JQ32" s="8"/>
      <c r="JR32" s="8"/>
      <c r="JS32" s="8"/>
      <c r="JT32" s="25"/>
      <c r="JU32" s="7"/>
      <c r="JV32" s="7"/>
      <c r="JW32" s="8"/>
      <c r="JX32" s="8"/>
      <c r="JY32" s="8"/>
      <c r="JZ32" s="8"/>
      <c r="KA32" s="25"/>
      <c r="KB32" s="7"/>
      <c r="KC32" s="7"/>
      <c r="KD32" s="8"/>
      <c r="KE32" s="8"/>
      <c r="KF32" s="8"/>
      <c r="KG32" s="8"/>
      <c r="KH32" s="8"/>
      <c r="KI32" s="7"/>
      <c r="KJ32" s="7"/>
      <c r="KK32" s="8"/>
      <c r="KL32" s="8"/>
      <c r="KM32" s="8"/>
      <c r="KN32" s="8"/>
      <c r="KO32" s="8"/>
      <c r="KP32" s="7"/>
      <c r="KQ32" s="7"/>
      <c r="KR32" s="8"/>
      <c r="KS32" s="8"/>
      <c r="KT32" s="8"/>
      <c r="KU32" s="8"/>
      <c r="KV32" s="8"/>
      <c r="KW32" s="7"/>
      <c r="KX32" s="7"/>
      <c r="KY32" s="8"/>
      <c r="KZ32" s="8"/>
      <c r="LA32" s="8"/>
      <c r="LB32" s="8"/>
      <c r="LC32" s="8"/>
      <c r="LD32" s="7"/>
      <c r="LE32" s="7"/>
      <c r="LF32" s="8"/>
      <c r="LG32" s="8"/>
      <c r="LH32" s="8"/>
      <c r="LI32" s="8"/>
      <c r="LJ32" s="8"/>
      <c r="LK32" s="7"/>
      <c r="LL32" s="7"/>
      <c r="LM32" s="8"/>
      <c r="LN32" s="8"/>
      <c r="LO32" s="8"/>
      <c r="LP32" s="8"/>
      <c r="LQ32" s="8"/>
      <c r="LR32" s="7"/>
      <c r="LS32" s="7"/>
      <c r="LT32" s="8"/>
      <c r="LU32" s="8"/>
      <c r="LV32" s="8"/>
      <c r="LW32" s="8"/>
      <c r="LX32" s="8"/>
      <c r="LY32" s="7"/>
      <c r="LZ32" s="7"/>
      <c r="MA32" s="8"/>
      <c r="MB32" s="8"/>
      <c r="MC32" s="8"/>
      <c r="MD32" s="8"/>
      <c r="ME32" s="8"/>
      <c r="MF32" s="7"/>
      <c r="MG32" s="7"/>
      <c r="MH32" s="8"/>
      <c r="MI32" s="8"/>
      <c r="MJ32" s="8"/>
      <c r="MK32" s="8"/>
      <c r="ML32" s="8"/>
      <c r="MM32" s="7"/>
      <c r="MN32" s="7"/>
      <c r="MO32" s="8"/>
      <c r="MP32" s="8"/>
      <c r="MQ32" s="8"/>
      <c r="MR32" s="8"/>
      <c r="MS32" s="8"/>
      <c r="MT32" s="7"/>
      <c r="MU32" s="7"/>
      <c r="MV32" s="8"/>
      <c r="MW32" s="8"/>
      <c r="MX32" s="8"/>
      <c r="MY32" s="8"/>
      <c r="MZ32" s="8"/>
      <c r="NA32" s="7"/>
      <c r="NB32" s="7"/>
      <c r="NC32" s="8"/>
      <c r="ND32" s="8"/>
      <c r="NE32" s="8"/>
      <c r="NF32" s="8"/>
      <c r="NG32" s="8"/>
      <c r="NH32" s="7"/>
      <c r="NI32" s="7"/>
      <c r="NJ32" s="8"/>
      <c r="NK32" s="8"/>
      <c r="NL32" s="8"/>
    </row>
  </sheetData>
  <autoFilter ref="B8:D32" xr:uid="{00000000-0009-0000-0000-000000000000}"/>
  <mergeCells count="12">
    <mergeCell ref="MH6:NL6"/>
    <mergeCell ref="L6:AO6"/>
    <mergeCell ref="AP6:BT6"/>
    <mergeCell ref="BU6:CX6"/>
    <mergeCell ref="CY6:EC6"/>
    <mergeCell ref="ED6:FH6"/>
    <mergeCell ref="FI6:GL6"/>
    <mergeCell ref="GM6:HQ6"/>
    <mergeCell ref="HR6:IU6"/>
    <mergeCell ref="IV6:JZ6"/>
    <mergeCell ref="KA6:LE6"/>
    <mergeCell ref="LF6:MG6"/>
  </mergeCells>
  <pageMargins left="0.70000000000000007" right="0.70000000000000007" top="0.75" bottom="0.75" header="0.30000000000000004" footer="0.30000000000000004"/>
  <pageSetup paperSize="9" fitToWidth="0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L37"/>
  <sheetViews>
    <sheetView zoomScale="85" zoomScaleNormal="85" workbookViewId="0">
      <pane xSplit="4" ySplit="7" topLeftCell="E13" activePane="bottomRight" state="frozen"/>
      <selection pane="bottomRight" activeCell="B13" sqref="B13"/>
      <selection pane="bottomLeft" activeCell="A8" sqref="A8"/>
      <selection pane="topRight" activeCell="E1" sqref="E1"/>
    </sheetView>
  </sheetViews>
  <sheetFormatPr defaultColWidth="5.42578125" defaultRowHeight="15"/>
  <cols>
    <col min="1" max="1" width="5" style="1" customWidth="1"/>
    <col min="2" max="2" width="18.28515625" style="1" bestFit="1" customWidth="1"/>
    <col min="3" max="3" width="17.42578125" style="1" bestFit="1" customWidth="1"/>
    <col min="4" max="4" width="15.5703125" style="1" customWidth="1"/>
    <col min="5" max="6" width="12.28515625" style="1" bestFit="1" customWidth="1"/>
    <col min="7" max="7" width="12.7109375" style="1" bestFit="1" customWidth="1"/>
    <col min="8" max="8" width="17.7109375" style="1" bestFit="1" customWidth="1"/>
    <col min="9" max="9" width="15.5703125" style="1" bestFit="1" customWidth="1"/>
    <col min="10" max="10" width="15.5703125" style="1" customWidth="1"/>
    <col min="11" max="11" width="16.140625" style="1" bestFit="1" customWidth="1"/>
    <col min="12" max="16384" width="5.42578125" style="2"/>
  </cols>
  <sheetData>
    <row r="1" spans="1:376" ht="15.75" thickBot="1"/>
    <row r="2" spans="1:376">
      <c r="B2" s="13" t="s">
        <v>0</v>
      </c>
      <c r="C2" s="15" t="s">
        <v>1</v>
      </c>
      <c r="D2" s="2"/>
      <c r="E2" s="2"/>
      <c r="F2" s="2"/>
      <c r="G2" s="2"/>
      <c r="I2" s="2"/>
      <c r="J2" s="2"/>
      <c r="K2" s="2"/>
    </row>
    <row r="3" spans="1:376">
      <c r="B3" s="16" t="s">
        <v>2</v>
      </c>
      <c r="C3" s="17" t="s">
        <v>3</v>
      </c>
      <c r="D3" s="2"/>
      <c r="E3" s="2"/>
      <c r="F3" s="2"/>
      <c r="G3" s="2"/>
      <c r="I3" s="2"/>
      <c r="J3" s="2"/>
      <c r="K3" s="2"/>
    </row>
    <row r="4" spans="1:376">
      <c r="B4" s="16" t="s">
        <v>4</v>
      </c>
      <c r="C4" s="18" t="s">
        <v>5</v>
      </c>
      <c r="D4" s="2"/>
      <c r="E4" s="2"/>
      <c r="F4" s="2"/>
      <c r="G4" s="2"/>
      <c r="I4" s="2"/>
      <c r="J4" s="2"/>
      <c r="K4" s="2"/>
    </row>
    <row r="5" spans="1:376" ht="15.75" thickBot="1">
      <c r="B5" s="19" t="s">
        <v>6</v>
      </c>
      <c r="C5" s="21" t="s">
        <v>7</v>
      </c>
      <c r="D5" s="2"/>
      <c r="E5" s="2"/>
      <c r="F5" s="2"/>
      <c r="G5" s="2"/>
      <c r="I5" s="2"/>
      <c r="J5" s="2"/>
      <c r="K5" s="2"/>
    </row>
    <row r="6" spans="1:376" ht="16.5" customHeight="1" thickBot="1">
      <c r="L6" s="353" t="s">
        <v>8</v>
      </c>
      <c r="M6" s="354"/>
      <c r="N6" s="354"/>
      <c r="O6" s="354"/>
      <c r="P6" s="354"/>
      <c r="Q6" s="354"/>
      <c r="R6" s="354"/>
      <c r="S6" s="354"/>
      <c r="T6" s="354"/>
      <c r="U6" s="354"/>
      <c r="V6" s="354"/>
      <c r="W6" s="354"/>
      <c r="X6" s="354"/>
      <c r="Y6" s="354"/>
      <c r="Z6" s="354"/>
      <c r="AA6" s="354"/>
      <c r="AB6" s="354"/>
      <c r="AC6" s="354"/>
      <c r="AD6" s="354"/>
      <c r="AE6" s="354"/>
      <c r="AF6" s="354"/>
      <c r="AG6" s="354"/>
      <c r="AH6" s="354"/>
      <c r="AI6" s="354"/>
      <c r="AJ6" s="354"/>
      <c r="AK6" s="354"/>
      <c r="AL6" s="354"/>
      <c r="AM6" s="354"/>
      <c r="AN6" s="354"/>
      <c r="AO6" s="354"/>
      <c r="AP6" s="353" t="s">
        <v>9</v>
      </c>
      <c r="AQ6" s="354"/>
      <c r="AR6" s="354"/>
      <c r="AS6" s="354"/>
      <c r="AT6" s="354"/>
      <c r="AU6" s="354"/>
      <c r="AV6" s="354"/>
      <c r="AW6" s="354"/>
      <c r="AX6" s="354"/>
      <c r="AY6" s="354"/>
      <c r="AZ6" s="354"/>
      <c r="BA6" s="354"/>
      <c r="BB6" s="354"/>
      <c r="BC6" s="354"/>
      <c r="BD6" s="354"/>
      <c r="BE6" s="354"/>
      <c r="BF6" s="354"/>
      <c r="BG6" s="354"/>
      <c r="BH6" s="354"/>
      <c r="BI6" s="354"/>
      <c r="BJ6" s="354"/>
      <c r="BK6" s="354"/>
      <c r="BL6" s="354"/>
      <c r="BM6" s="354"/>
      <c r="BN6" s="354"/>
      <c r="BO6" s="354"/>
      <c r="BP6" s="354"/>
      <c r="BQ6" s="354"/>
      <c r="BR6" s="354"/>
      <c r="BS6" s="354"/>
      <c r="BT6" s="354"/>
      <c r="BU6" s="355" t="s">
        <v>10</v>
      </c>
      <c r="BV6" s="356"/>
      <c r="BW6" s="356"/>
      <c r="BX6" s="356"/>
      <c r="BY6" s="356"/>
      <c r="BZ6" s="356"/>
      <c r="CA6" s="356"/>
      <c r="CB6" s="356"/>
      <c r="CC6" s="356"/>
      <c r="CD6" s="356"/>
      <c r="CE6" s="356"/>
      <c r="CF6" s="356"/>
      <c r="CG6" s="356"/>
      <c r="CH6" s="356"/>
      <c r="CI6" s="356"/>
      <c r="CJ6" s="356"/>
      <c r="CK6" s="356"/>
      <c r="CL6" s="356"/>
      <c r="CM6" s="356"/>
      <c r="CN6" s="356"/>
      <c r="CO6" s="356"/>
      <c r="CP6" s="356"/>
      <c r="CQ6" s="356"/>
      <c r="CR6" s="356"/>
      <c r="CS6" s="356"/>
      <c r="CT6" s="356"/>
      <c r="CU6" s="356"/>
      <c r="CV6" s="356"/>
      <c r="CW6" s="356"/>
      <c r="CX6" s="357"/>
      <c r="CY6" s="355" t="s">
        <v>11</v>
      </c>
      <c r="CZ6" s="356"/>
      <c r="DA6" s="356"/>
      <c r="DB6" s="356"/>
      <c r="DC6" s="356"/>
      <c r="DD6" s="356"/>
      <c r="DE6" s="356"/>
      <c r="DF6" s="356"/>
      <c r="DG6" s="356"/>
      <c r="DH6" s="356"/>
      <c r="DI6" s="356"/>
      <c r="DJ6" s="356"/>
      <c r="DK6" s="356"/>
      <c r="DL6" s="356"/>
      <c r="DM6" s="356"/>
      <c r="DN6" s="356"/>
      <c r="DO6" s="356"/>
      <c r="DP6" s="356"/>
      <c r="DQ6" s="356"/>
      <c r="DR6" s="356"/>
      <c r="DS6" s="356"/>
      <c r="DT6" s="356"/>
      <c r="DU6" s="356"/>
      <c r="DV6" s="356"/>
      <c r="DW6" s="356"/>
      <c r="DX6" s="356"/>
      <c r="DY6" s="356"/>
      <c r="DZ6" s="356"/>
      <c r="EA6" s="356"/>
      <c r="EB6" s="356"/>
      <c r="EC6" s="357"/>
      <c r="ED6" s="355" t="s">
        <v>12</v>
      </c>
      <c r="EE6" s="356"/>
      <c r="EF6" s="356"/>
      <c r="EG6" s="356"/>
      <c r="EH6" s="356"/>
      <c r="EI6" s="356"/>
      <c r="EJ6" s="356"/>
      <c r="EK6" s="356"/>
      <c r="EL6" s="356"/>
      <c r="EM6" s="356"/>
      <c r="EN6" s="356"/>
      <c r="EO6" s="356"/>
      <c r="EP6" s="356"/>
      <c r="EQ6" s="356"/>
      <c r="ER6" s="356"/>
      <c r="ES6" s="356"/>
      <c r="ET6" s="356"/>
      <c r="EU6" s="356"/>
      <c r="EV6" s="356"/>
      <c r="EW6" s="356"/>
      <c r="EX6" s="356"/>
      <c r="EY6" s="356"/>
      <c r="EZ6" s="356"/>
      <c r="FA6" s="356"/>
      <c r="FB6" s="356"/>
      <c r="FC6" s="356"/>
      <c r="FD6" s="356"/>
      <c r="FE6" s="356"/>
      <c r="FF6" s="356"/>
      <c r="FG6" s="356"/>
      <c r="FH6" s="357"/>
      <c r="FI6" s="355" t="s">
        <v>13</v>
      </c>
      <c r="FJ6" s="356"/>
      <c r="FK6" s="356"/>
      <c r="FL6" s="356"/>
      <c r="FM6" s="356"/>
      <c r="FN6" s="356"/>
      <c r="FO6" s="356"/>
      <c r="FP6" s="356"/>
      <c r="FQ6" s="356"/>
      <c r="FR6" s="356"/>
      <c r="FS6" s="356"/>
      <c r="FT6" s="356"/>
      <c r="FU6" s="356"/>
      <c r="FV6" s="356"/>
      <c r="FW6" s="356"/>
      <c r="FX6" s="356"/>
      <c r="FY6" s="356"/>
      <c r="FZ6" s="356"/>
      <c r="GA6" s="356"/>
      <c r="GB6" s="356"/>
      <c r="GC6" s="356"/>
      <c r="GD6" s="356"/>
      <c r="GE6" s="356"/>
      <c r="GF6" s="356"/>
      <c r="GG6" s="356"/>
      <c r="GH6" s="356"/>
      <c r="GI6" s="356"/>
      <c r="GJ6" s="356"/>
      <c r="GK6" s="356"/>
      <c r="GL6" s="357"/>
      <c r="GM6" s="351" t="s">
        <v>14</v>
      </c>
      <c r="GN6" s="352"/>
      <c r="GO6" s="352"/>
      <c r="GP6" s="352"/>
      <c r="GQ6" s="352"/>
      <c r="GR6" s="352"/>
      <c r="GS6" s="352"/>
      <c r="GT6" s="352"/>
      <c r="GU6" s="352"/>
      <c r="GV6" s="352"/>
      <c r="GW6" s="352"/>
      <c r="GX6" s="352"/>
      <c r="GY6" s="352"/>
      <c r="GZ6" s="352"/>
      <c r="HA6" s="352"/>
      <c r="HB6" s="352"/>
      <c r="HC6" s="352"/>
      <c r="HD6" s="352"/>
      <c r="HE6" s="352"/>
      <c r="HF6" s="352"/>
      <c r="HG6" s="352"/>
      <c r="HH6" s="352"/>
      <c r="HI6" s="352"/>
      <c r="HJ6" s="352"/>
      <c r="HK6" s="352"/>
      <c r="HL6" s="352"/>
      <c r="HM6" s="352"/>
      <c r="HN6" s="352"/>
      <c r="HO6" s="352"/>
      <c r="HP6" s="352"/>
      <c r="HQ6" s="358"/>
      <c r="HR6" s="351" t="s">
        <v>15</v>
      </c>
      <c r="HS6" s="352"/>
      <c r="HT6" s="352"/>
      <c r="HU6" s="352"/>
      <c r="HV6" s="352"/>
      <c r="HW6" s="352"/>
      <c r="HX6" s="352"/>
      <c r="HY6" s="352"/>
      <c r="HZ6" s="352"/>
      <c r="IA6" s="352"/>
      <c r="IB6" s="352"/>
      <c r="IC6" s="352"/>
      <c r="ID6" s="352"/>
      <c r="IE6" s="352"/>
      <c r="IF6" s="352"/>
      <c r="IG6" s="352"/>
      <c r="IH6" s="352"/>
      <c r="II6" s="352"/>
      <c r="IJ6" s="352"/>
      <c r="IK6" s="352"/>
      <c r="IL6" s="352"/>
      <c r="IM6" s="352"/>
      <c r="IN6" s="352"/>
      <c r="IO6" s="352"/>
      <c r="IP6" s="352"/>
      <c r="IQ6" s="352"/>
      <c r="IR6" s="352"/>
      <c r="IS6" s="352"/>
      <c r="IT6" s="352"/>
      <c r="IU6" s="358"/>
      <c r="IV6" s="351" t="s">
        <v>16</v>
      </c>
      <c r="IW6" s="352"/>
      <c r="IX6" s="352"/>
      <c r="IY6" s="352"/>
      <c r="IZ6" s="352"/>
      <c r="JA6" s="352"/>
      <c r="JB6" s="352"/>
      <c r="JC6" s="352"/>
      <c r="JD6" s="352"/>
      <c r="JE6" s="352"/>
      <c r="JF6" s="352"/>
      <c r="JG6" s="352"/>
      <c r="JH6" s="352"/>
      <c r="JI6" s="352"/>
      <c r="JJ6" s="352"/>
      <c r="JK6" s="352"/>
      <c r="JL6" s="352"/>
      <c r="JM6" s="352"/>
      <c r="JN6" s="352"/>
      <c r="JO6" s="352"/>
      <c r="JP6" s="352"/>
      <c r="JQ6" s="352"/>
      <c r="JR6" s="352"/>
      <c r="JS6" s="352"/>
      <c r="JT6" s="352"/>
      <c r="JU6" s="352"/>
      <c r="JV6" s="352"/>
      <c r="JW6" s="352"/>
      <c r="JX6" s="352"/>
      <c r="JY6" s="352"/>
      <c r="JZ6" s="358"/>
      <c r="KA6" s="351" t="s">
        <v>17</v>
      </c>
      <c r="KB6" s="352"/>
      <c r="KC6" s="352"/>
      <c r="KD6" s="352"/>
      <c r="KE6" s="352"/>
      <c r="KF6" s="352"/>
      <c r="KG6" s="352"/>
      <c r="KH6" s="352"/>
      <c r="KI6" s="352"/>
      <c r="KJ6" s="352"/>
      <c r="KK6" s="352"/>
      <c r="KL6" s="352"/>
      <c r="KM6" s="352"/>
      <c r="KN6" s="352"/>
      <c r="KO6" s="352"/>
      <c r="KP6" s="352"/>
      <c r="KQ6" s="352"/>
      <c r="KR6" s="352"/>
      <c r="KS6" s="352"/>
      <c r="KT6" s="352"/>
      <c r="KU6" s="352"/>
      <c r="KV6" s="352"/>
      <c r="KW6" s="352"/>
      <c r="KX6" s="352"/>
      <c r="KY6" s="352"/>
      <c r="KZ6" s="352"/>
      <c r="LA6" s="352"/>
      <c r="LB6" s="352"/>
      <c r="LC6" s="352"/>
      <c r="LD6" s="352"/>
      <c r="LE6" s="358"/>
      <c r="LF6" s="351" t="s">
        <v>18</v>
      </c>
      <c r="LG6" s="352"/>
      <c r="LH6" s="352"/>
      <c r="LI6" s="352"/>
      <c r="LJ6" s="352"/>
      <c r="LK6" s="352"/>
      <c r="LL6" s="352"/>
      <c r="LM6" s="352"/>
      <c r="LN6" s="352"/>
      <c r="LO6" s="352"/>
      <c r="LP6" s="352"/>
      <c r="LQ6" s="352"/>
      <c r="LR6" s="352"/>
      <c r="LS6" s="352"/>
      <c r="LT6" s="352"/>
      <c r="LU6" s="352"/>
      <c r="LV6" s="352"/>
      <c r="LW6" s="352"/>
      <c r="LX6" s="352"/>
      <c r="LY6" s="352"/>
      <c r="LZ6" s="352"/>
      <c r="MA6" s="352"/>
      <c r="MB6" s="352"/>
      <c r="MC6" s="352"/>
      <c r="MD6" s="352"/>
      <c r="ME6" s="352"/>
      <c r="MF6" s="352"/>
      <c r="MG6" s="358"/>
      <c r="MH6" s="351" t="s">
        <v>19</v>
      </c>
      <c r="MI6" s="352"/>
      <c r="MJ6" s="352"/>
      <c r="MK6" s="352"/>
      <c r="ML6" s="352"/>
      <c r="MM6" s="352"/>
      <c r="MN6" s="352"/>
      <c r="MO6" s="352"/>
      <c r="MP6" s="352"/>
      <c r="MQ6" s="352"/>
      <c r="MR6" s="352"/>
      <c r="MS6" s="352"/>
      <c r="MT6" s="352"/>
      <c r="MU6" s="352"/>
      <c r="MV6" s="352"/>
      <c r="MW6" s="352"/>
      <c r="MX6" s="352"/>
      <c r="MY6" s="352"/>
      <c r="MZ6" s="352"/>
      <c r="NA6" s="352"/>
      <c r="NB6" s="352"/>
      <c r="NC6" s="352"/>
      <c r="ND6" s="352"/>
      <c r="NE6" s="352"/>
      <c r="NF6" s="352"/>
      <c r="NG6" s="352"/>
      <c r="NH6" s="352"/>
      <c r="NI6" s="352"/>
      <c r="NJ6" s="352"/>
      <c r="NK6" s="352"/>
      <c r="NL6" s="352"/>
    </row>
    <row r="7" spans="1:376" s="3" customFormat="1">
      <c r="A7" s="1"/>
      <c r="L7" s="5">
        <v>1</v>
      </c>
      <c r="M7" s="5">
        <v>2</v>
      </c>
      <c r="N7" s="5">
        <v>3</v>
      </c>
      <c r="O7" s="5">
        <v>4</v>
      </c>
      <c r="P7" s="5">
        <v>5</v>
      </c>
      <c r="Q7" s="5">
        <v>6</v>
      </c>
      <c r="R7" s="5">
        <v>7</v>
      </c>
      <c r="S7" s="5">
        <v>8</v>
      </c>
      <c r="T7" s="5">
        <v>9</v>
      </c>
      <c r="U7" s="5">
        <v>10</v>
      </c>
      <c r="V7" s="5">
        <v>11</v>
      </c>
      <c r="W7" s="5">
        <v>12</v>
      </c>
      <c r="X7" s="5">
        <v>13</v>
      </c>
      <c r="Y7" s="5">
        <v>14</v>
      </c>
      <c r="Z7" s="5">
        <v>15</v>
      </c>
      <c r="AA7" s="5">
        <v>16</v>
      </c>
      <c r="AB7" s="5">
        <v>17</v>
      </c>
      <c r="AC7" s="5">
        <v>18</v>
      </c>
      <c r="AD7" s="5">
        <v>19</v>
      </c>
      <c r="AE7" s="5">
        <v>20</v>
      </c>
      <c r="AF7" s="5">
        <v>21</v>
      </c>
      <c r="AG7" s="5">
        <v>22</v>
      </c>
      <c r="AH7" s="5">
        <v>23</v>
      </c>
      <c r="AI7" s="5">
        <v>24</v>
      </c>
      <c r="AJ7" s="5">
        <v>25</v>
      </c>
      <c r="AK7" s="5">
        <v>26</v>
      </c>
      <c r="AL7" s="5">
        <v>27</v>
      </c>
      <c r="AM7" s="5">
        <v>28</v>
      </c>
      <c r="AN7" s="5">
        <v>29</v>
      </c>
      <c r="AO7" s="5">
        <v>30</v>
      </c>
      <c r="AP7" s="5">
        <v>1</v>
      </c>
      <c r="AQ7" s="5">
        <v>2</v>
      </c>
      <c r="AR7" s="5">
        <v>3</v>
      </c>
      <c r="AS7" s="5">
        <v>4</v>
      </c>
      <c r="AT7" s="5">
        <v>5</v>
      </c>
      <c r="AU7" s="5">
        <v>6</v>
      </c>
      <c r="AV7" s="5">
        <v>7</v>
      </c>
      <c r="AW7" s="5">
        <v>8</v>
      </c>
      <c r="AX7" s="5">
        <v>9</v>
      </c>
      <c r="AY7" s="5">
        <v>10</v>
      </c>
      <c r="AZ7" s="5">
        <v>11</v>
      </c>
      <c r="BA7" s="5">
        <v>12</v>
      </c>
      <c r="BB7" s="5">
        <v>13</v>
      </c>
      <c r="BC7" s="5">
        <v>14</v>
      </c>
      <c r="BD7" s="5">
        <v>15</v>
      </c>
      <c r="BE7" s="5">
        <v>16</v>
      </c>
      <c r="BF7" s="5">
        <v>17</v>
      </c>
      <c r="BG7" s="5">
        <v>18</v>
      </c>
      <c r="BH7" s="5">
        <v>19</v>
      </c>
      <c r="BI7" s="5">
        <v>20</v>
      </c>
      <c r="BJ7" s="5">
        <v>21</v>
      </c>
      <c r="BK7" s="5">
        <v>22</v>
      </c>
      <c r="BL7" s="5">
        <v>23</v>
      </c>
      <c r="BM7" s="5">
        <v>24</v>
      </c>
      <c r="BN7" s="5">
        <v>25</v>
      </c>
      <c r="BO7" s="5">
        <v>26</v>
      </c>
      <c r="BP7" s="5">
        <v>27</v>
      </c>
      <c r="BQ7" s="5">
        <v>28</v>
      </c>
      <c r="BR7" s="5">
        <v>29</v>
      </c>
      <c r="BS7" s="5">
        <v>30</v>
      </c>
      <c r="BT7" s="5">
        <v>31</v>
      </c>
      <c r="BU7" s="6">
        <v>1</v>
      </c>
      <c r="BV7" s="6">
        <v>2</v>
      </c>
      <c r="BW7" s="6">
        <v>3</v>
      </c>
      <c r="BX7" s="6">
        <v>4</v>
      </c>
      <c r="BY7" s="6">
        <v>5</v>
      </c>
      <c r="BZ7" s="6">
        <v>6</v>
      </c>
      <c r="CA7" s="6">
        <v>7</v>
      </c>
      <c r="CB7" s="6">
        <v>8</v>
      </c>
      <c r="CC7" s="6">
        <v>9</v>
      </c>
      <c r="CD7" s="6">
        <v>10</v>
      </c>
      <c r="CE7" s="6">
        <v>11</v>
      </c>
      <c r="CF7" s="6">
        <v>12</v>
      </c>
      <c r="CG7" s="6">
        <v>13</v>
      </c>
      <c r="CH7" s="6">
        <v>14</v>
      </c>
      <c r="CI7" s="6">
        <v>15</v>
      </c>
      <c r="CJ7" s="6">
        <v>16</v>
      </c>
      <c r="CK7" s="6">
        <v>17</v>
      </c>
      <c r="CL7" s="6">
        <v>18</v>
      </c>
      <c r="CM7" s="6">
        <v>19</v>
      </c>
      <c r="CN7" s="6">
        <v>20</v>
      </c>
      <c r="CO7" s="6">
        <v>21</v>
      </c>
      <c r="CP7" s="6">
        <v>22</v>
      </c>
      <c r="CQ7" s="6">
        <v>23</v>
      </c>
      <c r="CR7" s="6">
        <v>24</v>
      </c>
      <c r="CS7" s="6">
        <v>25</v>
      </c>
      <c r="CT7" s="6">
        <v>26</v>
      </c>
      <c r="CU7" s="6">
        <v>27</v>
      </c>
      <c r="CV7" s="6">
        <v>28</v>
      </c>
      <c r="CW7" s="6">
        <v>29</v>
      </c>
      <c r="CX7" s="6">
        <v>30</v>
      </c>
      <c r="CY7" s="6">
        <v>1</v>
      </c>
      <c r="CZ7" s="6">
        <v>2</v>
      </c>
      <c r="DA7" s="6">
        <v>3</v>
      </c>
      <c r="DB7" s="6">
        <v>4</v>
      </c>
      <c r="DC7" s="6">
        <v>5</v>
      </c>
      <c r="DD7" s="6">
        <v>6</v>
      </c>
      <c r="DE7" s="6">
        <v>7</v>
      </c>
      <c r="DF7" s="6">
        <v>8</v>
      </c>
      <c r="DG7" s="6">
        <v>9</v>
      </c>
      <c r="DH7" s="6">
        <v>10</v>
      </c>
      <c r="DI7" s="6">
        <v>11</v>
      </c>
      <c r="DJ7" s="6">
        <v>12</v>
      </c>
      <c r="DK7" s="6">
        <v>13</v>
      </c>
      <c r="DL7" s="6">
        <v>14</v>
      </c>
      <c r="DM7" s="6">
        <v>15</v>
      </c>
      <c r="DN7" s="6">
        <v>16</v>
      </c>
      <c r="DO7" s="6">
        <v>17</v>
      </c>
      <c r="DP7" s="6">
        <v>18</v>
      </c>
      <c r="DQ7" s="6">
        <v>19</v>
      </c>
      <c r="DR7" s="6">
        <v>20</v>
      </c>
      <c r="DS7" s="6">
        <v>21</v>
      </c>
      <c r="DT7" s="6">
        <v>22</v>
      </c>
      <c r="DU7" s="6">
        <v>23</v>
      </c>
      <c r="DV7" s="6">
        <v>24</v>
      </c>
      <c r="DW7" s="6">
        <v>25</v>
      </c>
      <c r="DX7" s="6">
        <v>26</v>
      </c>
      <c r="DY7" s="6">
        <v>27</v>
      </c>
      <c r="DZ7" s="6">
        <v>28</v>
      </c>
      <c r="EA7" s="6">
        <v>29</v>
      </c>
      <c r="EB7" s="6">
        <v>30</v>
      </c>
      <c r="EC7" s="6">
        <v>31</v>
      </c>
      <c r="ED7" s="6">
        <v>1</v>
      </c>
      <c r="EE7" s="6">
        <v>2</v>
      </c>
      <c r="EF7" s="6">
        <v>3</v>
      </c>
      <c r="EG7" s="6">
        <v>4</v>
      </c>
      <c r="EH7" s="6">
        <v>5</v>
      </c>
      <c r="EI7" s="6">
        <v>6</v>
      </c>
      <c r="EJ7" s="6">
        <v>7</v>
      </c>
      <c r="EK7" s="6">
        <v>8</v>
      </c>
      <c r="EL7" s="6">
        <v>9</v>
      </c>
      <c r="EM7" s="6">
        <v>10</v>
      </c>
      <c r="EN7" s="6">
        <v>11</v>
      </c>
      <c r="EO7" s="6">
        <v>12</v>
      </c>
      <c r="EP7" s="6">
        <v>13</v>
      </c>
      <c r="EQ7" s="6">
        <v>14</v>
      </c>
      <c r="ER7" s="6">
        <v>15</v>
      </c>
      <c r="ES7" s="6">
        <v>16</v>
      </c>
      <c r="ET7" s="6">
        <v>17</v>
      </c>
      <c r="EU7" s="6">
        <v>18</v>
      </c>
      <c r="EV7" s="6">
        <v>19</v>
      </c>
      <c r="EW7" s="6">
        <v>20</v>
      </c>
      <c r="EX7" s="6">
        <v>21</v>
      </c>
      <c r="EY7" s="6">
        <v>22</v>
      </c>
      <c r="EZ7" s="6">
        <v>23</v>
      </c>
      <c r="FA7" s="6">
        <v>24</v>
      </c>
      <c r="FB7" s="6">
        <v>25</v>
      </c>
      <c r="FC7" s="6">
        <v>26</v>
      </c>
      <c r="FD7" s="6">
        <v>27</v>
      </c>
      <c r="FE7" s="6">
        <v>28</v>
      </c>
      <c r="FF7" s="6">
        <v>29</v>
      </c>
      <c r="FG7" s="6">
        <v>30</v>
      </c>
      <c r="FH7" s="6">
        <v>31</v>
      </c>
      <c r="FI7" s="6">
        <v>1</v>
      </c>
      <c r="FJ7" s="6">
        <v>2</v>
      </c>
      <c r="FK7" s="6">
        <v>3</v>
      </c>
      <c r="FL7" s="6">
        <v>4</v>
      </c>
      <c r="FM7" s="6">
        <v>5</v>
      </c>
      <c r="FN7" s="6">
        <v>6</v>
      </c>
      <c r="FO7" s="6">
        <v>7</v>
      </c>
      <c r="FP7" s="6">
        <v>8</v>
      </c>
      <c r="FQ7" s="6">
        <v>9</v>
      </c>
      <c r="FR7" s="6">
        <v>10</v>
      </c>
      <c r="FS7" s="6">
        <v>11</v>
      </c>
      <c r="FT7" s="6">
        <v>12</v>
      </c>
      <c r="FU7" s="6">
        <v>13</v>
      </c>
      <c r="FV7" s="6">
        <v>14</v>
      </c>
      <c r="FW7" s="6">
        <v>15</v>
      </c>
      <c r="FX7" s="6">
        <v>16</v>
      </c>
      <c r="FY7" s="6">
        <v>17</v>
      </c>
      <c r="FZ7" s="6">
        <v>18</v>
      </c>
      <c r="GA7" s="6">
        <v>19</v>
      </c>
      <c r="GB7" s="6">
        <v>20</v>
      </c>
      <c r="GC7" s="6">
        <v>21</v>
      </c>
      <c r="GD7" s="6">
        <v>22</v>
      </c>
      <c r="GE7" s="6">
        <v>23</v>
      </c>
      <c r="GF7" s="6">
        <v>24</v>
      </c>
      <c r="GG7" s="6">
        <v>25</v>
      </c>
      <c r="GH7" s="6">
        <v>26</v>
      </c>
      <c r="GI7" s="6">
        <v>27</v>
      </c>
      <c r="GJ7" s="6">
        <v>28</v>
      </c>
      <c r="GK7" s="6">
        <v>29</v>
      </c>
      <c r="GL7" s="6">
        <v>30</v>
      </c>
      <c r="GM7" s="6">
        <v>1</v>
      </c>
      <c r="GN7" s="6">
        <v>2</v>
      </c>
      <c r="GO7" s="6">
        <v>3</v>
      </c>
      <c r="GP7" s="6">
        <v>4</v>
      </c>
      <c r="GQ7" s="6">
        <v>5</v>
      </c>
      <c r="GR7" s="6">
        <v>6</v>
      </c>
      <c r="GS7" s="6">
        <v>7</v>
      </c>
      <c r="GT7" s="6">
        <v>8</v>
      </c>
      <c r="GU7" s="6">
        <v>9</v>
      </c>
      <c r="GV7" s="6">
        <v>10</v>
      </c>
      <c r="GW7" s="6">
        <v>11</v>
      </c>
      <c r="GX7" s="6">
        <v>12</v>
      </c>
      <c r="GY7" s="6">
        <v>13</v>
      </c>
      <c r="GZ7" s="6">
        <v>14</v>
      </c>
      <c r="HA7" s="6">
        <v>15</v>
      </c>
      <c r="HB7" s="6">
        <v>16</v>
      </c>
      <c r="HC7" s="6">
        <v>17</v>
      </c>
      <c r="HD7" s="6">
        <v>18</v>
      </c>
      <c r="HE7" s="6">
        <v>19</v>
      </c>
      <c r="HF7" s="6">
        <v>20</v>
      </c>
      <c r="HG7" s="6">
        <v>21</v>
      </c>
      <c r="HH7" s="6">
        <v>22</v>
      </c>
      <c r="HI7" s="6">
        <v>23</v>
      </c>
      <c r="HJ7" s="6">
        <v>24</v>
      </c>
      <c r="HK7" s="6">
        <v>25</v>
      </c>
      <c r="HL7" s="6">
        <v>26</v>
      </c>
      <c r="HM7" s="6">
        <v>27</v>
      </c>
      <c r="HN7" s="6">
        <v>28</v>
      </c>
      <c r="HO7" s="6">
        <v>29</v>
      </c>
      <c r="HP7" s="6">
        <v>30</v>
      </c>
      <c r="HQ7" s="6">
        <v>31</v>
      </c>
      <c r="HR7" s="6">
        <v>1</v>
      </c>
      <c r="HS7" s="6">
        <v>2</v>
      </c>
      <c r="HT7" s="6">
        <v>3</v>
      </c>
      <c r="HU7" s="6">
        <v>4</v>
      </c>
      <c r="HV7" s="6">
        <v>5</v>
      </c>
      <c r="HW7" s="6">
        <v>6</v>
      </c>
      <c r="HX7" s="6">
        <v>7</v>
      </c>
      <c r="HY7" s="6">
        <v>8</v>
      </c>
      <c r="HZ7" s="6">
        <v>9</v>
      </c>
      <c r="IA7" s="6">
        <v>10</v>
      </c>
      <c r="IB7" s="6">
        <v>11</v>
      </c>
      <c r="IC7" s="6">
        <v>12</v>
      </c>
      <c r="ID7" s="6">
        <v>13</v>
      </c>
      <c r="IE7" s="6">
        <v>14</v>
      </c>
      <c r="IF7" s="6">
        <v>15</v>
      </c>
      <c r="IG7" s="6">
        <v>16</v>
      </c>
      <c r="IH7" s="6">
        <v>17</v>
      </c>
      <c r="II7" s="6">
        <v>18</v>
      </c>
      <c r="IJ7" s="6">
        <v>19</v>
      </c>
      <c r="IK7" s="6">
        <v>20</v>
      </c>
      <c r="IL7" s="6">
        <v>21</v>
      </c>
      <c r="IM7" s="6">
        <v>22</v>
      </c>
      <c r="IN7" s="6">
        <v>23</v>
      </c>
      <c r="IO7" s="6">
        <v>24</v>
      </c>
      <c r="IP7" s="6">
        <v>25</v>
      </c>
      <c r="IQ7" s="6">
        <v>26</v>
      </c>
      <c r="IR7" s="6">
        <v>27</v>
      </c>
      <c r="IS7" s="6">
        <v>28</v>
      </c>
      <c r="IT7" s="6">
        <v>29</v>
      </c>
      <c r="IU7" s="6">
        <v>30</v>
      </c>
      <c r="IV7" s="6">
        <v>1</v>
      </c>
      <c r="IW7" s="6">
        <v>2</v>
      </c>
      <c r="IX7" s="6">
        <v>3</v>
      </c>
      <c r="IY7" s="6">
        <v>4</v>
      </c>
      <c r="IZ7" s="6">
        <v>5</v>
      </c>
      <c r="JA7" s="6">
        <v>6</v>
      </c>
      <c r="JB7" s="6">
        <v>7</v>
      </c>
      <c r="JC7" s="6">
        <v>8</v>
      </c>
      <c r="JD7" s="6">
        <v>9</v>
      </c>
      <c r="JE7" s="6">
        <v>10</v>
      </c>
      <c r="JF7" s="6">
        <v>11</v>
      </c>
      <c r="JG7" s="6">
        <v>12</v>
      </c>
      <c r="JH7" s="6">
        <v>13</v>
      </c>
      <c r="JI7" s="6">
        <v>14</v>
      </c>
      <c r="JJ7" s="6">
        <v>15</v>
      </c>
      <c r="JK7" s="6">
        <v>16</v>
      </c>
      <c r="JL7" s="6">
        <v>17</v>
      </c>
      <c r="JM7" s="6">
        <v>18</v>
      </c>
      <c r="JN7" s="6">
        <v>19</v>
      </c>
      <c r="JO7" s="6">
        <v>20</v>
      </c>
      <c r="JP7" s="6">
        <v>21</v>
      </c>
      <c r="JQ7" s="6">
        <v>22</v>
      </c>
      <c r="JR7" s="6">
        <v>23</v>
      </c>
      <c r="JS7" s="6">
        <v>24</v>
      </c>
      <c r="JT7" s="6">
        <v>25</v>
      </c>
      <c r="JU7" s="6">
        <v>26</v>
      </c>
      <c r="JV7" s="6">
        <v>27</v>
      </c>
      <c r="JW7" s="6">
        <v>28</v>
      </c>
      <c r="JX7" s="6">
        <v>29</v>
      </c>
      <c r="JY7" s="6">
        <v>30</v>
      </c>
      <c r="JZ7" s="6">
        <v>31</v>
      </c>
      <c r="KA7" s="6">
        <v>1</v>
      </c>
      <c r="KB7" s="6">
        <v>2</v>
      </c>
      <c r="KC7" s="6">
        <v>3</v>
      </c>
      <c r="KD7" s="6">
        <v>4</v>
      </c>
      <c r="KE7" s="6">
        <v>5</v>
      </c>
      <c r="KF7" s="6">
        <v>6</v>
      </c>
      <c r="KG7" s="6">
        <v>7</v>
      </c>
      <c r="KH7" s="6">
        <v>8</v>
      </c>
      <c r="KI7" s="6">
        <v>9</v>
      </c>
      <c r="KJ7" s="6">
        <v>10</v>
      </c>
      <c r="KK7" s="6">
        <v>11</v>
      </c>
      <c r="KL7" s="6">
        <v>12</v>
      </c>
      <c r="KM7" s="6">
        <v>13</v>
      </c>
      <c r="KN7" s="6">
        <v>14</v>
      </c>
      <c r="KO7" s="6">
        <v>15</v>
      </c>
      <c r="KP7" s="6">
        <v>16</v>
      </c>
      <c r="KQ7" s="6">
        <v>17</v>
      </c>
      <c r="KR7" s="6">
        <v>18</v>
      </c>
      <c r="KS7" s="6">
        <v>19</v>
      </c>
      <c r="KT7" s="6">
        <v>20</v>
      </c>
      <c r="KU7" s="6">
        <v>21</v>
      </c>
      <c r="KV7" s="6">
        <v>22</v>
      </c>
      <c r="KW7" s="6">
        <v>23</v>
      </c>
      <c r="KX7" s="6">
        <v>24</v>
      </c>
      <c r="KY7" s="6">
        <v>25</v>
      </c>
      <c r="KZ7" s="6">
        <v>26</v>
      </c>
      <c r="LA7" s="6">
        <v>27</v>
      </c>
      <c r="LB7" s="6">
        <v>28</v>
      </c>
      <c r="LC7" s="6">
        <v>29</v>
      </c>
      <c r="LD7" s="6">
        <v>30</v>
      </c>
      <c r="LE7" s="6">
        <v>31</v>
      </c>
      <c r="LF7" s="6">
        <v>1</v>
      </c>
      <c r="LG7" s="6">
        <v>2</v>
      </c>
      <c r="LH7" s="6">
        <v>3</v>
      </c>
      <c r="LI7" s="6">
        <v>4</v>
      </c>
      <c r="LJ7" s="6">
        <v>5</v>
      </c>
      <c r="LK7" s="6">
        <v>6</v>
      </c>
      <c r="LL7" s="6">
        <v>7</v>
      </c>
      <c r="LM7" s="6">
        <v>8</v>
      </c>
      <c r="LN7" s="6">
        <v>9</v>
      </c>
      <c r="LO7" s="6">
        <v>10</v>
      </c>
      <c r="LP7" s="6">
        <v>11</v>
      </c>
      <c r="LQ7" s="6">
        <v>12</v>
      </c>
      <c r="LR7" s="6">
        <v>13</v>
      </c>
      <c r="LS7" s="6">
        <v>14</v>
      </c>
      <c r="LT7" s="6">
        <v>15</v>
      </c>
      <c r="LU7" s="6">
        <v>16</v>
      </c>
      <c r="LV7" s="6">
        <v>17</v>
      </c>
      <c r="LW7" s="6">
        <v>18</v>
      </c>
      <c r="LX7" s="6">
        <v>19</v>
      </c>
      <c r="LY7" s="6">
        <v>20</v>
      </c>
      <c r="LZ7" s="6">
        <v>21</v>
      </c>
      <c r="MA7" s="6">
        <v>22</v>
      </c>
      <c r="MB7" s="6">
        <v>23</v>
      </c>
      <c r="MC7" s="6">
        <v>24</v>
      </c>
      <c r="MD7" s="6">
        <v>25</v>
      </c>
      <c r="ME7" s="6">
        <v>26</v>
      </c>
      <c r="MF7" s="6">
        <v>27</v>
      </c>
      <c r="MG7" s="6">
        <v>28</v>
      </c>
      <c r="MH7" s="6">
        <v>1</v>
      </c>
      <c r="MI7" s="6">
        <v>2</v>
      </c>
      <c r="MJ7" s="6">
        <v>3</v>
      </c>
      <c r="MK7" s="6">
        <v>4</v>
      </c>
      <c r="ML7" s="6">
        <v>5</v>
      </c>
      <c r="MM7" s="6">
        <v>6</v>
      </c>
      <c r="MN7" s="6">
        <v>7</v>
      </c>
      <c r="MO7" s="6">
        <v>8</v>
      </c>
      <c r="MP7" s="6">
        <v>9</v>
      </c>
      <c r="MQ7" s="6">
        <v>10</v>
      </c>
      <c r="MR7" s="6">
        <v>11</v>
      </c>
      <c r="MS7" s="6">
        <v>12</v>
      </c>
      <c r="MT7" s="6">
        <v>13</v>
      </c>
      <c r="MU7" s="6">
        <v>14</v>
      </c>
      <c r="MV7" s="6">
        <v>15</v>
      </c>
      <c r="MW7" s="6">
        <v>16</v>
      </c>
      <c r="MX7" s="6">
        <v>17</v>
      </c>
      <c r="MY7" s="6">
        <v>18</v>
      </c>
      <c r="MZ7" s="6">
        <v>19</v>
      </c>
      <c r="NA7" s="6">
        <v>20</v>
      </c>
      <c r="NB7" s="6">
        <v>21</v>
      </c>
      <c r="NC7" s="6">
        <v>22</v>
      </c>
      <c r="ND7" s="6">
        <v>23</v>
      </c>
      <c r="NE7" s="6">
        <v>24</v>
      </c>
      <c r="NF7" s="6">
        <v>25</v>
      </c>
      <c r="NG7" s="6">
        <v>26</v>
      </c>
      <c r="NH7" s="6">
        <v>27</v>
      </c>
      <c r="NI7" s="6">
        <v>28</v>
      </c>
      <c r="NJ7" s="6">
        <v>29</v>
      </c>
      <c r="NK7" s="6">
        <v>30</v>
      </c>
      <c r="NL7" s="6">
        <v>31</v>
      </c>
    </row>
    <row r="8" spans="1:376" s="4" customFormat="1" ht="19.5" customHeight="1" thickBot="1">
      <c r="A8" s="1"/>
      <c r="B8" s="31" t="s">
        <v>20</v>
      </c>
      <c r="C8" s="31" t="s">
        <v>21</v>
      </c>
      <c r="D8" s="31" t="s">
        <v>22</v>
      </c>
      <c r="E8" s="31" t="s">
        <v>23</v>
      </c>
      <c r="F8" s="31" t="s">
        <v>24</v>
      </c>
      <c r="G8" s="31" t="s">
        <v>25</v>
      </c>
      <c r="H8" s="31" t="s">
        <v>26</v>
      </c>
      <c r="I8" s="31" t="s">
        <v>27</v>
      </c>
      <c r="J8" s="31" t="s">
        <v>4</v>
      </c>
      <c r="K8" s="31" t="s">
        <v>28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</row>
    <row r="9" spans="1:376" ht="15.75" thickBot="1">
      <c r="B9" s="29" t="s">
        <v>29</v>
      </c>
      <c r="C9" s="29" t="s">
        <v>30</v>
      </c>
      <c r="D9" s="29" t="s">
        <v>31</v>
      </c>
      <c r="E9" s="29">
        <v>0</v>
      </c>
      <c r="F9" s="29">
        <v>15</v>
      </c>
      <c r="G9" s="29">
        <v>4</v>
      </c>
      <c r="H9" s="29">
        <f t="shared" ref="H9:H37" si="0">E9+F9-COUNTIF(L9:NL9,$C$2)</f>
        <v>0</v>
      </c>
      <c r="I9" s="30">
        <f t="shared" ref="I9:I37" si="1">G9-COUNTIF(L9:NL9,$C$3)</f>
        <v>4</v>
      </c>
      <c r="J9" s="30">
        <f t="shared" ref="J9:J37" si="2">COUNTIF(K9:NK9,$C$4)</f>
        <v>4</v>
      </c>
      <c r="K9" s="30">
        <f t="shared" ref="K9:K37" si="3">COUNTIF(L9:NL9,$C$5)</f>
        <v>0</v>
      </c>
      <c r="L9" s="28"/>
      <c r="M9" s="8"/>
      <c r="N9" s="8"/>
      <c r="O9" s="7"/>
      <c r="P9" s="7"/>
      <c r="Q9" s="8"/>
      <c r="R9" s="8"/>
      <c r="S9" s="8"/>
      <c r="T9" s="8"/>
      <c r="U9" s="7"/>
      <c r="V9" s="7"/>
      <c r="W9" s="7"/>
      <c r="X9" s="7"/>
      <c r="Y9" s="8"/>
      <c r="Z9" s="8"/>
      <c r="AA9" s="8"/>
      <c r="AB9" s="8"/>
      <c r="AC9" s="7"/>
      <c r="AD9" s="7"/>
      <c r="AE9" s="7"/>
      <c r="AF9" s="8"/>
      <c r="AG9" s="8"/>
      <c r="AH9" s="8"/>
      <c r="AI9" s="8"/>
      <c r="AJ9" s="7"/>
      <c r="AK9" s="7"/>
      <c r="AL9" s="8"/>
      <c r="AM9" s="8"/>
      <c r="AN9" s="8"/>
      <c r="AO9" s="8"/>
      <c r="AP9" s="7"/>
      <c r="AQ9" s="7"/>
      <c r="AR9" s="7"/>
      <c r="AS9" s="8"/>
      <c r="AT9" s="8"/>
      <c r="AU9" s="8"/>
      <c r="AV9" s="8"/>
      <c r="AW9" s="8"/>
      <c r="AX9" s="7"/>
      <c r="AY9" s="7"/>
      <c r="AZ9" s="8"/>
      <c r="BA9" s="8"/>
      <c r="BB9" s="8"/>
      <c r="BC9" s="8"/>
      <c r="BD9" s="8"/>
      <c r="BE9" s="7"/>
      <c r="BF9" s="7"/>
      <c r="BG9" s="8"/>
      <c r="BH9" s="8"/>
      <c r="BI9" s="8"/>
      <c r="BJ9" s="8"/>
      <c r="BK9" s="8"/>
      <c r="BL9" s="7"/>
      <c r="BM9" s="7"/>
      <c r="BN9" s="8"/>
      <c r="BO9" s="8"/>
      <c r="BP9" s="8"/>
      <c r="BQ9" s="8"/>
      <c r="BR9" s="8"/>
      <c r="BS9" s="7"/>
      <c r="BT9" s="7"/>
      <c r="BU9" s="8"/>
      <c r="BV9" s="8"/>
      <c r="BW9" s="8"/>
      <c r="BX9" s="8"/>
      <c r="BY9" s="8"/>
      <c r="BZ9" s="7"/>
      <c r="CA9" s="7"/>
      <c r="CB9" s="8"/>
      <c r="CC9" s="8"/>
      <c r="CD9" s="8"/>
      <c r="CE9" s="8"/>
      <c r="CF9" s="8"/>
      <c r="CG9" s="7"/>
      <c r="CH9" s="7"/>
      <c r="CI9" s="8"/>
      <c r="CJ9" s="8"/>
      <c r="CK9" s="8"/>
      <c r="CL9" s="8"/>
      <c r="CM9" s="8"/>
      <c r="CN9" s="7"/>
      <c r="CO9" s="7"/>
      <c r="CP9" s="8"/>
      <c r="CQ9" s="8"/>
      <c r="CR9" s="7"/>
      <c r="CS9" s="8"/>
      <c r="CT9" s="8"/>
      <c r="CU9" s="7"/>
      <c r="CV9" s="7"/>
      <c r="CW9" s="8"/>
      <c r="CX9" s="8"/>
      <c r="CY9" s="8"/>
      <c r="CZ9" s="8"/>
      <c r="DA9" s="8"/>
      <c r="DB9" s="7"/>
      <c r="DC9" s="7"/>
      <c r="DD9" s="8"/>
      <c r="DE9" s="8"/>
      <c r="DF9" s="8"/>
      <c r="DG9" s="8"/>
      <c r="DH9" s="8"/>
      <c r="DI9" s="7"/>
      <c r="DJ9" s="7"/>
      <c r="DK9" s="8"/>
      <c r="DL9" s="8"/>
      <c r="DM9" s="8"/>
      <c r="DN9" s="8"/>
      <c r="DO9" s="8"/>
      <c r="DP9" s="7"/>
      <c r="DQ9" s="7"/>
      <c r="DR9" s="8"/>
      <c r="DS9" s="8"/>
      <c r="DT9" s="8"/>
      <c r="DU9" s="8"/>
      <c r="DV9" s="8"/>
      <c r="DW9" s="7"/>
      <c r="DX9" s="7"/>
      <c r="DY9" s="8"/>
      <c r="DZ9" s="8"/>
      <c r="EA9" s="8"/>
      <c r="EB9" s="8"/>
      <c r="EC9" s="8"/>
      <c r="ED9" s="7"/>
      <c r="EE9" s="7"/>
      <c r="EF9" s="8"/>
      <c r="EG9" s="8"/>
      <c r="EH9" s="8"/>
      <c r="EI9" s="8"/>
      <c r="EJ9" s="8"/>
      <c r="EK9" s="7"/>
      <c r="EL9" s="7"/>
      <c r="EM9" s="8"/>
      <c r="EN9" s="8"/>
      <c r="EO9" s="8"/>
      <c r="EP9" s="8"/>
      <c r="EQ9" s="8"/>
      <c r="ER9" s="7"/>
      <c r="ES9" s="7"/>
      <c r="ET9" s="8"/>
      <c r="EU9" s="8"/>
      <c r="EV9" s="8"/>
      <c r="EW9" s="8"/>
      <c r="EX9" s="8"/>
      <c r="EY9" s="7"/>
      <c r="EZ9" s="7"/>
      <c r="FA9" s="8"/>
      <c r="FB9" s="8"/>
      <c r="FC9" s="8"/>
      <c r="FD9" s="8"/>
      <c r="FE9" s="8"/>
      <c r="FF9" s="7"/>
      <c r="FG9" s="7"/>
      <c r="FH9" s="8"/>
      <c r="FI9" s="8"/>
      <c r="FJ9" s="8"/>
      <c r="FK9" s="8"/>
      <c r="FL9" s="8"/>
      <c r="FM9" s="7"/>
      <c r="FN9" s="7"/>
      <c r="FO9" s="8"/>
      <c r="FP9" s="8"/>
      <c r="FQ9" s="8"/>
      <c r="FR9" s="8"/>
      <c r="FS9" s="8"/>
      <c r="FT9" s="7"/>
      <c r="FU9" s="7"/>
      <c r="FV9" s="8"/>
      <c r="FW9" s="8"/>
      <c r="FX9" s="8"/>
      <c r="FY9" s="8"/>
      <c r="FZ9" s="8"/>
      <c r="GA9" s="7"/>
      <c r="GB9" s="7"/>
      <c r="GC9" s="8"/>
      <c r="GD9" s="8"/>
      <c r="GE9" s="8"/>
      <c r="GF9" s="8"/>
      <c r="GG9" s="8"/>
      <c r="GH9" s="7"/>
      <c r="GI9" s="7"/>
      <c r="GJ9" s="8"/>
      <c r="GK9" s="8"/>
      <c r="GL9" s="8"/>
      <c r="GM9" s="8"/>
      <c r="GN9" s="8"/>
      <c r="GO9" s="7"/>
      <c r="GP9" s="7"/>
      <c r="GQ9" s="8"/>
      <c r="GR9" s="8"/>
      <c r="GS9" s="8"/>
      <c r="GT9" s="8"/>
      <c r="GU9" s="7"/>
      <c r="GV9" s="7"/>
      <c r="GW9" s="7"/>
      <c r="GX9" s="7"/>
      <c r="GY9" s="8"/>
      <c r="GZ9" s="8"/>
      <c r="HA9" s="8"/>
      <c r="HB9" s="8"/>
      <c r="HC9" s="7"/>
      <c r="HD9" s="7"/>
      <c r="HE9" s="8"/>
      <c r="HF9" s="8"/>
      <c r="HG9" s="8"/>
      <c r="HH9" s="8"/>
      <c r="HI9" s="8"/>
      <c r="HJ9" s="7"/>
      <c r="HK9" s="7"/>
      <c r="HL9" s="8"/>
      <c r="HM9" s="8"/>
      <c r="HN9" s="8"/>
      <c r="HO9" s="8"/>
      <c r="HP9" s="8"/>
      <c r="HQ9" s="7"/>
      <c r="HR9" s="7"/>
      <c r="HS9" s="8"/>
      <c r="HT9" s="8"/>
      <c r="HU9" s="8"/>
      <c r="HV9" s="8"/>
      <c r="HW9" s="8"/>
      <c r="HX9" s="7"/>
      <c r="HY9" s="7"/>
      <c r="HZ9" s="8"/>
      <c r="IA9" s="8"/>
      <c r="IB9" s="8"/>
      <c r="IC9" s="8"/>
      <c r="ID9" s="8"/>
      <c r="IE9" s="7"/>
      <c r="IF9" s="7"/>
      <c r="IG9" s="8"/>
      <c r="IH9" s="8"/>
      <c r="II9" s="8"/>
      <c r="IJ9" s="8"/>
      <c r="IK9" s="8"/>
      <c r="IL9" s="7"/>
      <c r="IM9" s="7"/>
      <c r="IN9" s="8"/>
      <c r="IO9" s="8"/>
      <c r="IP9" s="8"/>
      <c r="IQ9" s="8"/>
      <c r="IR9" s="8"/>
      <c r="IS9" s="7"/>
      <c r="IT9" s="7"/>
      <c r="IU9" s="8"/>
      <c r="IV9" s="8"/>
      <c r="IW9" s="8"/>
      <c r="IX9" s="8"/>
      <c r="IY9" s="8"/>
      <c r="IZ9" s="7"/>
      <c r="JA9" s="7"/>
      <c r="JB9" s="15" t="s">
        <v>1</v>
      </c>
      <c r="JC9" s="25"/>
      <c r="JD9" s="15" t="s">
        <v>1</v>
      </c>
      <c r="JE9" s="15" t="s">
        <v>1</v>
      </c>
      <c r="JF9" s="15" t="s">
        <v>1</v>
      </c>
      <c r="JG9" s="7"/>
      <c r="JH9" s="7"/>
      <c r="JI9" s="15" t="s">
        <v>1</v>
      </c>
      <c r="JJ9" s="15" t="s">
        <v>1</v>
      </c>
      <c r="JK9" s="15" t="s">
        <v>1</v>
      </c>
      <c r="JL9" s="15" t="s">
        <v>1</v>
      </c>
      <c r="JM9" s="15" t="s">
        <v>1</v>
      </c>
      <c r="JN9" s="7"/>
      <c r="JO9" s="7"/>
      <c r="JP9" s="15" t="s">
        <v>1</v>
      </c>
      <c r="JQ9" s="8"/>
      <c r="JR9" s="8"/>
      <c r="JS9" s="8"/>
      <c r="JT9" s="25"/>
      <c r="JU9" s="7"/>
      <c r="JV9" s="7"/>
      <c r="JW9" s="8"/>
      <c r="JX9" s="8"/>
      <c r="JY9" s="8"/>
      <c r="JZ9" s="8"/>
      <c r="KA9" s="25"/>
      <c r="KB9" s="7"/>
      <c r="KC9" s="7"/>
      <c r="KD9" s="8"/>
      <c r="KE9" s="8"/>
      <c r="KF9" s="8"/>
      <c r="KG9" s="8"/>
      <c r="KH9" s="8"/>
      <c r="KI9" s="7"/>
      <c r="KJ9" s="7"/>
      <c r="KK9" s="8"/>
      <c r="KL9" s="8"/>
      <c r="KM9" s="8"/>
      <c r="KN9" s="8"/>
      <c r="KO9" s="8"/>
      <c r="KP9" s="7"/>
      <c r="KQ9" s="7"/>
      <c r="KR9" s="8"/>
      <c r="KS9" s="8"/>
      <c r="KT9" s="8"/>
      <c r="KU9" s="8"/>
      <c r="KV9" s="8"/>
      <c r="KW9" s="7"/>
      <c r="KX9" s="7"/>
      <c r="KY9" s="8"/>
      <c r="KZ9" s="8"/>
      <c r="LA9" s="8"/>
      <c r="LB9" s="8"/>
      <c r="LC9" s="8"/>
      <c r="LD9" s="7"/>
      <c r="LE9" s="7"/>
      <c r="LF9" s="8"/>
      <c r="LG9" s="8"/>
      <c r="LH9" s="8"/>
      <c r="LI9" s="8"/>
      <c r="LJ9" s="8"/>
      <c r="LK9" s="7"/>
      <c r="LL9" s="7"/>
      <c r="LM9" s="8"/>
      <c r="LN9" s="8"/>
      <c r="LO9" s="8"/>
      <c r="LP9" s="8"/>
      <c r="LQ9" s="8"/>
      <c r="LR9" s="7"/>
      <c r="LS9" s="7"/>
      <c r="LT9" s="8"/>
      <c r="LU9" s="8"/>
      <c r="LV9" s="8"/>
      <c r="LW9" s="8"/>
      <c r="LX9" s="8"/>
      <c r="LY9" s="7"/>
      <c r="LZ9" s="7"/>
      <c r="MA9" s="8"/>
      <c r="MB9" s="8"/>
      <c r="MC9" s="8"/>
      <c r="MD9" s="8"/>
      <c r="ME9" s="8"/>
      <c r="MF9" s="7"/>
      <c r="MG9" s="7"/>
      <c r="MH9" s="8"/>
      <c r="MI9" s="8"/>
      <c r="MJ9" s="8"/>
      <c r="MK9" s="8"/>
      <c r="ML9" s="8"/>
      <c r="MM9" s="7"/>
      <c r="MN9" s="7"/>
      <c r="MO9" s="8"/>
      <c r="MP9" s="18" t="s">
        <v>5</v>
      </c>
      <c r="MQ9" s="18" t="s">
        <v>5</v>
      </c>
      <c r="MR9" s="18" t="s">
        <v>5</v>
      </c>
      <c r="MS9" s="18" t="s">
        <v>5</v>
      </c>
      <c r="MT9" s="7"/>
      <c r="MU9" s="7"/>
      <c r="MV9" s="15" t="s">
        <v>1</v>
      </c>
      <c r="MW9" s="15" t="s">
        <v>1</v>
      </c>
      <c r="MX9" s="15" t="s">
        <v>1</v>
      </c>
      <c r="MY9" s="15" t="s">
        <v>1</v>
      </c>
      <c r="MZ9" s="15" t="s">
        <v>1</v>
      </c>
      <c r="NA9" s="7"/>
      <c r="NB9" s="7"/>
      <c r="NC9" s="8"/>
      <c r="ND9" s="8"/>
      <c r="NE9" s="8"/>
      <c r="NF9" s="8"/>
      <c r="NG9" s="8"/>
      <c r="NH9" s="7"/>
      <c r="NI9" s="7"/>
      <c r="NJ9" s="8"/>
      <c r="NK9" s="8"/>
      <c r="NL9" s="8"/>
    </row>
    <row r="10" spans="1:376" ht="15.75" thickBot="1">
      <c r="B10" s="29" t="s">
        <v>32</v>
      </c>
      <c r="C10" s="29" t="s">
        <v>30</v>
      </c>
      <c r="D10" s="29" t="s">
        <v>31</v>
      </c>
      <c r="E10" s="29">
        <v>0</v>
      </c>
      <c r="F10" s="29">
        <v>15</v>
      </c>
      <c r="G10" s="29">
        <v>0</v>
      </c>
      <c r="H10" s="29">
        <f t="shared" si="0"/>
        <v>0</v>
      </c>
      <c r="I10" s="30">
        <f t="shared" si="1"/>
        <v>0</v>
      </c>
      <c r="J10" s="30">
        <f t="shared" si="2"/>
        <v>0</v>
      </c>
      <c r="K10" s="30">
        <f t="shared" si="3"/>
        <v>0</v>
      </c>
      <c r="L10" s="28"/>
      <c r="M10" s="8"/>
      <c r="N10" s="8"/>
      <c r="O10" s="7"/>
      <c r="P10" s="7"/>
      <c r="Q10" s="8"/>
      <c r="R10" s="8"/>
      <c r="S10" s="8"/>
      <c r="T10" s="8"/>
      <c r="U10" s="7"/>
      <c r="V10" s="7"/>
      <c r="W10" s="7"/>
      <c r="X10" s="7"/>
      <c r="Y10" s="8"/>
      <c r="Z10" s="8"/>
      <c r="AA10" s="8"/>
      <c r="AB10" s="8"/>
      <c r="AC10" s="7"/>
      <c r="AD10" s="7"/>
      <c r="AE10" s="7"/>
      <c r="AF10" s="8"/>
      <c r="AG10" s="8"/>
      <c r="AH10" s="8"/>
      <c r="AI10" s="8"/>
      <c r="AJ10" s="7"/>
      <c r="AK10" s="7"/>
      <c r="AL10" s="8"/>
      <c r="AM10" s="8"/>
      <c r="AN10" s="8"/>
      <c r="AO10" s="8"/>
      <c r="AP10" s="7"/>
      <c r="AQ10" s="7"/>
      <c r="AR10" s="7"/>
      <c r="AS10" s="8"/>
      <c r="AT10" s="8"/>
      <c r="AU10" s="8"/>
      <c r="AV10" s="8"/>
      <c r="AW10" s="8"/>
      <c r="AX10" s="7"/>
      <c r="AY10" s="7"/>
      <c r="AZ10" s="8"/>
      <c r="BA10" s="8"/>
      <c r="BB10" s="8"/>
      <c r="BC10" s="8"/>
      <c r="BD10" s="8"/>
      <c r="BE10" s="7"/>
      <c r="BF10" s="7"/>
      <c r="BG10" s="8"/>
      <c r="BH10" s="8"/>
      <c r="BI10" s="8"/>
      <c r="BJ10" s="8"/>
      <c r="BK10" s="8"/>
      <c r="BL10" s="7"/>
      <c r="BM10" s="7"/>
      <c r="BN10" s="8"/>
      <c r="BO10" s="8"/>
      <c r="BP10" s="8"/>
      <c r="BQ10" s="8"/>
      <c r="BR10" s="8"/>
      <c r="BS10" s="7"/>
      <c r="BT10" s="7"/>
      <c r="BU10" s="8"/>
      <c r="BV10" s="8"/>
      <c r="BW10" s="8"/>
      <c r="BX10" s="8"/>
      <c r="BY10" s="8"/>
      <c r="BZ10" s="7"/>
      <c r="CA10" s="7"/>
      <c r="CB10" s="8"/>
      <c r="CC10" s="8"/>
      <c r="CD10" s="8"/>
      <c r="CE10" s="8"/>
      <c r="CF10" s="8"/>
      <c r="CG10" s="7"/>
      <c r="CH10" s="7"/>
      <c r="CI10" s="8"/>
      <c r="CJ10" s="8"/>
      <c r="CK10" s="8"/>
      <c r="CL10" s="8"/>
      <c r="CM10" s="8"/>
      <c r="CN10" s="7"/>
      <c r="CO10" s="7"/>
      <c r="CP10" s="8"/>
      <c r="CQ10" s="8"/>
      <c r="CR10" s="7"/>
      <c r="CS10" s="8"/>
      <c r="CT10" s="8"/>
      <c r="CU10" s="7"/>
      <c r="CV10" s="7"/>
      <c r="CW10" s="8"/>
      <c r="CX10" s="8"/>
      <c r="CY10" s="8"/>
      <c r="CZ10" s="8"/>
      <c r="DA10" s="8"/>
      <c r="DB10" s="7"/>
      <c r="DC10" s="7"/>
      <c r="DD10" s="8"/>
      <c r="DE10" s="8"/>
      <c r="DF10" s="8"/>
      <c r="DG10" s="8"/>
      <c r="DH10" s="8"/>
      <c r="DI10" s="7"/>
      <c r="DJ10" s="7"/>
      <c r="DK10" s="8"/>
      <c r="DL10" s="8"/>
      <c r="DM10" s="8"/>
      <c r="DN10" s="8"/>
      <c r="DO10" s="8"/>
      <c r="DP10" s="7"/>
      <c r="DQ10" s="7"/>
      <c r="DR10" s="8"/>
      <c r="DS10" s="8"/>
      <c r="DT10" s="8"/>
      <c r="DU10" s="8"/>
      <c r="DV10" s="8"/>
      <c r="DW10" s="7"/>
      <c r="DX10" s="7"/>
      <c r="DY10" s="8"/>
      <c r="DZ10" s="8"/>
      <c r="EA10" s="8"/>
      <c r="EB10" s="8"/>
      <c r="EC10" s="8"/>
      <c r="ED10" s="7"/>
      <c r="EE10" s="7"/>
      <c r="EF10" s="8"/>
      <c r="EG10" s="8"/>
      <c r="EH10" s="8"/>
      <c r="EI10" s="8"/>
      <c r="EJ10" s="8"/>
      <c r="EK10" s="7"/>
      <c r="EL10" s="7"/>
      <c r="EM10" s="8"/>
      <c r="EN10" s="8"/>
      <c r="EO10" s="8"/>
      <c r="EP10" s="8"/>
      <c r="EQ10" s="8"/>
      <c r="ER10" s="7"/>
      <c r="ES10" s="7"/>
      <c r="ET10" s="8"/>
      <c r="EU10" s="8"/>
      <c r="EV10" s="8"/>
      <c r="EW10" s="8"/>
      <c r="EX10" s="8"/>
      <c r="EY10" s="7"/>
      <c r="EZ10" s="7"/>
      <c r="FA10" s="8"/>
      <c r="FB10" s="8"/>
      <c r="FC10" s="8"/>
      <c r="FD10" s="8"/>
      <c r="FE10" s="8"/>
      <c r="FF10" s="7"/>
      <c r="FG10" s="7"/>
      <c r="FH10" s="8"/>
      <c r="FI10" s="8"/>
      <c r="FJ10" s="8"/>
      <c r="FK10" s="8"/>
      <c r="FL10" s="8"/>
      <c r="FM10" s="7"/>
      <c r="FN10" s="7"/>
      <c r="FO10" s="8"/>
      <c r="FP10" s="8"/>
      <c r="FQ10" s="8"/>
      <c r="FR10" s="8"/>
      <c r="FS10" s="8"/>
      <c r="FT10" s="7"/>
      <c r="FU10" s="7"/>
      <c r="FV10" s="8"/>
      <c r="FW10" s="8"/>
      <c r="FX10" s="8"/>
      <c r="FY10" s="8"/>
      <c r="FZ10" s="8"/>
      <c r="GA10" s="7"/>
      <c r="GB10" s="7"/>
      <c r="GC10" s="8"/>
      <c r="GD10" s="8"/>
      <c r="GE10" s="8"/>
      <c r="GF10" s="8"/>
      <c r="GG10" s="8"/>
      <c r="GH10" s="7"/>
      <c r="GI10" s="7"/>
      <c r="GJ10" s="8"/>
      <c r="GK10" s="8"/>
      <c r="GL10" s="8"/>
      <c r="GM10" s="8"/>
      <c r="GN10" s="8"/>
      <c r="GO10" s="7"/>
      <c r="GP10" s="7"/>
      <c r="GQ10" s="8"/>
      <c r="GR10" s="8"/>
      <c r="GS10" s="8"/>
      <c r="GT10" s="8"/>
      <c r="GU10" s="7"/>
      <c r="GV10" s="7"/>
      <c r="GW10" s="7"/>
      <c r="GX10" s="7"/>
      <c r="GY10" s="8"/>
      <c r="GZ10" s="8"/>
      <c r="HA10" s="8"/>
      <c r="HB10" s="8"/>
      <c r="HC10" s="7"/>
      <c r="HD10" s="7"/>
      <c r="HE10" s="8"/>
      <c r="HF10" s="8"/>
      <c r="HG10" s="8"/>
      <c r="HH10" s="8"/>
      <c r="HI10" s="8"/>
      <c r="HJ10" s="7"/>
      <c r="HK10" s="7"/>
      <c r="HL10" s="8"/>
      <c r="HM10" s="8"/>
      <c r="HN10" s="8"/>
      <c r="HO10" s="8"/>
      <c r="HP10" s="8"/>
      <c r="HQ10" s="7"/>
      <c r="HR10" s="7"/>
      <c r="HS10" s="8"/>
      <c r="HT10" s="8"/>
      <c r="HU10" s="8"/>
      <c r="HV10" s="8"/>
      <c r="HW10" s="8"/>
      <c r="HX10" s="7"/>
      <c r="HY10" s="7"/>
      <c r="HZ10" s="8"/>
      <c r="IA10" s="8"/>
      <c r="IB10" s="8"/>
      <c r="IC10" s="8"/>
      <c r="ID10" s="8"/>
      <c r="IE10" s="7"/>
      <c r="IF10" s="7"/>
      <c r="IG10" s="8"/>
      <c r="IH10" s="8"/>
      <c r="II10" s="8"/>
      <c r="IJ10" s="8"/>
      <c r="IK10" s="8"/>
      <c r="IL10" s="7"/>
      <c r="IM10" s="7"/>
      <c r="IN10" s="8"/>
      <c r="IO10" s="8"/>
      <c r="IP10" s="8"/>
      <c r="IQ10" s="8"/>
      <c r="IR10" s="8"/>
      <c r="IS10" s="7"/>
      <c r="IT10" s="7"/>
      <c r="IU10" s="8"/>
      <c r="IV10" s="8"/>
      <c r="IW10" s="8"/>
      <c r="IX10" s="8"/>
      <c r="IY10" s="8"/>
      <c r="IZ10" s="7"/>
      <c r="JA10" s="7"/>
      <c r="JB10" s="15" t="s">
        <v>1</v>
      </c>
      <c r="JC10" s="25"/>
      <c r="JD10" s="15" t="s">
        <v>1</v>
      </c>
      <c r="JE10" s="15" t="s">
        <v>1</v>
      </c>
      <c r="JF10" s="15" t="s">
        <v>1</v>
      </c>
      <c r="JG10" s="7"/>
      <c r="JH10" s="7"/>
      <c r="JI10" s="8"/>
      <c r="JJ10" s="8"/>
      <c r="JK10" s="8"/>
      <c r="JL10" s="8"/>
      <c r="JM10" s="8"/>
      <c r="JN10" s="7"/>
      <c r="JO10" s="7"/>
      <c r="JP10" s="8"/>
      <c r="JQ10" s="8"/>
      <c r="JR10" s="8"/>
      <c r="JS10" s="8"/>
      <c r="JT10" s="25"/>
      <c r="JU10" s="7"/>
      <c r="JV10" s="7"/>
      <c r="JW10" s="8"/>
      <c r="JX10" s="8"/>
      <c r="JY10" s="8"/>
      <c r="JZ10" s="8"/>
      <c r="KA10" s="25"/>
      <c r="KB10" s="7"/>
      <c r="KC10" s="7"/>
      <c r="KD10" s="8"/>
      <c r="KE10" s="8"/>
      <c r="KF10" s="8"/>
      <c r="KG10" s="8"/>
      <c r="KH10" s="8"/>
      <c r="KI10" s="7"/>
      <c r="KJ10" s="7"/>
      <c r="KK10" s="8"/>
      <c r="KL10" s="8"/>
      <c r="KM10" s="8"/>
      <c r="KN10" s="8"/>
      <c r="KO10" s="8"/>
      <c r="KP10" s="7"/>
      <c r="KQ10" s="7"/>
      <c r="KR10" s="8"/>
      <c r="KS10" s="8"/>
      <c r="KT10" s="8"/>
      <c r="KU10" s="8"/>
      <c r="KV10" s="8"/>
      <c r="KW10" s="7"/>
      <c r="KX10" s="7"/>
      <c r="KY10" s="8"/>
      <c r="KZ10" s="8"/>
      <c r="LA10" s="8"/>
      <c r="LB10" s="8"/>
      <c r="LC10" s="8"/>
      <c r="LD10" s="7"/>
      <c r="LE10" s="7"/>
      <c r="LF10" s="8"/>
      <c r="LG10" s="15" t="s">
        <v>1</v>
      </c>
      <c r="LH10" s="15" t="s">
        <v>1</v>
      </c>
      <c r="LI10" s="15" t="s">
        <v>1</v>
      </c>
      <c r="LJ10" s="15" t="s">
        <v>1</v>
      </c>
      <c r="LK10" s="7"/>
      <c r="LL10" s="7"/>
      <c r="LM10" s="15" t="s">
        <v>1</v>
      </c>
      <c r="LN10" s="15" t="s">
        <v>1</v>
      </c>
      <c r="LO10" s="15" t="s">
        <v>1</v>
      </c>
      <c r="LP10" s="15" t="s">
        <v>1</v>
      </c>
      <c r="LQ10" s="15" t="s">
        <v>1</v>
      </c>
      <c r="LR10" s="7"/>
      <c r="LS10" s="7"/>
      <c r="LT10" s="15" t="s">
        <v>1</v>
      </c>
      <c r="LU10" s="15" t="s">
        <v>1</v>
      </c>
      <c r="LV10" s="8"/>
      <c r="LW10" s="8"/>
      <c r="LX10" s="8"/>
      <c r="LY10" s="7"/>
      <c r="LZ10" s="7"/>
      <c r="MA10" s="8"/>
      <c r="MB10" s="8"/>
      <c r="MC10" s="8"/>
      <c r="MD10" s="8"/>
      <c r="ME10" s="8"/>
      <c r="MF10" s="7"/>
      <c r="MG10" s="7"/>
      <c r="MH10" s="8"/>
      <c r="MI10" s="8"/>
      <c r="MJ10" s="8"/>
      <c r="MK10" s="8"/>
      <c r="ML10" s="8"/>
      <c r="MM10" s="7"/>
      <c r="MN10" s="7"/>
      <c r="MO10" s="8"/>
      <c r="MP10" s="8"/>
      <c r="MQ10" s="8"/>
      <c r="MR10" s="8"/>
      <c r="MS10" s="8"/>
      <c r="MT10" s="7"/>
      <c r="MU10" s="7"/>
      <c r="MV10" s="8"/>
      <c r="MW10" s="8"/>
      <c r="MX10" s="8"/>
      <c r="MY10" s="8"/>
      <c r="MZ10" s="8"/>
      <c r="NA10" s="7"/>
      <c r="NB10" s="7"/>
      <c r="NC10" s="8"/>
      <c r="ND10" s="8"/>
      <c r="NE10" s="8"/>
      <c r="NF10" s="8"/>
      <c r="NG10" s="8"/>
      <c r="NH10" s="7"/>
      <c r="NI10" s="7"/>
      <c r="NJ10" s="8"/>
      <c r="NK10" s="8"/>
      <c r="NL10" s="8"/>
    </row>
    <row r="11" spans="1:376" ht="15.75" thickBot="1">
      <c r="B11" s="29" t="s">
        <v>33</v>
      </c>
      <c r="C11" s="29" t="s">
        <v>30</v>
      </c>
      <c r="D11" s="29" t="s">
        <v>31</v>
      </c>
      <c r="E11" s="29">
        <v>0</v>
      </c>
      <c r="F11" s="29">
        <v>13</v>
      </c>
      <c r="G11" s="29">
        <v>0</v>
      </c>
      <c r="H11" s="29">
        <f t="shared" si="0"/>
        <v>0</v>
      </c>
      <c r="I11" s="30">
        <f t="shared" si="1"/>
        <v>0</v>
      </c>
      <c r="J11" s="30">
        <f t="shared" si="2"/>
        <v>0</v>
      </c>
      <c r="K11" s="30">
        <f t="shared" si="3"/>
        <v>0</v>
      </c>
      <c r="L11" s="28"/>
      <c r="M11" s="8"/>
      <c r="N11" s="8"/>
      <c r="O11" s="7"/>
      <c r="P11" s="7"/>
      <c r="Q11" s="8"/>
      <c r="R11" s="8"/>
      <c r="S11" s="8"/>
      <c r="T11" s="8"/>
      <c r="U11" s="7"/>
      <c r="V11" s="7"/>
      <c r="W11" s="7"/>
      <c r="X11" s="7"/>
      <c r="Y11" s="8"/>
      <c r="Z11" s="8"/>
      <c r="AA11" s="8"/>
      <c r="AB11" s="8"/>
      <c r="AC11" s="7"/>
      <c r="AD11" s="7"/>
      <c r="AE11" s="7"/>
      <c r="AF11" s="8"/>
      <c r="AG11" s="8"/>
      <c r="AH11" s="8"/>
      <c r="AI11" s="8"/>
      <c r="AJ11" s="7"/>
      <c r="AK11" s="7"/>
      <c r="AL11" s="8"/>
      <c r="AM11" s="8"/>
      <c r="AN11" s="8"/>
      <c r="AO11" s="8"/>
      <c r="AP11" s="7"/>
      <c r="AQ11" s="7"/>
      <c r="AR11" s="7"/>
      <c r="AS11" s="8"/>
      <c r="AT11" s="8"/>
      <c r="AU11" s="8"/>
      <c r="AV11" s="8"/>
      <c r="AW11" s="8"/>
      <c r="AX11" s="7"/>
      <c r="AY11" s="7"/>
      <c r="AZ11" s="8"/>
      <c r="BA11" s="8"/>
      <c r="BB11" s="8"/>
      <c r="BC11" s="8"/>
      <c r="BD11" s="8"/>
      <c r="BE11" s="7"/>
      <c r="BF11" s="7"/>
      <c r="BG11" s="8"/>
      <c r="BH11" s="8"/>
      <c r="BI11" s="8"/>
      <c r="BJ11" s="8"/>
      <c r="BK11" s="8"/>
      <c r="BL11" s="7"/>
      <c r="BM11" s="7"/>
      <c r="BN11" s="8"/>
      <c r="BO11" s="8"/>
      <c r="BP11" s="8"/>
      <c r="BQ11" s="8"/>
      <c r="BR11" s="8"/>
      <c r="BS11" s="7"/>
      <c r="BT11" s="7"/>
      <c r="BU11" s="8"/>
      <c r="BV11" s="8"/>
      <c r="BW11" s="8"/>
      <c r="BX11" s="8"/>
      <c r="BY11" s="8"/>
      <c r="BZ11" s="7"/>
      <c r="CA11" s="7"/>
      <c r="CB11" s="8"/>
      <c r="CC11" s="8"/>
      <c r="CD11" s="8"/>
      <c r="CE11" s="8"/>
      <c r="CF11" s="8"/>
      <c r="CG11" s="7"/>
      <c r="CH11" s="7"/>
      <c r="CI11" s="8"/>
      <c r="CJ11" s="8"/>
      <c r="CK11" s="8"/>
      <c r="CL11" s="8"/>
      <c r="CM11" s="8"/>
      <c r="CN11" s="7"/>
      <c r="CO11" s="7"/>
      <c r="CP11" s="8"/>
      <c r="CQ11" s="8"/>
      <c r="CR11" s="7"/>
      <c r="CS11" s="8"/>
      <c r="CT11" s="8"/>
      <c r="CU11" s="7"/>
      <c r="CV11" s="7"/>
      <c r="CW11" s="8"/>
      <c r="CX11" s="8"/>
      <c r="CY11" s="8"/>
      <c r="CZ11" s="8"/>
      <c r="DA11" s="8"/>
      <c r="DB11" s="7"/>
      <c r="DC11" s="7"/>
      <c r="DD11" s="8"/>
      <c r="DE11" s="8"/>
      <c r="DF11" s="8"/>
      <c r="DG11" s="8"/>
      <c r="DH11" s="8"/>
      <c r="DI11" s="7"/>
      <c r="DJ11" s="7"/>
      <c r="DK11" s="8"/>
      <c r="DL11" s="8"/>
      <c r="DM11" s="8"/>
      <c r="DN11" s="8"/>
      <c r="DO11" s="8"/>
      <c r="DP11" s="7"/>
      <c r="DQ11" s="7"/>
      <c r="DR11" s="8"/>
      <c r="DS11" s="8"/>
      <c r="DT11" s="8"/>
      <c r="DU11" s="8"/>
      <c r="DV11" s="8"/>
      <c r="DW11" s="7"/>
      <c r="DX11" s="7"/>
      <c r="DY11" s="8"/>
      <c r="DZ11" s="8"/>
      <c r="EA11" s="8"/>
      <c r="EB11" s="8"/>
      <c r="EC11" s="8"/>
      <c r="ED11" s="7"/>
      <c r="EE11" s="7"/>
      <c r="EF11" s="8"/>
      <c r="EG11" s="8"/>
      <c r="EH11" s="8"/>
      <c r="EI11" s="8"/>
      <c r="EJ11" s="8"/>
      <c r="EK11" s="7"/>
      <c r="EL11" s="7"/>
      <c r="EM11" s="8"/>
      <c r="EN11" s="8"/>
      <c r="EO11" s="8"/>
      <c r="EP11" s="8"/>
      <c r="EQ11" s="8"/>
      <c r="ER11" s="7"/>
      <c r="ES11" s="7"/>
      <c r="ET11" s="8"/>
      <c r="EU11" s="8"/>
      <c r="EV11" s="8"/>
      <c r="EW11" s="8"/>
      <c r="EX11" s="8"/>
      <c r="EY11" s="7"/>
      <c r="EZ11" s="7"/>
      <c r="FA11" s="8"/>
      <c r="FB11" s="8"/>
      <c r="FC11" s="8"/>
      <c r="FD11" s="8"/>
      <c r="FE11" s="8"/>
      <c r="FF11" s="7"/>
      <c r="FG11" s="7"/>
      <c r="FH11" s="8"/>
      <c r="FI11" s="8"/>
      <c r="FJ11" s="8"/>
      <c r="FK11" s="8"/>
      <c r="FL11" s="8"/>
      <c r="FM11" s="7"/>
      <c r="FN11" s="7"/>
      <c r="FO11" s="8"/>
      <c r="FP11" s="8"/>
      <c r="FQ11" s="8"/>
      <c r="FR11" s="8"/>
      <c r="FS11" s="8"/>
      <c r="FT11" s="7"/>
      <c r="FU11" s="7"/>
      <c r="FV11" s="8"/>
      <c r="FW11" s="8"/>
      <c r="FX11" s="8"/>
      <c r="FY11" s="8"/>
      <c r="FZ11" s="8"/>
      <c r="GA11" s="7"/>
      <c r="GB11" s="7"/>
      <c r="GC11" s="8"/>
      <c r="GD11" s="8"/>
      <c r="GE11" s="8"/>
      <c r="GF11" s="8"/>
      <c r="GG11" s="8"/>
      <c r="GH11" s="7"/>
      <c r="GI11" s="7"/>
      <c r="GJ11" s="8"/>
      <c r="GK11" s="8"/>
      <c r="GL11" s="8"/>
      <c r="GM11" s="8"/>
      <c r="GN11" s="8"/>
      <c r="GO11" s="7"/>
      <c r="GP11" s="7"/>
      <c r="GQ11" s="8"/>
      <c r="GR11" s="8"/>
      <c r="GS11" s="8"/>
      <c r="GT11" s="8"/>
      <c r="GU11" s="7"/>
      <c r="GV11" s="7"/>
      <c r="GW11" s="7"/>
      <c r="GX11" s="7"/>
      <c r="GY11" s="8"/>
      <c r="GZ11" s="8"/>
      <c r="HA11" s="8"/>
      <c r="HB11" s="8"/>
      <c r="HC11" s="7"/>
      <c r="HD11" s="7"/>
      <c r="HE11" s="8"/>
      <c r="HF11" s="8"/>
      <c r="HG11" s="8"/>
      <c r="HH11" s="8"/>
      <c r="HI11" s="8"/>
      <c r="HJ11" s="7"/>
      <c r="HK11" s="7"/>
      <c r="HL11" s="8"/>
      <c r="HM11" s="8"/>
      <c r="HN11" s="8"/>
      <c r="HO11" s="8"/>
      <c r="HP11" s="8"/>
      <c r="HQ11" s="7"/>
      <c r="HR11" s="7"/>
      <c r="HS11" s="8"/>
      <c r="HT11" s="8"/>
      <c r="HU11" s="8"/>
      <c r="HV11" s="8"/>
      <c r="HW11" s="8"/>
      <c r="HX11" s="7"/>
      <c r="HY11" s="7"/>
      <c r="HZ11" s="8"/>
      <c r="IA11" s="8"/>
      <c r="IB11" s="8"/>
      <c r="IC11" s="8"/>
      <c r="ID11" s="8"/>
      <c r="IE11" s="7"/>
      <c r="IF11" s="7"/>
      <c r="IG11" s="8"/>
      <c r="IH11" s="8"/>
      <c r="II11" s="8"/>
      <c r="IJ11" s="8"/>
      <c r="IK11" s="8"/>
      <c r="IL11" s="7"/>
      <c r="IM11" s="7"/>
      <c r="IN11" s="8"/>
      <c r="IO11" s="8"/>
      <c r="IP11" s="8"/>
      <c r="IQ11" s="8"/>
      <c r="IR11" s="8"/>
      <c r="IS11" s="7"/>
      <c r="IT11" s="7"/>
      <c r="IU11" s="8"/>
      <c r="IV11" s="8"/>
      <c r="IW11" s="8"/>
      <c r="IX11" s="8"/>
      <c r="IY11" s="8"/>
      <c r="IZ11" s="7"/>
      <c r="JA11" s="7"/>
      <c r="JB11" s="8"/>
      <c r="JC11" s="25"/>
      <c r="JD11" s="8"/>
      <c r="JE11" s="8"/>
      <c r="JF11" s="8"/>
      <c r="JG11" s="7"/>
      <c r="JH11" s="7"/>
      <c r="JI11" s="8"/>
      <c r="JJ11" s="8"/>
      <c r="JK11" s="8"/>
      <c r="JL11" s="8"/>
      <c r="JM11" s="8"/>
      <c r="JN11" s="7"/>
      <c r="JO11" s="7"/>
      <c r="JP11" s="8"/>
      <c r="JQ11" s="8"/>
      <c r="JR11" s="8"/>
      <c r="JS11" s="8"/>
      <c r="JT11" s="25"/>
      <c r="JU11" s="7"/>
      <c r="JV11" s="7"/>
      <c r="JW11" s="8"/>
      <c r="JX11" s="8"/>
      <c r="JY11" s="8"/>
      <c r="JZ11" s="8"/>
      <c r="KA11" s="25"/>
      <c r="KB11" s="7"/>
      <c r="KC11" s="7"/>
      <c r="KD11" s="8"/>
      <c r="KE11" s="8"/>
      <c r="KF11" s="8"/>
      <c r="KG11" s="8"/>
      <c r="KH11" s="8"/>
      <c r="KI11" s="7"/>
      <c r="KJ11" s="7"/>
      <c r="KK11" s="8"/>
      <c r="KL11" s="8"/>
      <c r="KM11" s="8"/>
      <c r="KN11" s="8"/>
      <c r="KO11" s="8"/>
      <c r="KP11" s="7"/>
      <c r="KQ11" s="7"/>
      <c r="KR11" s="8"/>
      <c r="KS11" s="8"/>
      <c r="KT11" s="8"/>
      <c r="KU11" s="8"/>
      <c r="KV11" s="8"/>
      <c r="KW11" s="7"/>
      <c r="KX11" s="7"/>
      <c r="KY11" s="8"/>
      <c r="KZ11" s="8"/>
      <c r="LA11" s="8"/>
      <c r="LB11" s="8"/>
      <c r="LC11" s="8"/>
      <c r="LD11" s="7"/>
      <c r="LE11" s="7"/>
      <c r="LF11" s="8"/>
      <c r="LG11" s="8"/>
      <c r="LH11" s="8"/>
      <c r="LI11" s="8"/>
      <c r="LJ11" s="8"/>
      <c r="LK11" s="7"/>
      <c r="LL11" s="7"/>
      <c r="LM11" s="8"/>
      <c r="LN11" s="8"/>
      <c r="LO11" s="8"/>
      <c r="LP11" s="8"/>
      <c r="LQ11" s="8"/>
      <c r="LR11" s="7"/>
      <c r="LS11" s="7"/>
      <c r="LT11" s="8"/>
      <c r="LU11" s="8"/>
      <c r="LV11" s="15" t="s">
        <v>1</v>
      </c>
      <c r="LW11" s="15" t="s">
        <v>1</v>
      </c>
      <c r="LX11" s="15" t="s">
        <v>1</v>
      </c>
      <c r="LY11" s="7"/>
      <c r="LZ11" s="7"/>
      <c r="MA11" s="15" t="s">
        <v>1</v>
      </c>
      <c r="MB11" s="15" t="s">
        <v>1</v>
      </c>
      <c r="MC11" s="15" t="s">
        <v>1</v>
      </c>
      <c r="MD11" s="15" t="s">
        <v>1</v>
      </c>
      <c r="ME11" s="15" t="s">
        <v>1</v>
      </c>
      <c r="MF11" s="7"/>
      <c r="MG11" s="7"/>
      <c r="MH11" s="15" t="s">
        <v>1</v>
      </c>
      <c r="MI11" s="15" t="s">
        <v>1</v>
      </c>
      <c r="MJ11" s="15" t="s">
        <v>1</v>
      </c>
      <c r="MK11" s="15" t="s">
        <v>1</v>
      </c>
      <c r="ML11" s="15" t="s">
        <v>1</v>
      </c>
      <c r="MM11" s="7"/>
      <c r="MN11" s="7"/>
      <c r="MO11" s="8"/>
      <c r="MP11" s="8"/>
      <c r="MQ11" s="8"/>
      <c r="MR11" s="8"/>
      <c r="MS11" s="8"/>
      <c r="MT11" s="7"/>
      <c r="MU11" s="7"/>
      <c r="MV11" s="8"/>
      <c r="MW11" s="8"/>
      <c r="MX11" s="8"/>
      <c r="MY11" s="8"/>
      <c r="MZ11" s="8"/>
      <c r="NA11" s="7"/>
      <c r="NB11" s="7"/>
      <c r="NC11" s="8"/>
      <c r="ND11" s="8"/>
      <c r="NE11" s="8"/>
      <c r="NF11" s="8"/>
      <c r="NG11" s="8"/>
      <c r="NH11" s="7"/>
      <c r="NI11" s="7"/>
      <c r="NJ11" s="8"/>
      <c r="NK11" s="8"/>
      <c r="NL11" s="8"/>
    </row>
    <row r="12" spans="1:376" ht="15.75" thickBot="1">
      <c r="B12" s="29" t="s">
        <v>34</v>
      </c>
      <c r="C12" s="29" t="s">
        <v>30</v>
      </c>
      <c r="D12" s="29" t="s">
        <v>31</v>
      </c>
      <c r="E12" s="29">
        <v>0</v>
      </c>
      <c r="F12" s="29">
        <v>14</v>
      </c>
      <c r="G12" s="29">
        <v>0</v>
      </c>
      <c r="H12" s="29">
        <f t="shared" si="0"/>
        <v>0</v>
      </c>
      <c r="I12" s="30">
        <f t="shared" si="1"/>
        <v>0</v>
      </c>
      <c r="J12" s="30">
        <f t="shared" si="2"/>
        <v>0</v>
      </c>
      <c r="K12" s="30">
        <f t="shared" si="3"/>
        <v>0</v>
      </c>
      <c r="L12" s="28"/>
      <c r="M12" s="8"/>
      <c r="N12" s="8"/>
      <c r="O12" s="7"/>
      <c r="P12" s="7"/>
      <c r="Q12" s="8"/>
      <c r="R12" s="8"/>
      <c r="S12" s="8"/>
      <c r="T12" s="8"/>
      <c r="U12" s="7"/>
      <c r="V12" s="7"/>
      <c r="W12" s="7"/>
      <c r="X12" s="7"/>
      <c r="Y12" s="8"/>
      <c r="Z12" s="8"/>
      <c r="AA12" s="8"/>
      <c r="AB12" s="8"/>
      <c r="AC12" s="7"/>
      <c r="AD12" s="7"/>
      <c r="AE12" s="7"/>
      <c r="AF12" s="8"/>
      <c r="AG12" s="8"/>
      <c r="AH12" s="8"/>
      <c r="AI12" s="8"/>
      <c r="AJ12" s="7"/>
      <c r="AK12" s="7"/>
      <c r="AL12" s="8"/>
      <c r="AM12" s="8"/>
      <c r="AN12" s="8"/>
      <c r="AO12" s="8"/>
      <c r="AP12" s="7"/>
      <c r="AQ12" s="7"/>
      <c r="AR12" s="7"/>
      <c r="AS12" s="8"/>
      <c r="AT12" s="8"/>
      <c r="AU12" s="8"/>
      <c r="AV12" s="8"/>
      <c r="AW12" s="8"/>
      <c r="AX12" s="7"/>
      <c r="AY12" s="7"/>
      <c r="AZ12" s="8"/>
      <c r="BA12" s="8"/>
      <c r="BB12" s="8"/>
      <c r="BC12" s="8"/>
      <c r="BD12" s="8"/>
      <c r="BE12" s="7"/>
      <c r="BF12" s="7"/>
      <c r="BG12" s="8"/>
      <c r="BH12" s="8"/>
      <c r="BI12" s="8"/>
      <c r="BJ12" s="8"/>
      <c r="BK12" s="8"/>
      <c r="BL12" s="7"/>
      <c r="BM12" s="7"/>
      <c r="BN12" s="8"/>
      <c r="BO12" s="8"/>
      <c r="BP12" s="8"/>
      <c r="BQ12" s="8"/>
      <c r="BR12" s="8"/>
      <c r="BS12" s="7"/>
      <c r="BT12" s="7"/>
      <c r="BU12" s="8"/>
      <c r="BV12" s="8"/>
      <c r="BW12" s="8"/>
      <c r="BX12" s="8"/>
      <c r="BY12" s="8"/>
      <c r="BZ12" s="7"/>
      <c r="CA12" s="7"/>
      <c r="CB12" s="8"/>
      <c r="CC12" s="8"/>
      <c r="CD12" s="8"/>
      <c r="CE12" s="8"/>
      <c r="CF12" s="8"/>
      <c r="CG12" s="7"/>
      <c r="CH12" s="7"/>
      <c r="CI12" s="8"/>
      <c r="CJ12" s="8"/>
      <c r="CK12" s="8"/>
      <c r="CL12" s="8"/>
      <c r="CM12" s="8"/>
      <c r="CN12" s="7"/>
      <c r="CO12" s="7"/>
      <c r="CP12" s="8"/>
      <c r="CQ12" s="8"/>
      <c r="CR12" s="7"/>
      <c r="CS12" s="8"/>
      <c r="CT12" s="8"/>
      <c r="CU12" s="7"/>
      <c r="CV12" s="7"/>
      <c r="CW12" s="8"/>
      <c r="CX12" s="8"/>
      <c r="CY12" s="8"/>
      <c r="CZ12" s="8"/>
      <c r="DA12" s="8"/>
      <c r="DB12" s="7"/>
      <c r="DC12" s="7"/>
      <c r="DD12" s="8"/>
      <c r="DE12" s="8"/>
      <c r="DF12" s="8"/>
      <c r="DG12" s="8"/>
      <c r="DH12" s="8"/>
      <c r="DI12" s="7"/>
      <c r="DJ12" s="7"/>
      <c r="DK12" s="8"/>
      <c r="DL12" s="8"/>
      <c r="DM12" s="8"/>
      <c r="DN12" s="8"/>
      <c r="DO12" s="8"/>
      <c r="DP12" s="7"/>
      <c r="DQ12" s="7"/>
      <c r="DR12" s="8"/>
      <c r="DS12" s="8"/>
      <c r="DT12" s="8"/>
      <c r="DU12" s="8"/>
      <c r="DV12" s="8"/>
      <c r="DW12" s="7"/>
      <c r="DX12" s="7"/>
      <c r="DY12" s="8"/>
      <c r="DZ12" s="8"/>
      <c r="EA12" s="8"/>
      <c r="EB12" s="8"/>
      <c r="EC12" s="8"/>
      <c r="ED12" s="7"/>
      <c r="EE12" s="7"/>
      <c r="EF12" s="8"/>
      <c r="EG12" s="8"/>
      <c r="EH12" s="8"/>
      <c r="EI12" s="8"/>
      <c r="EJ12" s="8"/>
      <c r="EK12" s="7"/>
      <c r="EL12" s="7"/>
      <c r="EM12" s="8"/>
      <c r="EN12" s="8"/>
      <c r="EO12" s="8"/>
      <c r="EP12" s="8"/>
      <c r="EQ12" s="8"/>
      <c r="ER12" s="7"/>
      <c r="ES12" s="7"/>
      <c r="ET12" s="8"/>
      <c r="EU12" s="8"/>
      <c r="EV12" s="8"/>
      <c r="EW12" s="8"/>
      <c r="EX12" s="8"/>
      <c r="EY12" s="7"/>
      <c r="EZ12" s="7"/>
      <c r="FA12" s="8"/>
      <c r="FB12" s="8"/>
      <c r="FC12" s="8"/>
      <c r="FD12" s="8"/>
      <c r="FE12" s="8"/>
      <c r="FF12" s="7"/>
      <c r="FG12" s="7"/>
      <c r="FH12" s="8"/>
      <c r="FI12" s="8"/>
      <c r="FJ12" s="8"/>
      <c r="FK12" s="8"/>
      <c r="FL12" s="8"/>
      <c r="FM12" s="7"/>
      <c r="FN12" s="7"/>
      <c r="FO12" s="8"/>
      <c r="FP12" s="8"/>
      <c r="FQ12" s="8"/>
      <c r="FR12" s="8"/>
      <c r="FS12" s="8"/>
      <c r="FT12" s="7"/>
      <c r="FU12" s="7"/>
      <c r="FV12" s="8"/>
      <c r="FW12" s="8"/>
      <c r="FX12" s="8"/>
      <c r="FY12" s="8"/>
      <c r="FZ12" s="8"/>
      <c r="GA12" s="7"/>
      <c r="GB12" s="7"/>
      <c r="GC12" s="8"/>
      <c r="GD12" s="8"/>
      <c r="GE12" s="8"/>
      <c r="GF12" s="8"/>
      <c r="GG12" s="8"/>
      <c r="GH12" s="7"/>
      <c r="GI12" s="7"/>
      <c r="GJ12" s="8"/>
      <c r="GK12" s="8"/>
      <c r="GL12" s="8"/>
      <c r="GM12" s="8"/>
      <c r="GN12" s="8"/>
      <c r="GO12" s="7"/>
      <c r="GP12" s="7"/>
      <c r="GQ12" s="8"/>
      <c r="GR12" s="8"/>
      <c r="GS12" s="8"/>
      <c r="GT12" s="8"/>
      <c r="GU12" s="7"/>
      <c r="GV12" s="7"/>
      <c r="GW12" s="7"/>
      <c r="GX12" s="7"/>
      <c r="GY12" s="8"/>
      <c r="GZ12" s="8"/>
      <c r="HA12" s="8"/>
      <c r="HB12" s="8"/>
      <c r="HC12" s="7"/>
      <c r="HD12" s="7"/>
      <c r="HE12" s="8"/>
      <c r="HF12" s="8"/>
      <c r="HG12" s="8"/>
      <c r="HH12" s="8"/>
      <c r="HI12" s="8"/>
      <c r="HJ12" s="7"/>
      <c r="HK12" s="7"/>
      <c r="HL12" s="8"/>
      <c r="HM12" s="8"/>
      <c r="HN12" s="8"/>
      <c r="HO12" s="8"/>
      <c r="HP12" s="8"/>
      <c r="HQ12" s="7"/>
      <c r="HR12" s="7"/>
      <c r="HS12" s="8"/>
      <c r="HT12" s="8"/>
      <c r="HU12" s="8"/>
      <c r="HV12" s="8"/>
      <c r="HW12" s="8"/>
      <c r="HX12" s="7"/>
      <c r="HY12" s="7"/>
      <c r="HZ12" s="8"/>
      <c r="IA12" s="8"/>
      <c r="IB12" s="8"/>
      <c r="IC12" s="11"/>
      <c r="ID12" s="11"/>
      <c r="IE12" s="7"/>
      <c r="IF12" s="7"/>
      <c r="IG12" s="11"/>
      <c r="IH12" s="8"/>
      <c r="II12" s="8"/>
      <c r="IJ12" s="8"/>
      <c r="IK12" s="8"/>
      <c r="IL12" s="7"/>
      <c r="IM12" s="7"/>
      <c r="IN12" s="8"/>
      <c r="IO12" s="8"/>
      <c r="IP12" s="8"/>
      <c r="IQ12" s="8"/>
      <c r="IR12" s="8"/>
      <c r="IS12" s="7"/>
      <c r="IT12" s="7"/>
      <c r="IU12" s="8"/>
      <c r="IV12" s="8"/>
      <c r="IW12" s="8"/>
      <c r="IX12" s="8"/>
      <c r="IY12" s="8"/>
      <c r="IZ12" s="7"/>
      <c r="JA12" s="7"/>
      <c r="JB12" s="8"/>
      <c r="JC12" s="25"/>
      <c r="JD12" s="8"/>
      <c r="JE12" s="8"/>
      <c r="JF12" s="8"/>
      <c r="JG12" s="7"/>
      <c r="JH12" s="7"/>
      <c r="JI12" s="8"/>
      <c r="JJ12" s="8"/>
      <c r="JK12" s="8"/>
      <c r="JL12" s="8"/>
      <c r="JM12" s="8"/>
      <c r="JN12" s="7"/>
      <c r="JO12" s="7"/>
      <c r="JP12" s="8"/>
      <c r="JQ12" s="15" t="s">
        <v>1</v>
      </c>
      <c r="JR12" s="15" t="s">
        <v>1</v>
      </c>
      <c r="JS12" s="15" t="s">
        <v>1</v>
      </c>
      <c r="JT12" s="25"/>
      <c r="JU12" s="7"/>
      <c r="JV12" s="7"/>
      <c r="JW12" s="8"/>
      <c r="JX12" s="8"/>
      <c r="JY12" s="8"/>
      <c r="JZ12" s="8"/>
      <c r="KA12" s="25"/>
      <c r="KB12" s="7"/>
      <c r="KC12" s="7"/>
      <c r="KD12" s="15" t="s">
        <v>1</v>
      </c>
      <c r="KE12" s="15" t="s">
        <v>1</v>
      </c>
      <c r="KF12" s="15" t="s">
        <v>1</v>
      </c>
      <c r="KG12" s="15" t="s">
        <v>1</v>
      </c>
      <c r="KH12" s="15" t="s">
        <v>1</v>
      </c>
      <c r="KI12" s="7"/>
      <c r="KJ12" s="7"/>
      <c r="KK12" s="8"/>
      <c r="KL12" s="8"/>
      <c r="KM12" s="8"/>
      <c r="KN12" s="8"/>
      <c r="KO12" s="8"/>
      <c r="KP12" s="7"/>
      <c r="KQ12" s="7"/>
      <c r="KR12" s="8"/>
      <c r="KS12" s="8"/>
      <c r="KT12" s="8"/>
      <c r="KU12" s="8"/>
      <c r="KV12" s="8"/>
      <c r="KW12" s="7"/>
      <c r="KX12" s="7"/>
      <c r="KY12" s="8"/>
      <c r="KZ12" s="8"/>
      <c r="LA12" s="8"/>
      <c r="LB12" s="8"/>
      <c r="LC12" s="8"/>
      <c r="LD12" s="7"/>
      <c r="LE12" s="7"/>
      <c r="LF12" s="8"/>
      <c r="LG12" s="8"/>
      <c r="LH12" s="8"/>
      <c r="LI12" s="8"/>
      <c r="LJ12" s="8"/>
      <c r="LK12" s="7"/>
      <c r="LL12" s="7"/>
      <c r="LM12" s="8"/>
      <c r="LN12" s="8"/>
      <c r="LO12" s="8"/>
      <c r="LP12" s="8"/>
      <c r="LQ12" s="8"/>
      <c r="LR12" s="7"/>
      <c r="LS12" s="7"/>
      <c r="LT12" s="8"/>
      <c r="LU12" s="8"/>
      <c r="LV12" s="8"/>
      <c r="LW12" s="8"/>
      <c r="LX12" s="15" t="s">
        <v>1</v>
      </c>
      <c r="LY12" s="7"/>
      <c r="LZ12" s="7"/>
      <c r="MA12" s="15" t="s">
        <v>1</v>
      </c>
      <c r="MB12" s="15" t="s">
        <v>1</v>
      </c>
      <c r="MC12" s="15" t="s">
        <v>1</v>
      </c>
      <c r="MD12" s="15" t="s">
        <v>1</v>
      </c>
      <c r="ME12" s="15" t="s">
        <v>1</v>
      </c>
      <c r="MF12" s="7"/>
      <c r="MG12" s="7"/>
      <c r="MH12" s="8"/>
      <c r="MI12" s="8"/>
      <c r="MJ12" s="8"/>
      <c r="MK12" s="8"/>
      <c r="ML12" s="8"/>
      <c r="MM12" s="7"/>
      <c r="MN12" s="7"/>
      <c r="MO12" s="8"/>
      <c r="MP12" s="8"/>
      <c r="MQ12" s="8"/>
      <c r="MR12" s="8"/>
      <c r="MS12" s="8"/>
      <c r="MT12" s="7"/>
      <c r="MU12" s="7"/>
      <c r="MV12" s="8"/>
      <c r="MW12" s="8"/>
      <c r="MX12" s="8"/>
      <c r="MY12" s="8"/>
      <c r="MZ12" s="8"/>
      <c r="NA12" s="7"/>
      <c r="NB12" s="7"/>
      <c r="NC12" s="8"/>
      <c r="ND12" s="8"/>
      <c r="NE12" s="8"/>
      <c r="NF12" s="8"/>
      <c r="NG12" s="8"/>
      <c r="NH12" s="7"/>
      <c r="NI12" s="7"/>
      <c r="NJ12" s="8"/>
      <c r="NK12" s="8"/>
      <c r="NL12" s="8"/>
    </row>
    <row r="13" spans="1:376" customFormat="1" ht="15.75" customHeight="1" thickBot="1">
      <c r="A13" s="1"/>
      <c r="B13" s="29" t="s">
        <v>35</v>
      </c>
      <c r="C13" s="29" t="s">
        <v>36</v>
      </c>
      <c r="D13" s="29" t="s">
        <v>31</v>
      </c>
      <c r="E13" s="29">
        <v>0</v>
      </c>
      <c r="F13" s="29">
        <v>8</v>
      </c>
      <c r="G13" s="29">
        <v>0</v>
      </c>
      <c r="H13" s="29">
        <f t="shared" si="0"/>
        <v>0</v>
      </c>
      <c r="I13" s="30">
        <f t="shared" si="1"/>
        <v>0</v>
      </c>
      <c r="J13" s="30">
        <f t="shared" si="2"/>
        <v>0</v>
      </c>
      <c r="K13" s="30">
        <f t="shared" si="3"/>
        <v>0</v>
      </c>
      <c r="L13" s="28"/>
      <c r="M13" s="8"/>
      <c r="N13" s="8"/>
      <c r="O13" s="7"/>
      <c r="P13" s="7"/>
      <c r="Q13" s="8"/>
      <c r="R13" s="8"/>
      <c r="S13" s="8"/>
      <c r="T13" s="8"/>
      <c r="U13" s="7"/>
      <c r="V13" s="7"/>
      <c r="W13" s="7"/>
      <c r="X13" s="7"/>
      <c r="Y13" s="8"/>
      <c r="Z13" s="8"/>
      <c r="AA13" s="8"/>
      <c r="AB13" s="8"/>
      <c r="AC13" s="7"/>
      <c r="AD13" s="7"/>
      <c r="AE13" s="7"/>
      <c r="AF13" s="8"/>
      <c r="AG13" s="8"/>
      <c r="AH13" s="8"/>
      <c r="AI13" s="8"/>
      <c r="AJ13" s="7"/>
      <c r="AK13" s="7"/>
      <c r="AL13" s="8"/>
      <c r="AM13" s="8"/>
      <c r="AN13" s="8"/>
      <c r="AO13" s="8"/>
      <c r="AP13" s="7"/>
      <c r="AQ13" s="7"/>
      <c r="AR13" s="7"/>
      <c r="AS13" s="8"/>
      <c r="AT13" s="8"/>
      <c r="AU13" s="8"/>
      <c r="AV13" s="8"/>
      <c r="AW13" s="8"/>
      <c r="AX13" s="7"/>
      <c r="AY13" s="7"/>
      <c r="AZ13" s="8"/>
      <c r="BA13" s="8"/>
      <c r="BB13" s="8"/>
      <c r="BC13" s="8"/>
      <c r="BD13" s="8"/>
      <c r="BE13" s="7"/>
      <c r="BF13" s="7"/>
      <c r="BG13" s="8"/>
      <c r="BH13" s="8"/>
      <c r="BI13" s="8"/>
      <c r="BJ13" s="8"/>
      <c r="BK13" s="8"/>
      <c r="BL13" s="7"/>
      <c r="BM13" s="7"/>
      <c r="BN13" s="8"/>
      <c r="BO13" s="8"/>
      <c r="BP13" s="8"/>
      <c r="BQ13" s="8"/>
      <c r="BR13" s="8"/>
      <c r="BS13" s="7"/>
      <c r="BT13" s="7"/>
      <c r="BU13" s="8"/>
      <c r="BV13" s="8"/>
      <c r="BW13" s="8"/>
      <c r="BX13" s="8"/>
      <c r="BY13" s="8"/>
      <c r="BZ13" s="7"/>
      <c r="CA13" s="7"/>
      <c r="CB13" s="8"/>
      <c r="CC13" s="8"/>
      <c r="CD13" s="8"/>
      <c r="CE13" s="8"/>
      <c r="CF13" s="8"/>
      <c r="CG13" s="7"/>
      <c r="CH13" s="7"/>
      <c r="CI13" s="8"/>
      <c r="CJ13" s="8"/>
      <c r="CK13" s="8"/>
      <c r="CL13" s="8"/>
      <c r="CM13" s="8"/>
      <c r="CN13" s="7"/>
      <c r="CO13" s="7"/>
      <c r="CP13" s="8"/>
      <c r="CQ13" s="8"/>
      <c r="CR13" s="7"/>
      <c r="CS13" s="8"/>
      <c r="CT13" s="8"/>
      <c r="CU13" s="7"/>
      <c r="CV13" s="7"/>
      <c r="CW13" s="8"/>
      <c r="CX13" s="8"/>
      <c r="CY13" s="8"/>
      <c r="CZ13" s="8"/>
      <c r="DA13" s="8"/>
      <c r="DB13" s="7"/>
      <c r="DC13" s="7"/>
      <c r="DD13" s="8"/>
      <c r="DE13" s="8"/>
      <c r="DF13" s="8"/>
      <c r="DG13" s="8"/>
      <c r="DH13" s="8"/>
      <c r="DI13" s="7"/>
      <c r="DJ13" s="7"/>
      <c r="DK13" s="8"/>
      <c r="DL13" s="8"/>
      <c r="DM13" s="8"/>
      <c r="DN13" s="8"/>
      <c r="DO13" s="8"/>
      <c r="DP13" s="7"/>
      <c r="DQ13" s="7"/>
      <c r="DR13" s="8"/>
      <c r="DS13" s="8"/>
      <c r="DT13" s="8"/>
      <c r="DU13" s="8"/>
      <c r="DV13" s="8"/>
      <c r="DW13" s="7"/>
      <c r="DX13" s="7"/>
      <c r="DY13" s="8"/>
      <c r="DZ13" s="8"/>
      <c r="EA13" s="8"/>
      <c r="EB13" s="8"/>
      <c r="EC13" s="8"/>
      <c r="ED13" s="7"/>
      <c r="EE13" s="7"/>
      <c r="EF13" s="8"/>
      <c r="EG13" s="8"/>
      <c r="EH13" s="8"/>
      <c r="EI13" s="8"/>
      <c r="EJ13" s="8"/>
      <c r="EK13" s="7"/>
      <c r="EL13" s="7"/>
      <c r="EM13" s="8"/>
      <c r="EN13" s="8"/>
      <c r="EO13" s="8"/>
      <c r="EP13" s="8"/>
      <c r="EQ13" s="8"/>
      <c r="ER13" s="7"/>
      <c r="ES13" s="7"/>
      <c r="ET13" s="8"/>
      <c r="EU13" s="8"/>
      <c r="EV13" s="8"/>
      <c r="EW13" s="8"/>
      <c r="EX13" s="8"/>
      <c r="EY13" s="7"/>
      <c r="EZ13" s="7"/>
      <c r="FA13" s="8"/>
      <c r="FB13" s="8"/>
      <c r="FC13" s="8"/>
      <c r="FD13" s="8"/>
      <c r="FE13" s="8"/>
      <c r="FF13" s="7"/>
      <c r="FG13" s="7"/>
      <c r="FH13" s="8"/>
      <c r="FI13" s="8"/>
      <c r="FJ13" s="8"/>
      <c r="FK13" s="8"/>
      <c r="FL13" s="8"/>
      <c r="FM13" s="7"/>
      <c r="FN13" s="7"/>
      <c r="FO13" s="8"/>
      <c r="FP13" s="8"/>
      <c r="FQ13" s="8"/>
      <c r="FR13" s="8"/>
      <c r="FS13" s="8"/>
      <c r="FT13" s="7"/>
      <c r="FU13" s="7"/>
      <c r="FV13" s="8"/>
      <c r="FW13" s="8"/>
      <c r="FX13" s="8"/>
      <c r="FY13" s="8"/>
      <c r="FZ13" s="8"/>
      <c r="GA13" s="7"/>
      <c r="GB13" s="7"/>
      <c r="GC13" s="8"/>
      <c r="GD13" s="8"/>
      <c r="GE13" s="8"/>
      <c r="GF13" s="8"/>
      <c r="GG13" s="8"/>
      <c r="GH13" s="7"/>
      <c r="GI13" s="7"/>
      <c r="GJ13" s="8"/>
      <c r="GK13" s="8"/>
      <c r="GL13" s="8"/>
      <c r="GM13" s="8"/>
      <c r="GN13" s="8"/>
      <c r="GO13" s="7"/>
      <c r="GP13" s="7"/>
      <c r="GQ13" s="8"/>
      <c r="GR13" s="8"/>
      <c r="GS13" s="8"/>
      <c r="GT13" s="8"/>
      <c r="GU13" s="7"/>
      <c r="GV13" s="7"/>
      <c r="GW13" s="7"/>
      <c r="GX13" s="7"/>
      <c r="GY13" s="8"/>
      <c r="GZ13" s="8"/>
      <c r="HA13" s="8"/>
      <c r="HB13" s="8"/>
      <c r="HC13" s="7"/>
      <c r="HD13" s="7"/>
      <c r="HE13" s="8"/>
      <c r="HF13" s="8"/>
      <c r="HG13" s="8"/>
      <c r="HH13" s="8"/>
      <c r="HI13" s="8"/>
      <c r="HJ13" s="7"/>
      <c r="HK13" s="7"/>
      <c r="HL13" s="8"/>
      <c r="HM13" s="8"/>
      <c r="HN13" s="8"/>
      <c r="HO13" s="8"/>
      <c r="HP13" s="8"/>
      <c r="HQ13" s="7"/>
      <c r="HR13" s="7"/>
      <c r="HS13" s="8"/>
      <c r="HT13" s="8"/>
      <c r="HU13" s="8"/>
      <c r="HV13" s="8"/>
      <c r="HW13" s="8"/>
      <c r="HX13" s="7"/>
      <c r="HY13" s="7"/>
      <c r="HZ13" s="8"/>
      <c r="IA13" s="8"/>
      <c r="IB13" s="8"/>
      <c r="IC13" s="8"/>
      <c r="ID13" s="8"/>
      <c r="IE13" s="7"/>
      <c r="IF13" s="7"/>
      <c r="IG13" s="8"/>
      <c r="IH13" s="8"/>
      <c r="II13" s="8"/>
      <c r="IJ13" s="8"/>
      <c r="IK13" s="8"/>
      <c r="IL13" s="7"/>
      <c r="IM13" s="7"/>
      <c r="IN13" s="8"/>
      <c r="IO13" s="8"/>
      <c r="IP13" s="8"/>
      <c r="IQ13" s="8"/>
      <c r="IR13" s="8"/>
      <c r="IS13" s="7"/>
      <c r="IT13" s="7"/>
      <c r="IU13" s="8"/>
      <c r="IV13" s="8"/>
      <c r="IW13" s="8"/>
      <c r="IX13" s="8"/>
      <c r="IY13" s="8"/>
      <c r="IZ13" s="7"/>
      <c r="JA13" s="7"/>
      <c r="JB13" s="15" t="s">
        <v>1</v>
      </c>
      <c r="JC13" s="25"/>
      <c r="JD13" s="15" t="s">
        <v>1</v>
      </c>
      <c r="JE13" s="8"/>
      <c r="JF13" s="8"/>
      <c r="JG13" s="7"/>
      <c r="JH13" s="7"/>
      <c r="JI13" s="8"/>
      <c r="JJ13" s="8"/>
      <c r="JK13" s="8"/>
      <c r="JL13" s="8"/>
      <c r="JM13" s="8"/>
      <c r="JN13" s="7"/>
      <c r="JO13" s="7"/>
      <c r="JP13" s="8"/>
      <c r="JQ13" s="8"/>
      <c r="JR13" s="8"/>
      <c r="JS13" s="26"/>
      <c r="JT13" s="25"/>
      <c r="JU13" s="7"/>
      <c r="JV13" s="7"/>
      <c r="JW13" s="8"/>
      <c r="JX13" s="8"/>
      <c r="JY13" s="8"/>
      <c r="JZ13" s="26"/>
      <c r="KA13" s="25"/>
      <c r="KB13" s="7"/>
      <c r="KC13" s="7"/>
      <c r="KD13" s="15" t="s">
        <v>1</v>
      </c>
      <c r="KE13" s="15" t="s">
        <v>1</v>
      </c>
      <c r="KF13" s="26"/>
      <c r="KG13" s="15" t="s">
        <v>1</v>
      </c>
      <c r="KH13" s="15" t="s">
        <v>1</v>
      </c>
      <c r="KI13" s="7"/>
      <c r="KJ13" s="7"/>
      <c r="KK13" s="8"/>
      <c r="KL13" s="8"/>
      <c r="KM13" s="8"/>
      <c r="KN13" s="8"/>
      <c r="KO13" s="8"/>
      <c r="KP13" s="7"/>
      <c r="KQ13" s="7"/>
      <c r="KR13" s="8"/>
      <c r="KS13" s="8"/>
      <c r="KT13" s="8"/>
      <c r="KU13" s="8"/>
      <c r="KV13" s="26"/>
      <c r="KW13" s="7"/>
      <c r="KX13" s="7"/>
      <c r="KY13" s="8"/>
      <c r="KZ13" s="8"/>
      <c r="LA13" s="8"/>
      <c r="LB13" s="8"/>
      <c r="LC13" s="8"/>
      <c r="LD13" s="7"/>
      <c r="LE13" s="7"/>
      <c r="LF13" s="8"/>
      <c r="LG13" s="8"/>
      <c r="LH13" s="8"/>
      <c r="LI13" s="8"/>
      <c r="LJ13" s="8"/>
      <c r="LK13" s="7"/>
      <c r="LL13" s="7"/>
      <c r="LM13" s="8"/>
      <c r="LN13" s="8"/>
      <c r="LO13" s="8"/>
      <c r="LP13" s="8"/>
      <c r="LQ13" s="8"/>
      <c r="LR13" s="7"/>
      <c r="LS13" s="7"/>
      <c r="LT13" s="8"/>
      <c r="LU13" s="8"/>
      <c r="LV13" s="8"/>
      <c r="LW13" s="8"/>
      <c r="LX13" s="8"/>
      <c r="LY13" s="7"/>
      <c r="LZ13" s="7"/>
      <c r="MA13" s="15" t="s">
        <v>1</v>
      </c>
      <c r="MB13" s="8"/>
      <c r="MC13" s="8"/>
      <c r="MD13" s="8"/>
      <c r="ME13" s="8"/>
      <c r="MF13" s="7"/>
      <c r="MG13" s="7"/>
      <c r="MH13" s="8"/>
      <c r="MI13" s="8"/>
      <c r="MJ13" s="8"/>
      <c r="MK13" s="8"/>
      <c r="ML13" s="8"/>
      <c r="MM13" s="7"/>
      <c r="MN13" s="7"/>
      <c r="MO13" s="8"/>
      <c r="MP13" s="8"/>
      <c r="MQ13" s="8"/>
      <c r="MR13" s="8"/>
      <c r="MS13" s="8"/>
      <c r="MT13" s="7"/>
      <c r="MU13" s="7"/>
      <c r="MV13" s="8"/>
      <c r="MW13" s="8"/>
      <c r="MX13" s="8"/>
      <c r="MY13" s="8"/>
      <c r="MZ13" s="26"/>
      <c r="NA13" s="7"/>
      <c r="NB13" s="7"/>
      <c r="NC13" s="15" t="s">
        <v>1</v>
      </c>
      <c r="ND13" s="8"/>
      <c r="NE13" s="8"/>
      <c r="NF13" s="8"/>
      <c r="NG13" s="8"/>
      <c r="NH13" s="7"/>
      <c r="NI13" s="7"/>
      <c r="NJ13" s="8"/>
      <c r="NK13" s="8"/>
      <c r="NL13" s="8"/>
    </row>
    <row r="14" spans="1:376" customFormat="1" ht="15.75" customHeight="1" thickBot="1">
      <c r="A14" s="1"/>
      <c r="B14" s="29" t="s">
        <v>37</v>
      </c>
      <c r="C14" s="29" t="s">
        <v>30</v>
      </c>
      <c r="D14" s="29" t="s">
        <v>38</v>
      </c>
      <c r="E14" s="29">
        <v>0</v>
      </c>
      <c r="F14" s="29">
        <v>16</v>
      </c>
      <c r="G14" s="29">
        <v>0</v>
      </c>
      <c r="H14" s="29">
        <f t="shared" si="0"/>
        <v>0</v>
      </c>
      <c r="I14" s="30">
        <f t="shared" si="1"/>
        <v>0</v>
      </c>
      <c r="J14" s="30">
        <f t="shared" si="2"/>
        <v>0</v>
      </c>
      <c r="K14" s="30">
        <f t="shared" si="3"/>
        <v>0</v>
      </c>
      <c r="L14" s="28"/>
      <c r="M14" s="8"/>
      <c r="N14" s="8"/>
      <c r="O14" s="7"/>
      <c r="P14" s="7"/>
      <c r="Q14" s="8"/>
      <c r="R14" s="8"/>
      <c r="S14" s="8"/>
      <c r="T14" s="8"/>
      <c r="U14" s="7"/>
      <c r="V14" s="7"/>
      <c r="W14" s="7"/>
      <c r="X14" s="7"/>
      <c r="Y14" s="8"/>
      <c r="Z14" s="8"/>
      <c r="AA14" s="8"/>
      <c r="AB14" s="8"/>
      <c r="AC14" s="7"/>
      <c r="AD14" s="7"/>
      <c r="AE14" s="7"/>
      <c r="AF14" s="8"/>
      <c r="AG14" s="8"/>
      <c r="AH14" s="8"/>
      <c r="AI14" s="8"/>
      <c r="AJ14" s="7"/>
      <c r="AK14" s="7"/>
      <c r="AL14" s="8"/>
      <c r="AM14" s="8"/>
      <c r="AN14" s="8"/>
      <c r="AO14" s="8"/>
      <c r="AP14" s="7"/>
      <c r="AQ14" s="7"/>
      <c r="AR14" s="7"/>
      <c r="AS14" s="8"/>
      <c r="AT14" s="8"/>
      <c r="AU14" s="8"/>
      <c r="AV14" s="8"/>
      <c r="AW14" s="8"/>
      <c r="AX14" s="7"/>
      <c r="AY14" s="7"/>
      <c r="AZ14" s="8"/>
      <c r="BA14" s="8"/>
      <c r="BB14" s="8"/>
      <c r="BC14" s="8"/>
      <c r="BD14" s="8"/>
      <c r="BE14" s="7"/>
      <c r="BF14" s="7"/>
      <c r="BG14" s="8"/>
      <c r="BH14" s="8"/>
      <c r="BI14" s="8"/>
      <c r="BJ14" s="8"/>
      <c r="BK14" s="8"/>
      <c r="BL14" s="7"/>
      <c r="BM14" s="7"/>
      <c r="BN14" s="8"/>
      <c r="BO14" s="8"/>
      <c r="BP14" s="8"/>
      <c r="BQ14" s="8"/>
      <c r="BR14" s="8"/>
      <c r="BS14" s="7"/>
      <c r="BT14" s="7"/>
      <c r="BU14" s="8"/>
      <c r="BV14" s="8"/>
      <c r="BW14" s="8"/>
      <c r="BX14" s="8"/>
      <c r="BY14" s="8"/>
      <c r="BZ14" s="7"/>
      <c r="CA14" s="7"/>
      <c r="CB14" s="8"/>
      <c r="CC14" s="8"/>
      <c r="CD14" s="8"/>
      <c r="CE14" s="8"/>
      <c r="CF14" s="8"/>
      <c r="CG14" s="7"/>
      <c r="CH14" s="7"/>
      <c r="CI14" s="8"/>
      <c r="CJ14" s="8"/>
      <c r="CK14" s="8"/>
      <c r="CL14" s="8"/>
      <c r="CM14" s="8"/>
      <c r="CN14" s="7"/>
      <c r="CO14" s="7"/>
      <c r="CP14" s="8"/>
      <c r="CQ14" s="8"/>
      <c r="CR14" s="7"/>
      <c r="CS14" s="8"/>
      <c r="CT14" s="8"/>
      <c r="CU14" s="7"/>
      <c r="CV14" s="7"/>
      <c r="CW14" s="8"/>
      <c r="CX14" s="8"/>
      <c r="CY14" s="8"/>
      <c r="CZ14" s="8"/>
      <c r="DA14" s="8"/>
      <c r="DB14" s="7"/>
      <c r="DC14" s="7"/>
      <c r="DD14" s="8"/>
      <c r="DE14" s="8"/>
      <c r="DF14" s="8"/>
      <c r="DG14" s="8"/>
      <c r="DH14" s="8"/>
      <c r="DI14" s="7"/>
      <c r="DJ14" s="7"/>
      <c r="DK14" s="8"/>
      <c r="DL14" s="8"/>
      <c r="DM14" s="8"/>
      <c r="DN14" s="8"/>
      <c r="DO14" s="8"/>
      <c r="DP14" s="7"/>
      <c r="DQ14" s="7"/>
      <c r="DR14" s="8"/>
      <c r="DS14" s="8"/>
      <c r="DT14" s="8"/>
      <c r="DU14" s="8"/>
      <c r="DV14" s="8"/>
      <c r="DW14" s="7"/>
      <c r="DX14" s="7"/>
      <c r="DY14" s="8"/>
      <c r="DZ14" s="8"/>
      <c r="EA14" s="8"/>
      <c r="EB14" s="8"/>
      <c r="EC14" s="8"/>
      <c r="ED14" s="7"/>
      <c r="EE14" s="7"/>
      <c r="EF14" s="8"/>
      <c r="EG14" s="8"/>
      <c r="EH14" s="8"/>
      <c r="EI14" s="8"/>
      <c r="EJ14" s="8"/>
      <c r="EK14" s="7"/>
      <c r="EL14" s="7"/>
      <c r="EM14" s="8"/>
      <c r="EN14" s="8"/>
      <c r="EO14" s="8"/>
      <c r="EP14" s="8"/>
      <c r="EQ14" s="8"/>
      <c r="ER14" s="7"/>
      <c r="ES14" s="7"/>
      <c r="ET14" s="8"/>
      <c r="EU14" s="8"/>
      <c r="EV14" s="8"/>
      <c r="EW14" s="8"/>
      <c r="EX14" s="8"/>
      <c r="EY14" s="7"/>
      <c r="EZ14" s="7"/>
      <c r="FA14" s="8"/>
      <c r="FB14" s="8"/>
      <c r="FC14" s="8"/>
      <c r="FD14" s="8"/>
      <c r="FE14" s="8"/>
      <c r="FF14" s="7"/>
      <c r="FG14" s="7"/>
      <c r="FH14" s="8"/>
      <c r="FI14" s="8"/>
      <c r="FJ14" s="8"/>
      <c r="FK14" s="8"/>
      <c r="FL14" s="8"/>
      <c r="FM14" s="7"/>
      <c r="FN14" s="7"/>
      <c r="FO14" s="8"/>
      <c r="FP14" s="8"/>
      <c r="FQ14" s="8"/>
      <c r="FR14" s="8"/>
      <c r="FS14" s="8"/>
      <c r="FT14" s="7"/>
      <c r="FU14" s="7"/>
      <c r="FV14" s="8"/>
      <c r="FW14" s="8"/>
      <c r="FX14" s="8"/>
      <c r="FY14" s="8"/>
      <c r="FZ14" s="8"/>
      <c r="GA14" s="7"/>
      <c r="GB14" s="7"/>
      <c r="GC14" s="8"/>
      <c r="GD14" s="8"/>
      <c r="GE14" s="8"/>
      <c r="GF14" s="8"/>
      <c r="GG14" s="8"/>
      <c r="GH14" s="7"/>
      <c r="GI14" s="7"/>
      <c r="GJ14" s="8"/>
      <c r="GK14" s="8"/>
      <c r="GL14" s="8"/>
      <c r="GM14" s="8"/>
      <c r="GN14" s="8"/>
      <c r="GO14" s="7"/>
      <c r="GP14" s="7"/>
      <c r="GQ14" s="8"/>
      <c r="GR14" s="8"/>
      <c r="GS14" s="8"/>
      <c r="GT14" s="8"/>
      <c r="GU14" s="7"/>
      <c r="GV14" s="7"/>
      <c r="GW14" s="7"/>
      <c r="GX14" s="7"/>
      <c r="GY14" s="8"/>
      <c r="GZ14" s="8"/>
      <c r="HA14" s="8"/>
      <c r="HB14" s="8"/>
      <c r="HC14" s="7"/>
      <c r="HD14" s="7"/>
      <c r="HE14" s="8"/>
      <c r="HF14" s="8"/>
      <c r="HG14" s="8"/>
      <c r="HH14" s="8"/>
      <c r="HI14" s="8"/>
      <c r="HJ14" s="7"/>
      <c r="HK14" s="7"/>
      <c r="HL14" s="8"/>
      <c r="HM14" s="8"/>
      <c r="HN14" s="8"/>
      <c r="HO14" s="8"/>
      <c r="HP14" s="8"/>
      <c r="HQ14" s="7"/>
      <c r="HR14" s="7"/>
      <c r="HS14" s="8"/>
      <c r="HT14" s="8"/>
      <c r="HU14" s="8"/>
      <c r="HV14" s="8"/>
      <c r="HW14" s="8"/>
      <c r="HX14" s="7"/>
      <c r="HY14" s="7"/>
      <c r="HZ14" s="8"/>
      <c r="IA14" s="8"/>
      <c r="IB14" s="8"/>
      <c r="IC14" s="8"/>
      <c r="ID14" s="8"/>
      <c r="IE14" s="7"/>
      <c r="IF14" s="7"/>
      <c r="IG14" s="8"/>
      <c r="IH14" s="8"/>
      <c r="II14" s="8"/>
      <c r="IJ14" s="8"/>
      <c r="IK14" s="8"/>
      <c r="IL14" s="7"/>
      <c r="IM14" s="7"/>
      <c r="IN14" s="8"/>
      <c r="IO14" s="8"/>
      <c r="IP14" s="8"/>
      <c r="IQ14" s="8"/>
      <c r="IR14" s="8"/>
      <c r="IS14" s="7"/>
      <c r="IT14" s="7"/>
      <c r="IU14" s="8"/>
      <c r="IV14" s="8"/>
      <c r="IW14" s="8"/>
      <c r="IX14" s="8"/>
      <c r="IY14" s="8"/>
      <c r="IZ14" s="7"/>
      <c r="JA14" s="7"/>
      <c r="JB14" s="8"/>
      <c r="JC14" s="25"/>
      <c r="JD14" s="8"/>
      <c r="JE14" s="8"/>
      <c r="JF14" s="8"/>
      <c r="JG14" s="7"/>
      <c r="JH14" s="7"/>
      <c r="JI14" s="8"/>
      <c r="JJ14" s="8"/>
      <c r="JK14" s="8"/>
      <c r="JL14" s="8"/>
      <c r="JM14" s="8"/>
      <c r="JN14" s="7"/>
      <c r="JO14" s="7"/>
      <c r="JP14" s="8"/>
      <c r="JQ14" s="8"/>
      <c r="JR14" s="8"/>
      <c r="JS14" s="8"/>
      <c r="JT14" s="25"/>
      <c r="JU14" s="7"/>
      <c r="JV14" s="7"/>
      <c r="JW14" s="8"/>
      <c r="JX14" s="8"/>
      <c r="JY14" s="8"/>
      <c r="JZ14" s="8"/>
      <c r="KA14" s="25"/>
      <c r="KB14" s="7"/>
      <c r="KC14" s="7"/>
      <c r="KD14" s="8"/>
      <c r="KE14" s="8"/>
      <c r="KF14" s="8"/>
      <c r="KG14" s="8"/>
      <c r="KH14" s="8"/>
      <c r="KI14" s="7"/>
      <c r="KJ14" s="7"/>
      <c r="KK14" s="15" t="s">
        <v>1</v>
      </c>
      <c r="KL14" s="15" t="s">
        <v>1</v>
      </c>
      <c r="KM14" s="15" t="s">
        <v>1</v>
      </c>
      <c r="KN14" s="15" t="s">
        <v>1</v>
      </c>
      <c r="KO14" s="15" t="s">
        <v>1</v>
      </c>
      <c r="KP14" s="7"/>
      <c r="KQ14" s="7"/>
      <c r="KR14" s="15" t="s">
        <v>1</v>
      </c>
      <c r="KS14" s="15" t="s">
        <v>1</v>
      </c>
      <c r="KT14" s="15" t="s">
        <v>1</v>
      </c>
      <c r="KU14" s="15" t="s">
        <v>1</v>
      </c>
      <c r="KV14" s="15" t="s">
        <v>1</v>
      </c>
      <c r="KW14" s="7"/>
      <c r="KX14" s="7"/>
      <c r="KY14" s="15" t="s">
        <v>1</v>
      </c>
      <c r="KZ14" s="15" t="s">
        <v>1</v>
      </c>
      <c r="LA14" s="15" t="s">
        <v>1</v>
      </c>
      <c r="LB14" s="15" t="s">
        <v>1</v>
      </c>
      <c r="LC14" s="15" t="s">
        <v>1</v>
      </c>
      <c r="LD14" s="7"/>
      <c r="LE14" s="7"/>
      <c r="LF14" s="8"/>
      <c r="LG14" s="8"/>
      <c r="LH14" s="8"/>
      <c r="LI14" s="8"/>
      <c r="LJ14" s="8"/>
      <c r="LK14" s="7"/>
      <c r="LL14" s="7"/>
      <c r="LM14" s="8"/>
      <c r="LN14" s="8"/>
      <c r="LO14" s="8"/>
      <c r="LP14" s="8"/>
      <c r="LQ14" s="15" t="s">
        <v>1</v>
      </c>
      <c r="LR14" s="7"/>
      <c r="LS14" s="7"/>
      <c r="LT14" s="8"/>
      <c r="LU14" s="8"/>
      <c r="LV14" s="8"/>
      <c r="LW14" s="8"/>
      <c r="LX14" s="8"/>
      <c r="LY14" s="7"/>
      <c r="LZ14" s="7"/>
      <c r="MA14" s="8"/>
      <c r="MB14" s="8"/>
      <c r="MC14" s="8"/>
      <c r="MD14" s="8"/>
      <c r="ME14" s="8"/>
      <c r="MF14" s="7"/>
      <c r="MG14" s="7"/>
      <c r="MH14" s="8"/>
      <c r="MI14" s="8"/>
      <c r="MJ14" s="8"/>
      <c r="MK14" s="8"/>
      <c r="ML14" s="8"/>
      <c r="MM14" s="7"/>
      <c r="MN14" s="7"/>
      <c r="MO14" s="8"/>
      <c r="MP14" s="8"/>
      <c r="MQ14" s="8"/>
      <c r="MR14" s="8"/>
      <c r="MS14" s="8"/>
      <c r="MT14" s="7"/>
      <c r="MU14" s="7"/>
      <c r="MV14" s="8"/>
      <c r="MW14" s="8"/>
      <c r="MX14" s="8"/>
      <c r="MY14" s="8"/>
      <c r="MZ14" s="8"/>
      <c r="NA14" s="7"/>
      <c r="NB14" s="7"/>
      <c r="NC14" s="8"/>
      <c r="ND14" s="8"/>
      <c r="NE14" s="8"/>
      <c r="NF14" s="8"/>
      <c r="NG14" s="8"/>
      <c r="NH14" s="7"/>
      <c r="NI14" s="7"/>
      <c r="NJ14" s="8"/>
      <c r="NK14" s="8"/>
      <c r="NL14" s="8"/>
    </row>
    <row r="15" spans="1:376" customFormat="1" ht="15.75" customHeight="1" thickBot="1">
      <c r="A15" s="1"/>
      <c r="B15" s="29" t="s">
        <v>39</v>
      </c>
      <c r="C15" s="29" t="s">
        <v>36</v>
      </c>
      <c r="D15" s="29" t="s">
        <v>31</v>
      </c>
      <c r="E15" s="29">
        <v>0</v>
      </c>
      <c r="F15" s="29">
        <v>9</v>
      </c>
      <c r="G15" s="29">
        <v>0</v>
      </c>
      <c r="H15" s="29">
        <f t="shared" si="0"/>
        <v>-2</v>
      </c>
      <c r="I15" s="30">
        <f t="shared" si="1"/>
        <v>0</v>
      </c>
      <c r="J15" s="30">
        <f t="shared" si="2"/>
        <v>6</v>
      </c>
      <c r="K15" s="30">
        <f t="shared" si="3"/>
        <v>4</v>
      </c>
      <c r="L15" s="28"/>
      <c r="M15" s="8"/>
      <c r="N15" s="8"/>
      <c r="O15" s="7"/>
      <c r="P15" s="7"/>
      <c r="Q15" s="8"/>
      <c r="R15" s="8"/>
      <c r="S15" s="8"/>
      <c r="T15" s="8"/>
      <c r="U15" s="7"/>
      <c r="V15" s="7"/>
      <c r="W15" s="7"/>
      <c r="X15" s="7"/>
      <c r="Y15" s="8"/>
      <c r="Z15" s="8"/>
      <c r="AA15" s="8"/>
      <c r="AB15" s="8"/>
      <c r="AC15" s="7"/>
      <c r="AD15" s="7"/>
      <c r="AE15" s="7"/>
      <c r="AF15" s="8"/>
      <c r="AG15" s="8"/>
      <c r="AH15" s="8"/>
      <c r="AI15" s="8"/>
      <c r="AJ15" s="7"/>
      <c r="AK15" s="7"/>
      <c r="AL15" s="8"/>
      <c r="AM15" s="8"/>
      <c r="AN15" s="8"/>
      <c r="AO15" s="8"/>
      <c r="AP15" s="7"/>
      <c r="AQ15" s="7"/>
      <c r="AR15" s="7"/>
      <c r="AS15" s="8"/>
      <c r="AT15" s="8"/>
      <c r="AU15" s="8"/>
      <c r="AV15" s="8"/>
      <c r="AW15" s="8"/>
      <c r="AX15" s="7"/>
      <c r="AY15" s="7"/>
      <c r="AZ15" s="8"/>
      <c r="BA15" s="8"/>
      <c r="BB15" s="8"/>
      <c r="BC15" s="8"/>
      <c r="BD15" s="8"/>
      <c r="BE15" s="7"/>
      <c r="BF15" s="7"/>
      <c r="BG15" s="8"/>
      <c r="BH15" s="8"/>
      <c r="BI15" s="8"/>
      <c r="BJ15" s="8"/>
      <c r="BK15" s="8"/>
      <c r="BL15" s="7"/>
      <c r="BM15" s="7"/>
      <c r="BN15" s="8"/>
      <c r="BO15" s="8"/>
      <c r="BP15" s="8"/>
      <c r="BQ15" s="8"/>
      <c r="BR15" s="8"/>
      <c r="BS15" s="7"/>
      <c r="BT15" s="7"/>
      <c r="BU15" s="8"/>
      <c r="BV15" s="8"/>
      <c r="BW15" s="8"/>
      <c r="BX15" s="8"/>
      <c r="BY15" s="8"/>
      <c r="BZ15" s="7"/>
      <c r="CA15" s="7"/>
      <c r="CB15" s="8"/>
      <c r="CC15" s="8"/>
      <c r="CD15" s="8"/>
      <c r="CE15" s="8"/>
      <c r="CF15" s="8"/>
      <c r="CG15" s="7"/>
      <c r="CH15" s="7"/>
      <c r="CI15" s="8"/>
      <c r="CJ15" s="8"/>
      <c r="CK15" s="8"/>
      <c r="CL15" s="8"/>
      <c r="CM15" s="8"/>
      <c r="CN15" s="7"/>
      <c r="CO15" s="7"/>
      <c r="CP15" s="8"/>
      <c r="CQ15" s="8"/>
      <c r="CR15" s="7"/>
      <c r="CS15" s="8"/>
      <c r="CT15" s="8"/>
      <c r="CU15" s="7"/>
      <c r="CV15" s="7"/>
      <c r="CW15" s="8"/>
      <c r="CX15" s="8"/>
      <c r="CY15" s="8"/>
      <c r="CZ15" s="8"/>
      <c r="DA15" s="8"/>
      <c r="DB15" s="7"/>
      <c r="DC15" s="7"/>
      <c r="DD15" s="8"/>
      <c r="DE15" s="8"/>
      <c r="DF15" s="8"/>
      <c r="DG15" s="8"/>
      <c r="DH15" s="8"/>
      <c r="DI15" s="7"/>
      <c r="DJ15" s="7"/>
      <c r="DK15" s="8"/>
      <c r="DL15" s="8"/>
      <c r="DM15" s="8"/>
      <c r="DN15" s="8"/>
      <c r="DO15" s="8"/>
      <c r="DP15" s="7"/>
      <c r="DQ15" s="7"/>
      <c r="DR15" s="8"/>
      <c r="DS15" s="8"/>
      <c r="DT15" s="8"/>
      <c r="DU15" s="8"/>
      <c r="DV15" s="8"/>
      <c r="DW15" s="7"/>
      <c r="DX15" s="7"/>
      <c r="DY15" s="8"/>
      <c r="DZ15" s="8"/>
      <c r="EA15" s="8"/>
      <c r="EB15" s="8"/>
      <c r="EC15" s="8"/>
      <c r="ED15" s="7"/>
      <c r="EE15" s="7"/>
      <c r="EF15" s="8"/>
      <c r="EG15" s="8"/>
      <c r="EH15" s="8"/>
      <c r="EI15" s="8"/>
      <c r="EJ15" s="8"/>
      <c r="EK15" s="7"/>
      <c r="EL15" s="7"/>
      <c r="EM15" s="8"/>
      <c r="EN15" s="8"/>
      <c r="EO15" s="8"/>
      <c r="EP15" s="8"/>
      <c r="EQ15" s="8"/>
      <c r="ER15" s="7"/>
      <c r="ES15" s="7"/>
      <c r="ET15" s="8"/>
      <c r="EU15" s="8"/>
      <c r="EV15" s="8"/>
      <c r="EW15" s="8"/>
      <c r="EX15" s="8"/>
      <c r="EY15" s="7"/>
      <c r="EZ15" s="7"/>
      <c r="FA15" s="8"/>
      <c r="FB15" s="8"/>
      <c r="FC15" s="8"/>
      <c r="FD15" s="8"/>
      <c r="FE15" s="8"/>
      <c r="FF15" s="7"/>
      <c r="FG15" s="7"/>
      <c r="FH15" s="8"/>
      <c r="FI15" s="8"/>
      <c r="FJ15" s="8"/>
      <c r="FK15" s="8"/>
      <c r="FL15" s="8"/>
      <c r="FM15" s="7"/>
      <c r="FN15" s="7"/>
      <c r="FO15" s="8"/>
      <c r="FP15" s="8"/>
      <c r="FQ15" s="8"/>
      <c r="FR15" s="8"/>
      <c r="FS15" s="8"/>
      <c r="FT15" s="7"/>
      <c r="FU15" s="7"/>
      <c r="FV15" s="8"/>
      <c r="FW15" s="8"/>
      <c r="FX15" s="8"/>
      <c r="FY15" s="8"/>
      <c r="FZ15" s="8"/>
      <c r="GA15" s="7"/>
      <c r="GB15" s="7"/>
      <c r="GC15" s="8"/>
      <c r="GD15" s="8"/>
      <c r="GE15" s="8"/>
      <c r="GF15" s="8"/>
      <c r="GG15" s="8"/>
      <c r="GH15" s="7"/>
      <c r="GI15" s="7"/>
      <c r="GJ15" s="8"/>
      <c r="GK15" s="8"/>
      <c r="GL15" s="8"/>
      <c r="GM15" s="8"/>
      <c r="GN15" s="8"/>
      <c r="GO15" s="7"/>
      <c r="GP15" s="7"/>
      <c r="GQ15" s="8"/>
      <c r="GR15" s="8"/>
      <c r="GS15" s="8"/>
      <c r="GT15" s="8"/>
      <c r="GU15" s="7"/>
      <c r="GV15" s="7"/>
      <c r="GW15" s="7"/>
      <c r="GX15" s="7"/>
      <c r="GY15" s="8"/>
      <c r="GZ15" s="8"/>
      <c r="HA15" s="8"/>
      <c r="HB15" s="8"/>
      <c r="HC15" s="7"/>
      <c r="HD15" s="7"/>
      <c r="HE15" s="8"/>
      <c r="HF15" s="8"/>
      <c r="HG15" s="8"/>
      <c r="HH15" s="8"/>
      <c r="HI15" s="8"/>
      <c r="HJ15" s="7"/>
      <c r="HK15" s="7"/>
      <c r="HL15" s="8"/>
      <c r="HM15" s="8"/>
      <c r="HN15" s="8"/>
      <c r="HO15" s="8"/>
      <c r="HP15" s="8"/>
      <c r="HQ15" s="7"/>
      <c r="HR15" s="7"/>
      <c r="HS15" s="8"/>
      <c r="HT15" s="8"/>
      <c r="HU15" s="8"/>
      <c r="HV15" s="8"/>
      <c r="HW15" s="8"/>
      <c r="HX15" s="7"/>
      <c r="HY15" s="7"/>
      <c r="HZ15" s="8"/>
      <c r="IA15" s="8"/>
      <c r="IB15" s="8"/>
      <c r="IC15" s="8"/>
      <c r="ID15" s="8"/>
      <c r="IE15" s="7"/>
      <c r="IF15" s="7"/>
      <c r="IG15" s="8"/>
      <c r="IH15" s="8"/>
      <c r="II15" s="8"/>
      <c r="IJ15" s="8"/>
      <c r="IK15" s="8"/>
      <c r="IL15" s="7"/>
      <c r="IM15" s="7"/>
      <c r="IN15" s="8"/>
      <c r="IO15" s="8"/>
      <c r="IP15" s="8"/>
      <c r="IQ15" s="8"/>
      <c r="IR15" s="8"/>
      <c r="IS15" s="7"/>
      <c r="IT15" s="7"/>
      <c r="IU15" s="8"/>
      <c r="IV15" s="8"/>
      <c r="IW15" s="8"/>
      <c r="IX15" s="8"/>
      <c r="IY15" s="8"/>
      <c r="IZ15" s="7"/>
      <c r="JA15" s="7"/>
      <c r="JB15" s="8"/>
      <c r="JC15" s="25"/>
      <c r="JD15" s="8"/>
      <c r="JE15" s="8"/>
      <c r="JF15" s="8"/>
      <c r="JG15" s="7"/>
      <c r="JH15" s="7"/>
      <c r="JI15" s="8"/>
      <c r="JJ15" s="8"/>
      <c r="JK15" s="8"/>
      <c r="JL15" s="8"/>
      <c r="JM15" s="8"/>
      <c r="JN15" s="7"/>
      <c r="JO15" s="7"/>
      <c r="JP15" s="15" t="s">
        <v>1</v>
      </c>
      <c r="JQ15" s="15" t="s">
        <v>1</v>
      </c>
      <c r="JR15" s="15" t="s">
        <v>1</v>
      </c>
      <c r="JS15" s="26"/>
      <c r="JT15" s="25"/>
      <c r="JU15" s="7"/>
      <c r="JV15" s="7"/>
      <c r="JW15" s="21" t="s">
        <v>7</v>
      </c>
      <c r="JX15" s="21" t="s">
        <v>7</v>
      </c>
      <c r="JY15" s="21" t="s">
        <v>7</v>
      </c>
      <c r="JZ15" s="26"/>
      <c r="KA15" s="25"/>
      <c r="KB15" s="7"/>
      <c r="KC15" s="7"/>
      <c r="KD15" s="21" t="s">
        <v>7</v>
      </c>
      <c r="KE15" s="8"/>
      <c r="KF15" s="26"/>
      <c r="KG15" s="18" t="s">
        <v>5</v>
      </c>
      <c r="KH15" s="18" t="s">
        <v>5</v>
      </c>
      <c r="KI15" s="7"/>
      <c r="KJ15" s="7"/>
      <c r="KK15" s="8"/>
      <c r="KL15" s="8"/>
      <c r="KM15" s="8"/>
      <c r="KN15" s="8"/>
      <c r="KO15" s="8"/>
      <c r="KP15" s="7"/>
      <c r="KQ15" s="7"/>
      <c r="KR15" s="8"/>
      <c r="KS15" s="8"/>
      <c r="KT15" s="8"/>
      <c r="KU15" s="8"/>
      <c r="KV15" s="26"/>
      <c r="KW15" s="7"/>
      <c r="KX15" s="7"/>
      <c r="KY15" s="8"/>
      <c r="KZ15" s="8"/>
      <c r="LA15" s="8"/>
      <c r="LB15" s="15" t="s">
        <v>1</v>
      </c>
      <c r="LC15" s="15" t="s">
        <v>1</v>
      </c>
      <c r="LD15" s="7"/>
      <c r="LE15" s="7"/>
      <c r="LF15" s="18" t="s">
        <v>5</v>
      </c>
      <c r="LG15" s="18" t="s">
        <v>5</v>
      </c>
      <c r="LH15" s="18" t="s">
        <v>5</v>
      </c>
      <c r="LI15" s="18" t="s">
        <v>5</v>
      </c>
      <c r="LJ15" s="15" t="s">
        <v>1</v>
      </c>
      <c r="LK15" s="7"/>
      <c r="LL15" s="7"/>
      <c r="LM15" s="15" t="s">
        <v>1</v>
      </c>
      <c r="LN15" s="15" t="s">
        <v>1</v>
      </c>
      <c r="LO15" s="15" t="s">
        <v>1</v>
      </c>
      <c r="LP15" s="15" t="s">
        <v>1</v>
      </c>
      <c r="LQ15" s="15" t="s">
        <v>1</v>
      </c>
      <c r="LR15" s="7"/>
      <c r="LS15" s="7"/>
      <c r="LT15" s="8"/>
      <c r="LU15" s="8"/>
      <c r="LV15" s="8"/>
      <c r="LW15" s="8"/>
      <c r="LX15" s="8"/>
      <c r="LY15" s="7"/>
      <c r="LZ15" s="7"/>
      <c r="MA15" s="8"/>
      <c r="MB15" s="8"/>
      <c r="MC15" s="8"/>
      <c r="MD15" s="8"/>
      <c r="ME15" s="8"/>
      <c r="MF15" s="7"/>
      <c r="MG15" s="7"/>
      <c r="MH15" s="8"/>
      <c r="MI15" s="8"/>
      <c r="MJ15" s="8"/>
      <c r="MK15" s="8"/>
      <c r="ML15" s="8"/>
      <c r="MM15" s="7"/>
      <c r="MN15" s="7"/>
      <c r="MO15" s="8"/>
      <c r="MP15" s="8"/>
      <c r="MQ15" s="8"/>
      <c r="MR15" s="8"/>
      <c r="MS15" s="8"/>
      <c r="MT15" s="7"/>
      <c r="MU15" s="7"/>
      <c r="MV15" s="8"/>
      <c r="MW15" s="8"/>
      <c r="MX15" s="8"/>
      <c r="MY15" s="8"/>
      <c r="MZ15" s="26"/>
      <c r="NA15" s="7"/>
      <c r="NB15" s="7"/>
      <c r="NC15" s="8"/>
      <c r="ND15" s="8"/>
      <c r="NE15" s="8"/>
      <c r="NF15" s="8"/>
      <c r="NG15" s="8"/>
      <c r="NH15" s="7"/>
      <c r="NI15" s="7"/>
      <c r="NJ15" s="8"/>
      <c r="NK15" s="8"/>
      <c r="NL15" s="8"/>
    </row>
    <row r="16" spans="1:376" customFormat="1" ht="15.75" thickBot="1">
      <c r="A16" s="1"/>
      <c r="B16" s="29" t="s">
        <v>40</v>
      </c>
      <c r="C16" s="29" t="s">
        <v>30</v>
      </c>
      <c r="D16" s="29" t="s">
        <v>31</v>
      </c>
      <c r="E16" s="29">
        <v>0</v>
      </c>
      <c r="F16" s="29">
        <v>10</v>
      </c>
      <c r="G16" s="29">
        <v>0</v>
      </c>
      <c r="H16" s="29">
        <f t="shared" si="0"/>
        <v>0</v>
      </c>
      <c r="I16" s="30">
        <f t="shared" si="1"/>
        <v>0</v>
      </c>
      <c r="J16" s="30">
        <f t="shared" si="2"/>
        <v>0</v>
      </c>
      <c r="K16" s="30">
        <f t="shared" si="3"/>
        <v>7</v>
      </c>
      <c r="L16" s="28"/>
      <c r="M16" s="8"/>
      <c r="N16" s="8"/>
      <c r="O16" s="7"/>
      <c r="P16" s="7"/>
      <c r="Q16" s="8"/>
      <c r="R16" s="8"/>
      <c r="S16" s="8"/>
      <c r="T16" s="8"/>
      <c r="U16" s="7"/>
      <c r="V16" s="7"/>
      <c r="W16" s="7"/>
      <c r="X16" s="7"/>
      <c r="Y16" s="8"/>
      <c r="Z16" s="8"/>
      <c r="AA16" s="8"/>
      <c r="AB16" s="8"/>
      <c r="AC16" s="7"/>
      <c r="AD16" s="7"/>
      <c r="AE16" s="7"/>
      <c r="AF16" s="8"/>
      <c r="AG16" s="8"/>
      <c r="AH16" s="8"/>
      <c r="AI16" s="8"/>
      <c r="AJ16" s="7"/>
      <c r="AK16" s="7"/>
      <c r="AL16" s="8"/>
      <c r="AM16" s="8"/>
      <c r="AN16" s="8"/>
      <c r="AO16" s="8"/>
      <c r="AP16" s="7"/>
      <c r="AQ16" s="7"/>
      <c r="AR16" s="7"/>
      <c r="AS16" s="8"/>
      <c r="AT16" s="8"/>
      <c r="AU16" s="8"/>
      <c r="AV16" s="8"/>
      <c r="AW16" s="8"/>
      <c r="AX16" s="7"/>
      <c r="AY16" s="7"/>
      <c r="AZ16" s="8"/>
      <c r="BA16" s="8"/>
      <c r="BB16" s="8"/>
      <c r="BC16" s="8"/>
      <c r="BD16" s="8"/>
      <c r="BE16" s="7"/>
      <c r="BF16" s="7"/>
      <c r="BG16" s="8"/>
      <c r="BH16" s="8"/>
      <c r="BI16" s="8"/>
      <c r="BJ16" s="8"/>
      <c r="BK16" s="8"/>
      <c r="BL16" s="7"/>
      <c r="BM16" s="7"/>
      <c r="BN16" s="8"/>
      <c r="BO16" s="8"/>
      <c r="BP16" s="8"/>
      <c r="BQ16" s="8"/>
      <c r="BR16" s="8"/>
      <c r="BS16" s="7"/>
      <c r="BT16" s="7"/>
      <c r="BU16" s="8"/>
      <c r="BV16" s="8"/>
      <c r="BW16" s="8"/>
      <c r="BX16" s="8"/>
      <c r="BY16" s="8"/>
      <c r="BZ16" s="7"/>
      <c r="CA16" s="7"/>
      <c r="CB16" s="8"/>
      <c r="CC16" s="8"/>
      <c r="CD16" s="8"/>
      <c r="CE16" s="8"/>
      <c r="CF16" s="8"/>
      <c r="CG16" s="7"/>
      <c r="CH16" s="7"/>
      <c r="CI16" s="8"/>
      <c r="CJ16" s="8"/>
      <c r="CK16" s="8"/>
      <c r="CL16" s="8"/>
      <c r="CM16" s="8"/>
      <c r="CN16" s="7"/>
      <c r="CO16" s="7"/>
      <c r="CP16" s="8"/>
      <c r="CQ16" s="8"/>
      <c r="CR16" s="7"/>
      <c r="CS16" s="8"/>
      <c r="CT16" s="8"/>
      <c r="CU16" s="7"/>
      <c r="CV16" s="7"/>
      <c r="CW16" s="8"/>
      <c r="CX16" s="8"/>
      <c r="CY16" s="8"/>
      <c r="CZ16" s="8"/>
      <c r="DA16" s="8"/>
      <c r="DB16" s="7"/>
      <c r="DC16" s="7"/>
      <c r="DD16" s="8"/>
      <c r="DE16" s="8"/>
      <c r="DF16" s="8"/>
      <c r="DG16" s="8"/>
      <c r="DH16" s="8"/>
      <c r="DI16" s="7"/>
      <c r="DJ16" s="7"/>
      <c r="DK16" s="8"/>
      <c r="DL16" s="8"/>
      <c r="DM16" s="8"/>
      <c r="DN16" s="8"/>
      <c r="DO16" s="8"/>
      <c r="DP16" s="7"/>
      <c r="DQ16" s="7"/>
      <c r="DR16" s="8"/>
      <c r="DS16" s="8"/>
      <c r="DT16" s="8"/>
      <c r="DU16" s="8"/>
      <c r="DV16" s="8"/>
      <c r="DW16" s="7"/>
      <c r="DX16" s="7"/>
      <c r="DY16" s="8"/>
      <c r="DZ16" s="8"/>
      <c r="EA16" s="8"/>
      <c r="EB16" s="8"/>
      <c r="EC16" s="8"/>
      <c r="ED16" s="7"/>
      <c r="EE16" s="7"/>
      <c r="EF16" s="8"/>
      <c r="EG16" s="8"/>
      <c r="EH16" s="8"/>
      <c r="EI16" s="8"/>
      <c r="EJ16" s="8"/>
      <c r="EK16" s="7"/>
      <c r="EL16" s="7"/>
      <c r="EM16" s="8"/>
      <c r="EN16" s="8"/>
      <c r="EO16" s="8"/>
      <c r="EP16" s="8"/>
      <c r="EQ16" s="8"/>
      <c r="ER16" s="7"/>
      <c r="ES16" s="7"/>
      <c r="ET16" s="8"/>
      <c r="EU16" s="8"/>
      <c r="EV16" s="8"/>
      <c r="EW16" s="8"/>
      <c r="EX16" s="8"/>
      <c r="EY16" s="7"/>
      <c r="EZ16" s="7"/>
      <c r="FA16" s="8"/>
      <c r="FB16" s="8"/>
      <c r="FC16" s="8"/>
      <c r="FD16" s="8"/>
      <c r="FE16" s="8"/>
      <c r="FF16" s="7"/>
      <c r="FG16" s="7"/>
      <c r="FH16" s="8"/>
      <c r="FI16" s="8"/>
      <c r="FJ16" s="8"/>
      <c r="FK16" s="8"/>
      <c r="FL16" s="8"/>
      <c r="FM16" s="7"/>
      <c r="FN16" s="7"/>
      <c r="FO16" s="8"/>
      <c r="FP16" s="8"/>
      <c r="FQ16" s="8"/>
      <c r="FR16" s="8"/>
      <c r="FS16" s="8"/>
      <c r="FT16" s="7"/>
      <c r="FU16" s="7"/>
      <c r="FV16" s="8"/>
      <c r="FW16" s="8"/>
      <c r="FX16" s="8"/>
      <c r="FY16" s="8"/>
      <c r="FZ16" s="8"/>
      <c r="GA16" s="7"/>
      <c r="GB16" s="7"/>
      <c r="GC16" s="8"/>
      <c r="GD16" s="8"/>
      <c r="GE16" s="8"/>
      <c r="GF16" s="8"/>
      <c r="GG16" s="8"/>
      <c r="GH16" s="7"/>
      <c r="GI16" s="7"/>
      <c r="GJ16" s="8"/>
      <c r="GK16" s="8"/>
      <c r="GL16" s="8"/>
      <c r="GM16" s="8"/>
      <c r="GN16" s="8"/>
      <c r="GO16" s="7"/>
      <c r="GP16" s="7"/>
      <c r="GQ16" s="8"/>
      <c r="GR16" s="8"/>
      <c r="GS16" s="8"/>
      <c r="GT16" s="8"/>
      <c r="GU16" s="7"/>
      <c r="GV16" s="7"/>
      <c r="GW16" s="7"/>
      <c r="GX16" s="7"/>
      <c r="GY16" s="8"/>
      <c r="GZ16" s="8"/>
      <c r="HA16" s="8"/>
      <c r="HB16" s="8"/>
      <c r="HC16" s="7"/>
      <c r="HD16" s="7"/>
      <c r="HE16" s="8"/>
      <c r="HF16" s="8"/>
      <c r="HG16" s="8"/>
      <c r="HH16" s="8"/>
      <c r="HI16" s="8"/>
      <c r="HJ16" s="7"/>
      <c r="HK16" s="7"/>
      <c r="HL16" s="8"/>
      <c r="HM16" s="8"/>
      <c r="HN16" s="8"/>
      <c r="HO16" s="8"/>
      <c r="HP16" s="8"/>
      <c r="HQ16" s="7"/>
      <c r="HR16" s="7"/>
      <c r="HS16" s="8"/>
      <c r="HT16" s="8"/>
      <c r="HU16" s="8"/>
      <c r="HV16" s="8"/>
      <c r="HW16" s="8"/>
      <c r="HX16" s="7"/>
      <c r="HY16" s="7"/>
      <c r="HZ16" s="8"/>
      <c r="IA16" s="8"/>
      <c r="IB16" s="8"/>
      <c r="IC16" s="8"/>
      <c r="ID16" s="8"/>
      <c r="IE16" s="7"/>
      <c r="IF16" s="7"/>
      <c r="IG16" s="8"/>
      <c r="IH16" s="8"/>
      <c r="II16" s="8"/>
      <c r="IJ16" s="8"/>
      <c r="IK16" s="8"/>
      <c r="IL16" s="7"/>
      <c r="IM16" s="7"/>
      <c r="IN16" s="8"/>
      <c r="IO16" s="8"/>
      <c r="IP16" s="8"/>
      <c r="IQ16" s="8"/>
      <c r="IR16" s="8"/>
      <c r="IS16" s="7"/>
      <c r="IT16" s="7"/>
      <c r="IU16" s="8"/>
      <c r="IV16" s="8"/>
      <c r="IW16" s="8"/>
      <c r="IX16" s="8"/>
      <c r="IY16" s="8"/>
      <c r="IZ16" s="7"/>
      <c r="JA16" s="7"/>
      <c r="JB16" s="8"/>
      <c r="JC16" s="25"/>
      <c r="JD16" s="8"/>
      <c r="JE16" s="8"/>
      <c r="JF16" s="8"/>
      <c r="JG16" s="7"/>
      <c r="JH16" s="7"/>
      <c r="JI16" s="8"/>
      <c r="JJ16" s="8"/>
      <c r="JK16" s="8"/>
      <c r="JL16" s="8"/>
      <c r="JM16" s="8"/>
      <c r="JN16" s="7"/>
      <c r="JO16" s="7"/>
      <c r="JP16" s="8"/>
      <c r="JQ16" s="8"/>
      <c r="JR16" s="8"/>
      <c r="JS16" s="8"/>
      <c r="JT16" s="25"/>
      <c r="JU16" s="7"/>
      <c r="JV16" s="7"/>
      <c r="JW16" s="8"/>
      <c r="JX16" s="8"/>
      <c r="JY16" s="8"/>
      <c r="JZ16" s="8"/>
      <c r="KA16" s="25"/>
      <c r="KB16" s="7"/>
      <c r="KC16" s="7"/>
      <c r="KD16" s="15" t="s">
        <v>1</v>
      </c>
      <c r="KE16" s="15" t="s">
        <v>1</v>
      </c>
      <c r="KF16" s="15" t="s">
        <v>1</v>
      </c>
      <c r="KG16" s="15" t="s">
        <v>1</v>
      </c>
      <c r="KH16" s="15" t="s">
        <v>1</v>
      </c>
      <c r="KI16" s="7"/>
      <c r="KJ16" s="7"/>
      <c r="KK16" s="15" t="s">
        <v>1</v>
      </c>
      <c r="KL16" s="15" t="s">
        <v>1</v>
      </c>
      <c r="KM16" s="15" t="s">
        <v>1</v>
      </c>
      <c r="KN16" s="15" t="s">
        <v>1</v>
      </c>
      <c r="KO16" s="15" t="s">
        <v>1</v>
      </c>
      <c r="KP16" s="7"/>
      <c r="KQ16" s="7"/>
      <c r="KR16" s="8"/>
      <c r="KS16" s="8"/>
      <c r="KT16" s="8"/>
      <c r="KU16" s="8"/>
      <c r="KV16" s="8"/>
      <c r="KW16" s="7"/>
      <c r="KX16" s="7"/>
      <c r="KY16" s="8"/>
      <c r="KZ16" s="8"/>
      <c r="LA16" s="8"/>
      <c r="LB16" s="8"/>
      <c r="LC16" s="8"/>
      <c r="LD16" s="7"/>
      <c r="LE16" s="7"/>
      <c r="LF16" s="8"/>
      <c r="LG16" s="8"/>
      <c r="LH16" s="21" t="s">
        <v>7</v>
      </c>
      <c r="LI16" s="21" t="s">
        <v>7</v>
      </c>
      <c r="LJ16" s="21" t="s">
        <v>7</v>
      </c>
      <c r="LK16" s="7"/>
      <c r="LL16" s="7"/>
      <c r="LM16" s="21" t="s">
        <v>7</v>
      </c>
      <c r="LN16" s="21" t="s">
        <v>7</v>
      </c>
      <c r="LO16" s="21" t="s">
        <v>7</v>
      </c>
      <c r="LP16" s="21" t="s">
        <v>7</v>
      </c>
      <c r="LQ16" s="8"/>
      <c r="LR16" s="7"/>
      <c r="LS16" s="7"/>
      <c r="LT16" s="8"/>
      <c r="LU16" s="8"/>
      <c r="LV16" s="8"/>
      <c r="LW16" s="8"/>
      <c r="LX16" s="8"/>
      <c r="LY16" s="7"/>
      <c r="LZ16" s="7"/>
      <c r="MA16" s="8"/>
      <c r="MB16" s="8"/>
      <c r="MC16" s="8"/>
      <c r="MD16" s="8"/>
      <c r="ME16" s="8"/>
      <c r="MF16" s="7"/>
      <c r="MG16" s="7"/>
      <c r="MH16" s="8"/>
      <c r="MI16" s="8"/>
      <c r="MJ16" s="8"/>
      <c r="MK16" s="8"/>
      <c r="ML16" s="8"/>
      <c r="MM16" s="7"/>
      <c r="MN16" s="7"/>
      <c r="MO16" s="8"/>
      <c r="MP16" s="8"/>
      <c r="MQ16" s="8"/>
      <c r="MR16" s="8"/>
      <c r="MS16" s="8"/>
      <c r="MT16" s="7"/>
      <c r="MU16" s="7"/>
      <c r="MV16" s="8"/>
      <c r="MW16" s="8"/>
      <c r="MX16" s="8"/>
      <c r="MY16" s="8"/>
      <c r="MZ16" s="8"/>
      <c r="NA16" s="7"/>
      <c r="NB16" s="7"/>
      <c r="NC16" s="8"/>
      <c r="ND16" s="8"/>
      <c r="NE16" s="8"/>
      <c r="NF16" s="8"/>
      <c r="NG16" s="8"/>
      <c r="NH16" s="7"/>
      <c r="NI16" s="7"/>
      <c r="NJ16" s="8"/>
      <c r="NK16" s="8"/>
      <c r="NL16" s="8"/>
    </row>
    <row r="17" spans="1:376" customFormat="1">
      <c r="A17" s="1"/>
      <c r="B17" s="29" t="s">
        <v>41</v>
      </c>
      <c r="C17" s="29" t="s">
        <v>30</v>
      </c>
      <c r="D17" s="29" t="s">
        <v>31</v>
      </c>
      <c r="E17" s="29">
        <v>0</v>
      </c>
      <c r="F17" s="29">
        <v>15</v>
      </c>
      <c r="G17" s="29">
        <v>0</v>
      </c>
      <c r="H17" s="29">
        <f t="shared" si="0"/>
        <v>0</v>
      </c>
      <c r="I17" s="30">
        <f t="shared" si="1"/>
        <v>0</v>
      </c>
      <c r="J17" s="30">
        <f t="shared" si="2"/>
        <v>0</v>
      </c>
      <c r="K17" s="30">
        <f t="shared" si="3"/>
        <v>0</v>
      </c>
      <c r="L17" s="28"/>
      <c r="M17" s="8"/>
      <c r="N17" s="8"/>
      <c r="O17" s="7"/>
      <c r="P17" s="7"/>
      <c r="Q17" s="8"/>
      <c r="R17" s="8"/>
      <c r="S17" s="8"/>
      <c r="T17" s="8"/>
      <c r="U17" s="7"/>
      <c r="V17" s="7"/>
      <c r="W17" s="7"/>
      <c r="X17" s="7"/>
      <c r="Y17" s="8"/>
      <c r="Z17" s="8"/>
      <c r="AA17" s="8"/>
      <c r="AB17" s="8"/>
      <c r="AC17" s="7"/>
      <c r="AD17" s="7"/>
      <c r="AE17" s="7"/>
      <c r="AF17" s="8"/>
      <c r="AG17" s="8"/>
      <c r="AH17" s="8"/>
      <c r="AI17" s="8"/>
      <c r="AJ17" s="7"/>
      <c r="AK17" s="7"/>
      <c r="AL17" s="8"/>
      <c r="AM17" s="8"/>
      <c r="AN17" s="8"/>
      <c r="AO17" s="8"/>
      <c r="AP17" s="7"/>
      <c r="AQ17" s="7"/>
      <c r="AR17" s="7"/>
      <c r="AS17" s="8"/>
      <c r="AT17" s="8"/>
      <c r="AU17" s="8"/>
      <c r="AV17" s="8"/>
      <c r="AW17" s="8"/>
      <c r="AX17" s="7"/>
      <c r="AY17" s="7"/>
      <c r="AZ17" s="8"/>
      <c r="BA17" s="8"/>
      <c r="BB17" s="8"/>
      <c r="BC17" s="8"/>
      <c r="BD17" s="8"/>
      <c r="BE17" s="7"/>
      <c r="BF17" s="7"/>
      <c r="BG17" s="8"/>
      <c r="BH17" s="8"/>
      <c r="BI17" s="8"/>
      <c r="BJ17" s="8"/>
      <c r="BK17" s="8"/>
      <c r="BL17" s="7"/>
      <c r="BM17" s="7"/>
      <c r="BN17" s="8"/>
      <c r="BO17" s="8"/>
      <c r="BP17" s="8"/>
      <c r="BQ17" s="8"/>
      <c r="BR17" s="8"/>
      <c r="BS17" s="7"/>
      <c r="BT17" s="7"/>
      <c r="BU17" s="8"/>
      <c r="BV17" s="8"/>
      <c r="BW17" s="8"/>
      <c r="BX17" s="8"/>
      <c r="BY17" s="8"/>
      <c r="BZ17" s="7"/>
      <c r="CA17" s="7"/>
      <c r="CB17" s="8"/>
      <c r="CC17" s="8"/>
      <c r="CD17" s="8"/>
      <c r="CE17" s="8"/>
      <c r="CF17" s="8"/>
      <c r="CG17" s="7"/>
      <c r="CH17" s="7"/>
      <c r="CI17" s="8"/>
      <c r="CJ17" s="8"/>
      <c r="CK17" s="8"/>
      <c r="CL17" s="8"/>
      <c r="CM17" s="8"/>
      <c r="CN17" s="7"/>
      <c r="CO17" s="7"/>
      <c r="CP17" s="8"/>
      <c r="CQ17" s="8"/>
      <c r="CR17" s="7"/>
      <c r="CS17" s="8"/>
      <c r="CT17" s="8"/>
      <c r="CU17" s="7"/>
      <c r="CV17" s="7"/>
      <c r="CW17" s="8"/>
      <c r="CX17" s="8"/>
      <c r="CY17" s="8"/>
      <c r="CZ17" s="8"/>
      <c r="DA17" s="8"/>
      <c r="DB17" s="7"/>
      <c r="DC17" s="7"/>
      <c r="DD17" s="8"/>
      <c r="DE17" s="8"/>
      <c r="DF17" s="8"/>
      <c r="DG17" s="8"/>
      <c r="DH17" s="8"/>
      <c r="DI17" s="7"/>
      <c r="DJ17" s="7"/>
      <c r="DK17" s="8"/>
      <c r="DL17" s="8"/>
      <c r="DM17" s="8"/>
      <c r="DN17" s="8"/>
      <c r="DO17" s="8"/>
      <c r="DP17" s="7"/>
      <c r="DQ17" s="7"/>
      <c r="DR17" s="8"/>
      <c r="DS17" s="8"/>
      <c r="DT17" s="8"/>
      <c r="DU17" s="8"/>
      <c r="DV17" s="8"/>
      <c r="DW17" s="7"/>
      <c r="DX17" s="7"/>
      <c r="DY17" s="8"/>
      <c r="DZ17" s="8"/>
      <c r="EA17" s="8"/>
      <c r="EB17" s="8"/>
      <c r="EC17" s="8"/>
      <c r="ED17" s="7"/>
      <c r="EE17" s="7"/>
      <c r="EF17" s="8"/>
      <c r="EG17" s="8"/>
      <c r="EH17" s="8"/>
      <c r="EI17" s="8"/>
      <c r="EJ17" s="8"/>
      <c r="EK17" s="7"/>
      <c r="EL17" s="7"/>
      <c r="EM17" s="8"/>
      <c r="EN17" s="8"/>
      <c r="EO17" s="8"/>
      <c r="EP17" s="8"/>
      <c r="EQ17" s="8"/>
      <c r="ER17" s="7"/>
      <c r="ES17" s="7"/>
      <c r="ET17" s="8"/>
      <c r="EU17" s="8"/>
      <c r="EV17" s="8"/>
      <c r="EW17" s="8"/>
      <c r="EX17" s="8"/>
      <c r="EY17" s="7"/>
      <c r="EZ17" s="7"/>
      <c r="FA17" s="8"/>
      <c r="FB17" s="8"/>
      <c r="FC17" s="8"/>
      <c r="FD17" s="8"/>
      <c r="FE17" s="8"/>
      <c r="FF17" s="7"/>
      <c r="FG17" s="7"/>
      <c r="FH17" s="8"/>
      <c r="FI17" s="8"/>
      <c r="FJ17" s="8"/>
      <c r="FK17" s="8"/>
      <c r="FL17" s="8"/>
      <c r="FM17" s="7"/>
      <c r="FN17" s="7"/>
      <c r="FO17" s="8"/>
      <c r="FP17" s="8"/>
      <c r="FQ17" s="8"/>
      <c r="FR17" s="8"/>
      <c r="FS17" s="8"/>
      <c r="FT17" s="7"/>
      <c r="FU17" s="7"/>
      <c r="FV17" s="8"/>
      <c r="FW17" s="8"/>
      <c r="FX17" s="8"/>
      <c r="FY17" s="8"/>
      <c r="FZ17" s="8"/>
      <c r="GA17" s="7"/>
      <c r="GB17" s="7"/>
      <c r="GC17" s="8"/>
      <c r="GD17" s="8"/>
      <c r="GE17" s="8"/>
      <c r="GF17" s="8"/>
      <c r="GG17" s="8"/>
      <c r="GH17" s="7"/>
      <c r="GI17" s="7"/>
      <c r="GJ17" s="8"/>
      <c r="GK17" s="8"/>
      <c r="GL17" s="8"/>
      <c r="GM17" s="8"/>
      <c r="GN17" s="8"/>
      <c r="GO17" s="7"/>
      <c r="GP17" s="7"/>
      <c r="GQ17" s="8"/>
      <c r="GR17" s="8"/>
      <c r="GS17" s="8"/>
      <c r="GT17" s="8"/>
      <c r="GU17" s="7"/>
      <c r="GV17" s="7"/>
      <c r="GW17" s="7"/>
      <c r="GX17" s="7"/>
      <c r="GY17" s="8"/>
      <c r="GZ17" s="8"/>
      <c r="HA17" s="8"/>
      <c r="HB17" s="8"/>
      <c r="HC17" s="7"/>
      <c r="HD17" s="7"/>
      <c r="HE17" s="8"/>
      <c r="HF17" s="8"/>
      <c r="HG17" s="8"/>
      <c r="HH17" s="8"/>
      <c r="HI17" s="8"/>
      <c r="HJ17" s="7"/>
      <c r="HK17" s="7"/>
      <c r="HL17" s="8"/>
      <c r="HM17" s="8"/>
      <c r="HN17" s="8"/>
      <c r="HO17" s="8"/>
      <c r="HP17" s="8"/>
      <c r="HQ17" s="7"/>
      <c r="HR17" s="7"/>
      <c r="HS17" s="8"/>
      <c r="HT17" s="8"/>
      <c r="HU17" s="8"/>
      <c r="HV17" s="8"/>
      <c r="HW17" s="8"/>
      <c r="HX17" s="7"/>
      <c r="HY17" s="7"/>
      <c r="HZ17" s="8"/>
      <c r="IA17" s="8"/>
      <c r="IB17" s="8"/>
      <c r="IC17" s="8"/>
      <c r="ID17" s="8"/>
      <c r="IE17" s="7"/>
      <c r="IF17" s="7"/>
      <c r="IG17" s="8"/>
      <c r="IH17" s="8"/>
      <c r="II17" s="8"/>
      <c r="IJ17" s="8"/>
      <c r="IK17" s="8"/>
      <c r="IL17" s="7"/>
      <c r="IM17" s="7"/>
      <c r="IN17" s="8"/>
      <c r="IO17" s="8"/>
      <c r="IP17" s="8"/>
      <c r="IQ17" s="8"/>
      <c r="IR17" s="8"/>
      <c r="IS17" s="7"/>
      <c r="IT17" s="7"/>
      <c r="IU17" s="8"/>
      <c r="IV17" s="8"/>
      <c r="IW17" s="8"/>
      <c r="IX17" s="8"/>
      <c r="IY17" s="8"/>
      <c r="IZ17" s="7"/>
      <c r="JA17" s="7"/>
      <c r="JB17" s="8"/>
      <c r="JC17" s="25"/>
      <c r="JD17" s="8"/>
      <c r="JE17" s="8"/>
      <c r="JF17" s="8"/>
      <c r="JG17" s="7"/>
      <c r="JH17" s="7"/>
      <c r="JI17" s="8"/>
      <c r="JJ17" s="8"/>
      <c r="JK17" s="8"/>
      <c r="JL17" s="8"/>
      <c r="JM17" s="8"/>
      <c r="JN17" s="7"/>
      <c r="JO17" s="7"/>
      <c r="JP17" s="8"/>
      <c r="JQ17" s="8"/>
      <c r="JR17" s="8"/>
      <c r="JS17" s="8"/>
      <c r="JT17" s="25"/>
      <c r="JU17" s="7"/>
      <c r="JV17" s="7"/>
      <c r="JW17" s="8"/>
      <c r="JX17" s="8"/>
      <c r="JY17" s="8"/>
      <c r="JZ17" s="8"/>
      <c r="KA17" s="25"/>
      <c r="KB17" s="7"/>
      <c r="KC17" s="7"/>
      <c r="KD17" s="15" t="s">
        <v>1</v>
      </c>
      <c r="KE17" s="15" t="s">
        <v>1</v>
      </c>
      <c r="KF17" s="15" t="s">
        <v>1</v>
      </c>
      <c r="KG17" s="15" t="s">
        <v>1</v>
      </c>
      <c r="KH17" s="15" t="s">
        <v>1</v>
      </c>
      <c r="KI17" s="7"/>
      <c r="KJ17" s="7"/>
      <c r="KK17" s="15" t="s">
        <v>1</v>
      </c>
      <c r="KL17" s="15" t="s">
        <v>1</v>
      </c>
      <c r="KM17" s="15" t="s">
        <v>1</v>
      </c>
      <c r="KN17" s="15" t="s">
        <v>1</v>
      </c>
      <c r="KO17" s="15" t="s">
        <v>1</v>
      </c>
      <c r="KP17" s="7"/>
      <c r="KQ17" s="7"/>
      <c r="KR17" s="15" t="s">
        <v>1</v>
      </c>
      <c r="KS17" s="15" t="s">
        <v>1</v>
      </c>
      <c r="KT17" s="15" t="s">
        <v>1</v>
      </c>
      <c r="KU17" s="15" t="s">
        <v>1</v>
      </c>
      <c r="KV17" s="15" t="s">
        <v>1</v>
      </c>
      <c r="KW17" s="7"/>
      <c r="KX17" s="7"/>
      <c r="KY17" s="8"/>
      <c r="KZ17" s="8"/>
      <c r="LA17" s="8"/>
      <c r="LB17" s="8"/>
      <c r="LC17" s="8"/>
      <c r="LD17" s="7"/>
      <c r="LE17" s="7"/>
      <c r="LF17" s="8"/>
      <c r="LG17" s="8"/>
      <c r="LH17" s="8"/>
      <c r="LI17" s="8"/>
      <c r="LJ17" s="8"/>
      <c r="LK17" s="7"/>
      <c r="LL17" s="7"/>
      <c r="LM17" s="8"/>
      <c r="LN17" s="8"/>
      <c r="LO17" s="8"/>
      <c r="LP17" s="8"/>
      <c r="LQ17" s="8"/>
      <c r="LR17" s="7"/>
      <c r="LS17" s="7"/>
      <c r="LT17" s="8"/>
      <c r="LU17" s="8"/>
      <c r="LV17" s="8"/>
      <c r="LW17" s="8"/>
      <c r="LX17" s="8"/>
      <c r="LY17" s="7"/>
      <c r="LZ17" s="7"/>
      <c r="MA17" s="8"/>
      <c r="MB17" s="8"/>
      <c r="MC17" s="8"/>
      <c r="MD17" s="8"/>
      <c r="ME17" s="8"/>
      <c r="MF17" s="7"/>
      <c r="MG17" s="7"/>
      <c r="MH17" s="8"/>
      <c r="MI17" s="8"/>
      <c r="MJ17" s="8"/>
      <c r="MK17" s="8"/>
      <c r="ML17" s="8"/>
      <c r="MM17" s="7"/>
      <c r="MN17" s="7"/>
      <c r="MO17" s="8"/>
      <c r="MP17" s="8"/>
      <c r="MQ17" s="8"/>
      <c r="MR17" s="8"/>
      <c r="MS17" s="8"/>
      <c r="MT17" s="7"/>
      <c r="MU17" s="7"/>
      <c r="MV17" s="8"/>
      <c r="MW17" s="8"/>
      <c r="MX17" s="8"/>
      <c r="MY17" s="8"/>
      <c r="MZ17" s="8"/>
      <c r="NA17" s="7"/>
      <c r="NB17" s="7"/>
      <c r="NC17" s="8"/>
      <c r="ND17" s="8"/>
      <c r="NE17" s="8"/>
      <c r="NF17" s="8"/>
      <c r="NG17" s="8"/>
      <c r="NH17" s="7"/>
      <c r="NI17" s="7"/>
      <c r="NJ17" s="8"/>
      <c r="NK17" s="8"/>
      <c r="NL17" s="8"/>
    </row>
    <row r="18" spans="1:376" customFormat="1" ht="15.75" customHeight="1">
      <c r="A18" s="1"/>
      <c r="B18" s="29" t="s">
        <v>42</v>
      </c>
      <c r="C18" s="29" t="s">
        <v>36</v>
      </c>
      <c r="D18" s="29" t="s">
        <v>43</v>
      </c>
      <c r="E18" s="29">
        <v>0</v>
      </c>
      <c r="F18" s="29">
        <v>8</v>
      </c>
      <c r="G18" s="29">
        <v>0</v>
      </c>
      <c r="H18" s="29">
        <f t="shared" si="0"/>
        <v>0</v>
      </c>
      <c r="I18" s="30">
        <f t="shared" si="1"/>
        <v>0</v>
      </c>
      <c r="J18" s="30">
        <f t="shared" si="2"/>
        <v>0</v>
      </c>
      <c r="K18" s="30">
        <f t="shared" si="3"/>
        <v>8</v>
      </c>
      <c r="L18" s="28"/>
      <c r="M18" s="8"/>
      <c r="N18" s="8"/>
      <c r="O18" s="7"/>
      <c r="P18" s="7"/>
      <c r="Q18" s="8"/>
      <c r="R18" s="8"/>
      <c r="S18" s="8"/>
      <c r="T18" s="8"/>
      <c r="U18" s="7"/>
      <c r="V18" s="7"/>
      <c r="W18" s="7"/>
      <c r="X18" s="7"/>
      <c r="Y18" s="8"/>
      <c r="Z18" s="8"/>
      <c r="AA18" s="8"/>
      <c r="AB18" s="8"/>
      <c r="AC18" s="7"/>
      <c r="AD18" s="7"/>
      <c r="AE18" s="7"/>
      <c r="AF18" s="8"/>
      <c r="AG18" s="8"/>
      <c r="AH18" s="8"/>
      <c r="AI18" s="8"/>
      <c r="AJ18" s="7"/>
      <c r="AK18" s="7"/>
      <c r="AL18" s="8"/>
      <c r="AM18" s="8"/>
      <c r="AN18" s="8"/>
      <c r="AO18" s="8"/>
      <c r="AP18" s="7"/>
      <c r="AQ18" s="7"/>
      <c r="AR18" s="7"/>
      <c r="AS18" s="8"/>
      <c r="AT18" s="8"/>
      <c r="AU18" s="8"/>
      <c r="AV18" s="8"/>
      <c r="AW18" s="8"/>
      <c r="AX18" s="7"/>
      <c r="AY18" s="7"/>
      <c r="AZ18" s="8"/>
      <c r="BA18" s="8"/>
      <c r="BB18" s="8"/>
      <c r="BC18" s="8"/>
      <c r="BD18" s="8"/>
      <c r="BE18" s="7"/>
      <c r="BF18" s="7"/>
      <c r="BG18" s="8"/>
      <c r="BH18" s="8"/>
      <c r="BI18" s="8"/>
      <c r="BJ18" s="8"/>
      <c r="BK18" s="8"/>
      <c r="BL18" s="7"/>
      <c r="BM18" s="7"/>
      <c r="BN18" s="8"/>
      <c r="BO18" s="8"/>
      <c r="BP18" s="8"/>
      <c r="BQ18" s="8"/>
      <c r="BR18" s="8"/>
      <c r="BS18" s="7"/>
      <c r="BT18" s="7"/>
      <c r="BU18" s="8"/>
      <c r="BV18" s="8"/>
      <c r="BW18" s="8"/>
      <c r="BX18" s="8"/>
      <c r="BY18" s="8"/>
      <c r="BZ18" s="7"/>
      <c r="CA18" s="7"/>
      <c r="CB18" s="8"/>
      <c r="CC18" s="8"/>
      <c r="CD18" s="8"/>
      <c r="CE18" s="8"/>
      <c r="CF18" s="8"/>
      <c r="CG18" s="7"/>
      <c r="CH18" s="7"/>
      <c r="CI18" s="8"/>
      <c r="CJ18" s="8"/>
      <c r="CK18" s="8"/>
      <c r="CL18" s="8"/>
      <c r="CM18" s="8"/>
      <c r="CN18" s="7"/>
      <c r="CO18" s="7"/>
      <c r="CP18" s="8"/>
      <c r="CQ18" s="8"/>
      <c r="CR18" s="7"/>
      <c r="CS18" s="8"/>
      <c r="CT18" s="8"/>
      <c r="CU18" s="7"/>
      <c r="CV18" s="7"/>
      <c r="CW18" s="8"/>
      <c r="CX18" s="8"/>
      <c r="CY18" s="8"/>
      <c r="CZ18" s="8"/>
      <c r="DA18" s="8"/>
      <c r="DB18" s="7"/>
      <c r="DC18" s="7"/>
      <c r="DD18" s="8"/>
      <c r="DE18" s="8"/>
      <c r="DF18" s="8"/>
      <c r="DG18" s="8"/>
      <c r="DH18" s="8"/>
      <c r="DI18" s="7"/>
      <c r="DJ18" s="7"/>
      <c r="DK18" s="8"/>
      <c r="DL18" s="8"/>
      <c r="DM18" s="8"/>
      <c r="DN18" s="8"/>
      <c r="DO18" s="8"/>
      <c r="DP18" s="7"/>
      <c r="DQ18" s="7"/>
      <c r="DR18" s="8"/>
      <c r="DS18" s="8"/>
      <c r="DT18" s="8"/>
      <c r="DU18" s="8"/>
      <c r="DV18" s="8"/>
      <c r="DW18" s="7"/>
      <c r="DX18" s="7"/>
      <c r="DY18" s="8"/>
      <c r="DZ18" s="8"/>
      <c r="EA18" s="8"/>
      <c r="EB18" s="8"/>
      <c r="EC18" s="8"/>
      <c r="ED18" s="7"/>
      <c r="EE18" s="7"/>
      <c r="EF18" s="8"/>
      <c r="EG18" s="8"/>
      <c r="EH18" s="8"/>
      <c r="EI18" s="8"/>
      <c r="EJ18" s="8"/>
      <c r="EK18" s="7"/>
      <c r="EL18" s="7"/>
      <c r="EM18" s="8"/>
      <c r="EN18" s="8"/>
      <c r="EO18" s="8"/>
      <c r="EP18" s="8"/>
      <c r="EQ18" s="8"/>
      <c r="ER18" s="7"/>
      <c r="ES18" s="7"/>
      <c r="ET18" s="8"/>
      <c r="EU18" s="8"/>
      <c r="EV18" s="8"/>
      <c r="EW18" s="8"/>
      <c r="EX18" s="8"/>
      <c r="EY18" s="7"/>
      <c r="EZ18" s="7"/>
      <c r="FA18" s="8"/>
      <c r="FB18" s="8"/>
      <c r="FC18" s="8"/>
      <c r="FD18" s="8"/>
      <c r="FE18" s="8"/>
      <c r="FF18" s="7"/>
      <c r="FG18" s="7"/>
      <c r="FH18" s="8"/>
      <c r="FI18" s="8"/>
      <c r="FJ18" s="8"/>
      <c r="FK18" s="8"/>
      <c r="FL18" s="8"/>
      <c r="FM18" s="7"/>
      <c r="FN18" s="7"/>
      <c r="FO18" s="8"/>
      <c r="FP18" s="8"/>
      <c r="FQ18" s="8"/>
      <c r="FR18" s="8"/>
      <c r="FS18" s="8"/>
      <c r="FT18" s="7"/>
      <c r="FU18" s="7"/>
      <c r="FV18" s="8"/>
      <c r="FW18" s="8"/>
      <c r="FX18" s="8"/>
      <c r="FY18" s="8"/>
      <c r="FZ18" s="8"/>
      <c r="GA18" s="7"/>
      <c r="GB18" s="7"/>
      <c r="GC18" s="8"/>
      <c r="GD18" s="8"/>
      <c r="GE18" s="8"/>
      <c r="GF18" s="8"/>
      <c r="GG18" s="8"/>
      <c r="GH18" s="7"/>
      <c r="GI18" s="7"/>
      <c r="GJ18" s="8"/>
      <c r="GK18" s="8"/>
      <c r="GL18" s="8"/>
      <c r="GM18" s="8"/>
      <c r="GN18" s="8"/>
      <c r="GO18" s="7"/>
      <c r="GP18" s="7"/>
      <c r="GQ18" s="8"/>
      <c r="GR18" s="8"/>
      <c r="GS18" s="8"/>
      <c r="GT18" s="8"/>
      <c r="GU18" s="7"/>
      <c r="GV18" s="7"/>
      <c r="GW18" s="7"/>
      <c r="GX18" s="7"/>
      <c r="GY18" s="8"/>
      <c r="GZ18" s="8"/>
      <c r="HA18" s="8"/>
      <c r="HB18" s="8"/>
      <c r="HC18" s="7"/>
      <c r="HD18" s="7"/>
      <c r="HE18" s="8"/>
      <c r="HF18" s="8"/>
      <c r="HG18" s="8"/>
      <c r="HH18" s="8"/>
      <c r="HI18" s="8"/>
      <c r="HJ18" s="7"/>
      <c r="HK18" s="7"/>
      <c r="HL18" s="8"/>
      <c r="HM18" s="8"/>
      <c r="HN18" s="8"/>
      <c r="HO18" s="8"/>
      <c r="HP18" s="8"/>
      <c r="HQ18" s="7"/>
      <c r="HR18" s="7"/>
      <c r="HS18" s="8"/>
      <c r="HT18" s="8"/>
      <c r="HU18" s="8"/>
      <c r="HV18" s="8"/>
      <c r="HW18" s="8"/>
      <c r="HX18" s="7"/>
      <c r="HY18" s="7"/>
      <c r="HZ18" s="8"/>
      <c r="IA18" s="8"/>
      <c r="IB18" s="8"/>
      <c r="IC18" s="8"/>
      <c r="ID18" s="8"/>
      <c r="IE18" s="7"/>
      <c r="IF18" s="7"/>
      <c r="IG18" s="8"/>
      <c r="IH18" s="8"/>
      <c r="II18" s="8"/>
      <c r="IJ18" s="8"/>
      <c r="IK18" s="8"/>
      <c r="IL18" s="7"/>
      <c r="IM18" s="7"/>
      <c r="IN18" s="8"/>
      <c r="IO18" s="8"/>
      <c r="IP18" s="8"/>
      <c r="IQ18" s="8"/>
      <c r="IR18" s="8"/>
      <c r="IS18" s="7"/>
      <c r="IT18" s="7"/>
      <c r="IU18" s="8"/>
      <c r="IV18" s="8"/>
      <c r="IW18" s="8"/>
      <c r="IX18" s="8"/>
      <c r="IY18" s="8"/>
      <c r="IZ18" s="7"/>
      <c r="JA18" s="7"/>
      <c r="JB18" s="27"/>
      <c r="JC18" s="25"/>
      <c r="JD18" s="15" t="s">
        <v>1</v>
      </c>
      <c r="JE18" s="8"/>
      <c r="JF18" s="8"/>
      <c r="JG18" s="7"/>
      <c r="JH18" s="7"/>
      <c r="JI18" s="8"/>
      <c r="JJ18" s="8"/>
      <c r="JK18" s="8"/>
      <c r="JL18" s="8"/>
      <c r="JM18" s="8"/>
      <c r="JN18" s="7"/>
      <c r="JO18" s="7"/>
      <c r="JP18" s="8"/>
      <c r="JQ18" s="8"/>
      <c r="JR18" s="8"/>
      <c r="JS18" s="26"/>
      <c r="JT18" s="25"/>
      <c r="JU18" s="7"/>
      <c r="JV18" s="7"/>
      <c r="JW18" s="27"/>
      <c r="JX18" s="27"/>
      <c r="JY18" s="27"/>
      <c r="JZ18" s="26"/>
      <c r="KA18" s="25"/>
      <c r="KB18" s="7"/>
      <c r="KC18" s="7"/>
      <c r="KD18" s="15" t="s">
        <v>1</v>
      </c>
      <c r="KE18" s="15" t="s">
        <v>1</v>
      </c>
      <c r="KF18" s="26"/>
      <c r="KG18" s="15" t="s">
        <v>1</v>
      </c>
      <c r="KH18" s="15" t="s">
        <v>1</v>
      </c>
      <c r="KI18" s="7"/>
      <c r="KJ18" s="7"/>
      <c r="KK18" s="8"/>
      <c r="KL18" s="8"/>
      <c r="KM18" s="8"/>
      <c r="KN18" s="8"/>
      <c r="KO18" s="8"/>
      <c r="KP18" s="7"/>
      <c r="KQ18" s="7"/>
      <c r="KR18" s="8"/>
      <c r="KS18" s="8"/>
      <c r="KT18" s="8"/>
      <c r="KU18" s="8"/>
      <c r="KV18" s="26"/>
      <c r="KW18" s="7"/>
      <c r="KX18" s="7"/>
      <c r="KY18" s="8"/>
      <c r="KZ18" s="8"/>
      <c r="LA18" s="8"/>
      <c r="LB18" s="8"/>
      <c r="LC18" s="8"/>
      <c r="LD18" s="7"/>
      <c r="LE18" s="7"/>
      <c r="LF18" s="8"/>
      <c r="LG18" s="8"/>
      <c r="LH18" s="8"/>
      <c r="LI18" s="8"/>
      <c r="LJ18" s="8"/>
      <c r="LK18" s="7"/>
      <c r="LL18" s="7"/>
      <c r="LM18" s="8"/>
      <c r="LN18" s="8"/>
      <c r="LO18" s="8"/>
      <c r="LP18" s="8"/>
      <c r="LQ18" s="8"/>
      <c r="LR18" s="7"/>
      <c r="LS18" s="7"/>
      <c r="LT18" s="8"/>
      <c r="LU18" s="8"/>
      <c r="LV18" s="8"/>
      <c r="LW18" s="8"/>
      <c r="LX18" s="8"/>
      <c r="LY18" s="7"/>
      <c r="LZ18" s="7"/>
      <c r="MA18" s="8"/>
      <c r="MB18" s="8"/>
      <c r="MC18" s="8"/>
      <c r="MD18" s="8"/>
      <c r="ME18" s="8"/>
      <c r="MF18" s="7"/>
      <c r="MG18" s="7"/>
      <c r="MH18" s="15" t="s">
        <v>1</v>
      </c>
      <c r="MI18" s="15" t="s">
        <v>1</v>
      </c>
      <c r="MJ18" s="15" t="s">
        <v>1</v>
      </c>
      <c r="MK18" s="8"/>
      <c r="ML18" s="8"/>
      <c r="MM18" s="7"/>
      <c r="MN18" s="7"/>
      <c r="MO18" s="8"/>
      <c r="MP18" s="8"/>
      <c r="MQ18" s="8"/>
      <c r="MR18" s="8"/>
      <c r="MS18" s="8"/>
      <c r="MT18" s="7"/>
      <c r="MU18" s="7"/>
      <c r="MV18" s="8"/>
      <c r="MW18" s="8"/>
      <c r="MX18" s="8"/>
      <c r="MY18" s="8"/>
      <c r="MZ18" s="26"/>
      <c r="NA18" s="7"/>
      <c r="NB18" s="7"/>
      <c r="NC18" s="21" t="s">
        <v>7</v>
      </c>
      <c r="ND18" s="21" t="s">
        <v>7</v>
      </c>
      <c r="NE18" s="21" t="s">
        <v>7</v>
      </c>
      <c r="NF18" s="21" t="s">
        <v>7</v>
      </c>
      <c r="NG18" s="21" t="s">
        <v>7</v>
      </c>
      <c r="NH18" s="7"/>
      <c r="NI18" s="7"/>
      <c r="NJ18" s="21" t="s">
        <v>7</v>
      </c>
      <c r="NK18" s="21" t="s">
        <v>7</v>
      </c>
      <c r="NL18" s="21" t="s">
        <v>7</v>
      </c>
    </row>
    <row r="19" spans="1:376" customFormat="1" ht="15.75" customHeight="1">
      <c r="A19" s="1"/>
      <c r="B19" s="29" t="s">
        <v>44</v>
      </c>
      <c r="C19" s="29" t="s">
        <v>36</v>
      </c>
      <c r="D19" s="29" t="s">
        <v>31</v>
      </c>
      <c r="E19" s="29">
        <v>0</v>
      </c>
      <c r="F19" s="29">
        <v>9</v>
      </c>
      <c r="G19" s="29">
        <v>0</v>
      </c>
      <c r="H19" s="29">
        <f t="shared" si="0"/>
        <v>0</v>
      </c>
      <c r="I19" s="30">
        <f t="shared" si="1"/>
        <v>0</v>
      </c>
      <c r="J19" s="30">
        <f t="shared" si="2"/>
        <v>0</v>
      </c>
      <c r="K19" s="30">
        <f t="shared" si="3"/>
        <v>0</v>
      </c>
      <c r="L19" s="28"/>
      <c r="M19" s="8"/>
      <c r="N19" s="8"/>
      <c r="O19" s="7"/>
      <c r="P19" s="7"/>
      <c r="Q19" s="8"/>
      <c r="R19" s="8"/>
      <c r="S19" s="8"/>
      <c r="T19" s="8"/>
      <c r="U19" s="7"/>
      <c r="V19" s="7"/>
      <c r="W19" s="7"/>
      <c r="X19" s="7"/>
      <c r="Y19" s="8"/>
      <c r="Z19" s="8"/>
      <c r="AA19" s="8"/>
      <c r="AB19" s="8"/>
      <c r="AC19" s="7"/>
      <c r="AD19" s="7"/>
      <c r="AE19" s="7"/>
      <c r="AF19" s="8"/>
      <c r="AG19" s="8"/>
      <c r="AH19" s="8"/>
      <c r="AI19" s="8"/>
      <c r="AJ19" s="7"/>
      <c r="AK19" s="7"/>
      <c r="AL19" s="8"/>
      <c r="AM19" s="8"/>
      <c r="AN19" s="8"/>
      <c r="AO19" s="8"/>
      <c r="AP19" s="7"/>
      <c r="AQ19" s="7"/>
      <c r="AR19" s="7"/>
      <c r="AS19" s="8"/>
      <c r="AT19" s="8"/>
      <c r="AU19" s="8"/>
      <c r="AV19" s="8"/>
      <c r="AW19" s="8"/>
      <c r="AX19" s="7"/>
      <c r="AY19" s="7"/>
      <c r="AZ19" s="8"/>
      <c r="BA19" s="8"/>
      <c r="BB19" s="8"/>
      <c r="BC19" s="8"/>
      <c r="BD19" s="8"/>
      <c r="BE19" s="7"/>
      <c r="BF19" s="7"/>
      <c r="BG19" s="8"/>
      <c r="BH19" s="8"/>
      <c r="BI19" s="8"/>
      <c r="BJ19" s="8"/>
      <c r="BK19" s="8"/>
      <c r="BL19" s="7"/>
      <c r="BM19" s="7"/>
      <c r="BN19" s="8"/>
      <c r="BO19" s="8"/>
      <c r="BP19" s="8"/>
      <c r="BQ19" s="8"/>
      <c r="BR19" s="8"/>
      <c r="BS19" s="7"/>
      <c r="BT19" s="7"/>
      <c r="BU19" s="8"/>
      <c r="BV19" s="8"/>
      <c r="BW19" s="8"/>
      <c r="BX19" s="8"/>
      <c r="BY19" s="8"/>
      <c r="BZ19" s="7"/>
      <c r="CA19" s="7"/>
      <c r="CB19" s="8"/>
      <c r="CC19" s="8"/>
      <c r="CD19" s="8"/>
      <c r="CE19" s="8"/>
      <c r="CF19" s="8"/>
      <c r="CG19" s="7"/>
      <c r="CH19" s="7"/>
      <c r="CI19" s="8"/>
      <c r="CJ19" s="8"/>
      <c r="CK19" s="8"/>
      <c r="CL19" s="8"/>
      <c r="CM19" s="8"/>
      <c r="CN19" s="7"/>
      <c r="CO19" s="7"/>
      <c r="CP19" s="8"/>
      <c r="CQ19" s="8"/>
      <c r="CR19" s="7"/>
      <c r="CS19" s="8"/>
      <c r="CT19" s="8"/>
      <c r="CU19" s="7"/>
      <c r="CV19" s="7"/>
      <c r="CW19" s="8"/>
      <c r="CX19" s="8"/>
      <c r="CY19" s="8"/>
      <c r="CZ19" s="8"/>
      <c r="DA19" s="8"/>
      <c r="DB19" s="7"/>
      <c r="DC19" s="7"/>
      <c r="DD19" s="8"/>
      <c r="DE19" s="8"/>
      <c r="DF19" s="8"/>
      <c r="DG19" s="8"/>
      <c r="DH19" s="8"/>
      <c r="DI19" s="7"/>
      <c r="DJ19" s="7"/>
      <c r="DK19" s="8"/>
      <c r="DL19" s="8"/>
      <c r="DM19" s="8"/>
      <c r="DN19" s="8"/>
      <c r="DO19" s="8"/>
      <c r="DP19" s="7"/>
      <c r="DQ19" s="7"/>
      <c r="DR19" s="8"/>
      <c r="DS19" s="8"/>
      <c r="DT19" s="8"/>
      <c r="DU19" s="8"/>
      <c r="DV19" s="8"/>
      <c r="DW19" s="7"/>
      <c r="DX19" s="7"/>
      <c r="DY19" s="8"/>
      <c r="DZ19" s="8"/>
      <c r="EA19" s="8"/>
      <c r="EB19" s="8"/>
      <c r="EC19" s="8"/>
      <c r="ED19" s="7"/>
      <c r="EE19" s="7"/>
      <c r="EF19" s="8"/>
      <c r="EG19" s="8"/>
      <c r="EH19" s="8"/>
      <c r="EI19" s="8"/>
      <c r="EJ19" s="8"/>
      <c r="EK19" s="7"/>
      <c r="EL19" s="7"/>
      <c r="EM19" s="8"/>
      <c r="EN19" s="8"/>
      <c r="EO19" s="8"/>
      <c r="EP19" s="8"/>
      <c r="EQ19" s="8"/>
      <c r="ER19" s="7"/>
      <c r="ES19" s="7"/>
      <c r="ET19" s="8"/>
      <c r="EU19" s="8"/>
      <c r="EV19" s="8"/>
      <c r="EW19" s="8"/>
      <c r="EX19" s="8"/>
      <c r="EY19" s="7"/>
      <c r="EZ19" s="7"/>
      <c r="FA19" s="8"/>
      <c r="FB19" s="8"/>
      <c r="FC19" s="8"/>
      <c r="FD19" s="8"/>
      <c r="FE19" s="8"/>
      <c r="FF19" s="7"/>
      <c r="FG19" s="7"/>
      <c r="FH19" s="8"/>
      <c r="FI19" s="8"/>
      <c r="FJ19" s="8"/>
      <c r="FK19" s="8"/>
      <c r="FL19" s="8"/>
      <c r="FM19" s="7"/>
      <c r="FN19" s="7"/>
      <c r="FO19" s="8"/>
      <c r="FP19" s="8"/>
      <c r="FQ19" s="8"/>
      <c r="FR19" s="8"/>
      <c r="FS19" s="8"/>
      <c r="FT19" s="7"/>
      <c r="FU19" s="7"/>
      <c r="FV19" s="8"/>
      <c r="FW19" s="8"/>
      <c r="FX19" s="8"/>
      <c r="FY19" s="8"/>
      <c r="FZ19" s="8"/>
      <c r="GA19" s="7"/>
      <c r="GB19" s="7"/>
      <c r="GC19" s="8"/>
      <c r="GD19" s="8"/>
      <c r="GE19" s="8"/>
      <c r="GF19" s="8"/>
      <c r="GG19" s="8"/>
      <c r="GH19" s="7"/>
      <c r="GI19" s="7"/>
      <c r="GJ19" s="8"/>
      <c r="GK19" s="8"/>
      <c r="GL19" s="8"/>
      <c r="GM19" s="8"/>
      <c r="GN19" s="8"/>
      <c r="GO19" s="7"/>
      <c r="GP19" s="7"/>
      <c r="GQ19" s="8"/>
      <c r="GR19" s="8"/>
      <c r="GS19" s="8"/>
      <c r="GT19" s="8"/>
      <c r="GU19" s="7"/>
      <c r="GV19" s="7"/>
      <c r="GW19" s="7"/>
      <c r="GX19" s="7"/>
      <c r="GY19" s="8"/>
      <c r="GZ19" s="8"/>
      <c r="HA19" s="8"/>
      <c r="HB19" s="8"/>
      <c r="HC19" s="7"/>
      <c r="HD19" s="7"/>
      <c r="HE19" s="8"/>
      <c r="HF19" s="8"/>
      <c r="HG19" s="8"/>
      <c r="HH19" s="8"/>
      <c r="HI19" s="8"/>
      <c r="HJ19" s="7"/>
      <c r="HK19" s="7"/>
      <c r="HL19" s="8"/>
      <c r="HM19" s="8"/>
      <c r="HN19" s="8"/>
      <c r="HO19" s="8"/>
      <c r="HP19" s="8"/>
      <c r="HQ19" s="7"/>
      <c r="HR19" s="7"/>
      <c r="HS19" s="8"/>
      <c r="HT19" s="8"/>
      <c r="HU19" s="8"/>
      <c r="HV19" s="8"/>
      <c r="HW19" s="8"/>
      <c r="HX19" s="7"/>
      <c r="HY19" s="7"/>
      <c r="HZ19" s="8"/>
      <c r="IA19" s="8"/>
      <c r="IB19" s="8"/>
      <c r="IC19" s="8"/>
      <c r="ID19" s="8"/>
      <c r="IE19" s="7"/>
      <c r="IF19" s="7"/>
      <c r="IG19" s="8"/>
      <c r="IH19" s="8"/>
      <c r="II19" s="8"/>
      <c r="IJ19" s="8"/>
      <c r="IK19" s="8"/>
      <c r="IL19" s="7"/>
      <c r="IM19" s="7"/>
      <c r="IN19" s="8"/>
      <c r="IO19" s="8"/>
      <c r="IP19" s="8"/>
      <c r="IQ19" s="8"/>
      <c r="IR19" s="8"/>
      <c r="IS19" s="7"/>
      <c r="IT19" s="7"/>
      <c r="IU19" s="8"/>
      <c r="IV19" s="8"/>
      <c r="IW19" s="8"/>
      <c r="IX19" s="8"/>
      <c r="IY19" s="8"/>
      <c r="IZ19" s="7"/>
      <c r="JA19" s="7"/>
      <c r="JB19" s="15" t="s">
        <v>1</v>
      </c>
      <c r="JC19" s="25"/>
      <c r="JD19" s="8"/>
      <c r="JE19" s="8"/>
      <c r="JF19" s="8"/>
      <c r="JG19" s="7"/>
      <c r="JH19" s="7"/>
      <c r="JI19" s="8"/>
      <c r="JJ19" s="8"/>
      <c r="JK19" s="8"/>
      <c r="JL19" s="8"/>
      <c r="JM19" s="8"/>
      <c r="JN19" s="7"/>
      <c r="JO19" s="7"/>
      <c r="JP19" s="8"/>
      <c r="JQ19" s="8"/>
      <c r="JR19" s="8"/>
      <c r="JS19" s="26"/>
      <c r="JT19" s="25"/>
      <c r="JU19" s="7"/>
      <c r="JV19" s="7"/>
      <c r="JW19" s="15" t="s">
        <v>1</v>
      </c>
      <c r="JX19" s="15" t="s">
        <v>1</v>
      </c>
      <c r="JY19" s="15" t="s">
        <v>1</v>
      </c>
      <c r="JZ19" s="26"/>
      <c r="KA19" s="25"/>
      <c r="KB19" s="7"/>
      <c r="KC19" s="7"/>
      <c r="KD19" s="15" t="s">
        <v>1</v>
      </c>
      <c r="KE19" s="15" t="s">
        <v>1</v>
      </c>
      <c r="KF19" s="26"/>
      <c r="KG19" s="15" t="s">
        <v>1</v>
      </c>
      <c r="KH19" s="15" t="s">
        <v>1</v>
      </c>
      <c r="KI19" s="7"/>
      <c r="KJ19" s="7"/>
      <c r="KK19" s="8"/>
      <c r="KL19" s="8"/>
      <c r="KM19" s="8"/>
      <c r="KN19" s="8"/>
      <c r="KO19" s="8"/>
      <c r="KP19" s="7"/>
      <c r="KQ19" s="7"/>
      <c r="KR19" s="8"/>
      <c r="KS19" s="8"/>
      <c r="KT19" s="8"/>
      <c r="KU19" s="8"/>
      <c r="KV19" s="26"/>
      <c r="KW19" s="7"/>
      <c r="KX19" s="7"/>
      <c r="KY19" s="8"/>
      <c r="KZ19" s="8"/>
      <c r="LA19" s="8"/>
      <c r="LB19" s="8"/>
      <c r="LC19" s="8"/>
      <c r="LD19" s="7"/>
      <c r="LE19" s="7"/>
      <c r="LF19" s="8"/>
      <c r="LG19" s="8"/>
      <c r="LH19" s="8"/>
      <c r="LI19" s="8"/>
      <c r="LJ19" s="8"/>
      <c r="LK19" s="7"/>
      <c r="LL19" s="7"/>
      <c r="LM19" s="8"/>
      <c r="LN19" s="8"/>
      <c r="LO19" s="8"/>
      <c r="LP19" s="8"/>
      <c r="LQ19" s="8"/>
      <c r="LR19" s="7"/>
      <c r="LS19" s="7"/>
      <c r="LT19" s="8"/>
      <c r="LU19" s="8"/>
      <c r="LV19" s="8"/>
      <c r="LW19" s="8"/>
      <c r="LX19" s="8"/>
      <c r="LY19" s="7"/>
      <c r="LZ19" s="7"/>
      <c r="MA19" s="8"/>
      <c r="MB19" s="8"/>
      <c r="MC19" s="8"/>
      <c r="MD19" s="8"/>
      <c r="ME19" s="8"/>
      <c r="MF19" s="7"/>
      <c r="MG19" s="7"/>
      <c r="MH19" s="8"/>
      <c r="MI19" s="8"/>
      <c r="MJ19" s="8"/>
      <c r="MK19" s="8"/>
      <c r="ML19" s="8"/>
      <c r="MM19" s="7"/>
      <c r="MN19" s="7"/>
      <c r="MO19" s="8"/>
      <c r="MP19" s="8"/>
      <c r="MQ19" s="8"/>
      <c r="MR19" s="8"/>
      <c r="MS19" s="8"/>
      <c r="MT19" s="7"/>
      <c r="MU19" s="7"/>
      <c r="MV19" s="8"/>
      <c r="MW19" s="8"/>
      <c r="MX19" s="8"/>
      <c r="MY19" s="15" t="s">
        <v>1</v>
      </c>
      <c r="MZ19" s="26"/>
      <c r="NA19" s="7"/>
      <c r="NB19" s="7"/>
      <c r="NC19" s="8"/>
      <c r="ND19" s="8"/>
      <c r="NE19" s="8"/>
      <c r="NF19" s="8"/>
      <c r="NG19" s="8"/>
      <c r="NH19" s="7"/>
      <c r="NI19" s="7"/>
      <c r="NJ19" s="8"/>
      <c r="NK19" s="8"/>
      <c r="NL19" s="8"/>
    </row>
    <row r="20" spans="1:376" customFormat="1" ht="15.75" customHeight="1" thickBot="1">
      <c r="A20" s="1"/>
      <c r="B20" s="29" t="s">
        <v>45</v>
      </c>
      <c r="C20" s="29" t="s">
        <v>36</v>
      </c>
      <c r="D20" s="29" t="s">
        <v>46</v>
      </c>
      <c r="E20" s="29">
        <v>0</v>
      </c>
      <c r="F20" s="29">
        <v>8</v>
      </c>
      <c r="G20" s="29">
        <v>0</v>
      </c>
      <c r="H20" s="29">
        <f t="shared" si="0"/>
        <v>-1</v>
      </c>
      <c r="I20" s="30">
        <f t="shared" si="1"/>
        <v>0</v>
      </c>
      <c r="J20" s="30">
        <f t="shared" si="2"/>
        <v>0</v>
      </c>
      <c r="K20" s="30">
        <f t="shared" si="3"/>
        <v>0</v>
      </c>
      <c r="L20" s="28"/>
      <c r="M20" s="8"/>
      <c r="N20" s="8"/>
      <c r="O20" s="7"/>
      <c r="P20" s="7"/>
      <c r="Q20" s="8"/>
      <c r="R20" s="8"/>
      <c r="S20" s="8"/>
      <c r="T20" s="8"/>
      <c r="U20" s="7"/>
      <c r="V20" s="7"/>
      <c r="W20" s="7"/>
      <c r="X20" s="7"/>
      <c r="Y20" s="8"/>
      <c r="Z20" s="8"/>
      <c r="AA20" s="8"/>
      <c r="AB20" s="8"/>
      <c r="AC20" s="7"/>
      <c r="AD20" s="7"/>
      <c r="AE20" s="7"/>
      <c r="AF20" s="8"/>
      <c r="AG20" s="8"/>
      <c r="AH20" s="8"/>
      <c r="AI20" s="8"/>
      <c r="AJ20" s="7"/>
      <c r="AK20" s="7"/>
      <c r="AL20" s="8"/>
      <c r="AM20" s="8"/>
      <c r="AN20" s="8"/>
      <c r="AO20" s="8"/>
      <c r="AP20" s="7"/>
      <c r="AQ20" s="7"/>
      <c r="AR20" s="7"/>
      <c r="AS20" s="8"/>
      <c r="AT20" s="8"/>
      <c r="AU20" s="8"/>
      <c r="AV20" s="8"/>
      <c r="AW20" s="8"/>
      <c r="AX20" s="7"/>
      <c r="AY20" s="7"/>
      <c r="AZ20" s="8"/>
      <c r="BA20" s="8"/>
      <c r="BB20" s="8"/>
      <c r="BC20" s="8"/>
      <c r="BD20" s="11"/>
      <c r="BE20" s="7"/>
      <c r="BF20" s="7"/>
      <c r="BG20" s="8"/>
      <c r="BH20" s="8"/>
      <c r="BI20" s="11"/>
      <c r="BJ20" s="8"/>
      <c r="BK20" s="8"/>
      <c r="BL20" s="7"/>
      <c r="BM20" s="7"/>
      <c r="BN20" s="8"/>
      <c r="BO20" s="8"/>
      <c r="BP20" s="11"/>
      <c r="BQ20" s="11"/>
      <c r="BR20" s="8"/>
      <c r="BS20" s="7"/>
      <c r="BT20" s="7"/>
      <c r="BU20" s="8"/>
      <c r="BV20" s="8"/>
      <c r="BW20" s="11"/>
      <c r="BX20" s="11"/>
      <c r="BY20" s="11"/>
      <c r="BZ20" s="7"/>
      <c r="CA20" s="7"/>
      <c r="CB20" s="11"/>
      <c r="CC20" s="11"/>
      <c r="CD20" s="11"/>
      <c r="CE20" s="11"/>
      <c r="CF20" s="11"/>
      <c r="CG20" s="7"/>
      <c r="CH20" s="7"/>
      <c r="CI20" s="11"/>
      <c r="CJ20" s="11"/>
      <c r="CK20" s="11"/>
      <c r="CL20" s="11"/>
      <c r="CM20" s="11"/>
      <c r="CN20" s="7"/>
      <c r="CO20" s="7"/>
      <c r="CP20" s="11"/>
      <c r="CQ20" s="11"/>
      <c r="CR20" s="7"/>
      <c r="CS20" s="11"/>
      <c r="CT20" s="11"/>
      <c r="CU20" s="7"/>
      <c r="CV20" s="7"/>
      <c r="CW20" s="11"/>
      <c r="CX20" s="11"/>
      <c r="CY20" s="11"/>
      <c r="CZ20" s="11"/>
      <c r="DA20" s="11"/>
      <c r="DB20" s="7"/>
      <c r="DC20" s="7"/>
      <c r="DD20" s="8"/>
      <c r="DE20" s="8"/>
      <c r="DF20" s="8"/>
      <c r="DG20" s="8"/>
      <c r="DH20" s="8"/>
      <c r="DI20" s="7"/>
      <c r="DJ20" s="7"/>
      <c r="DK20" s="8"/>
      <c r="DL20" s="8"/>
      <c r="DM20" s="8"/>
      <c r="DN20" s="8"/>
      <c r="DO20" s="8"/>
      <c r="DP20" s="7"/>
      <c r="DQ20" s="7"/>
      <c r="DR20" s="8"/>
      <c r="DS20" s="8"/>
      <c r="DT20" s="8"/>
      <c r="DU20" s="8"/>
      <c r="DV20" s="8"/>
      <c r="DW20" s="7"/>
      <c r="DX20" s="7"/>
      <c r="DY20" s="8"/>
      <c r="DZ20" s="8"/>
      <c r="EA20" s="8"/>
      <c r="EB20" s="8"/>
      <c r="EC20" s="8"/>
      <c r="ED20" s="7"/>
      <c r="EE20" s="7"/>
      <c r="EF20" s="8"/>
      <c r="EG20" s="8"/>
      <c r="EH20" s="8"/>
      <c r="EI20" s="8"/>
      <c r="EJ20" s="8"/>
      <c r="EK20" s="7"/>
      <c r="EL20" s="7"/>
      <c r="EM20" s="8"/>
      <c r="EN20" s="8"/>
      <c r="EO20" s="8"/>
      <c r="EP20" s="8"/>
      <c r="EQ20" s="8"/>
      <c r="ER20" s="7"/>
      <c r="ES20" s="7"/>
      <c r="ET20" s="8"/>
      <c r="EU20" s="8"/>
      <c r="EV20" s="8"/>
      <c r="EW20" s="8"/>
      <c r="EX20" s="8"/>
      <c r="EY20" s="7"/>
      <c r="EZ20" s="7"/>
      <c r="FA20" s="8"/>
      <c r="FB20" s="8"/>
      <c r="FC20" s="8"/>
      <c r="FD20" s="8"/>
      <c r="FE20" s="8"/>
      <c r="FF20" s="7"/>
      <c r="FG20" s="7"/>
      <c r="FH20" s="8"/>
      <c r="FI20" s="8"/>
      <c r="FJ20" s="8"/>
      <c r="FK20" s="8"/>
      <c r="FL20" s="8"/>
      <c r="FM20" s="7"/>
      <c r="FN20" s="7"/>
      <c r="FO20" s="8"/>
      <c r="FP20" s="8"/>
      <c r="FQ20" s="8"/>
      <c r="FR20" s="8"/>
      <c r="FS20" s="8"/>
      <c r="FT20" s="7"/>
      <c r="FU20" s="7"/>
      <c r="FV20" s="8"/>
      <c r="FW20" s="8"/>
      <c r="FX20" s="8"/>
      <c r="FY20" s="8"/>
      <c r="FZ20" s="8"/>
      <c r="GA20" s="7"/>
      <c r="GB20" s="7"/>
      <c r="GC20" s="8"/>
      <c r="GD20" s="8"/>
      <c r="GE20" s="8"/>
      <c r="GF20" s="8"/>
      <c r="GG20" s="8"/>
      <c r="GH20" s="7"/>
      <c r="GI20" s="7"/>
      <c r="GJ20" s="8"/>
      <c r="GK20" s="8"/>
      <c r="GL20" s="8"/>
      <c r="GM20" s="8"/>
      <c r="GN20" s="8"/>
      <c r="GO20" s="7"/>
      <c r="GP20" s="7"/>
      <c r="GQ20" s="8"/>
      <c r="GR20" s="8"/>
      <c r="GS20" s="8"/>
      <c r="GT20" s="8"/>
      <c r="GU20" s="7"/>
      <c r="GV20" s="7"/>
      <c r="GW20" s="7"/>
      <c r="GX20" s="7"/>
      <c r="GY20" s="8"/>
      <c r="GZ20" s="8"/>
      <c r="HA20" s="8"/>
      <c r="HB20" s="8"/>
      <c r="HC20" s="7"/>
      <c r="HD20" s="7"/>
      <c r="HE20" s="8"/>
      <c r="HF20" s="8"/>
      <c r="HG20" s="8"/>
      <c r="HH20" s="8"/>
      <c r="HI20" s="8"/>
      <c r="HJ20" s="7"/>
      <c r="HK20" s="7"/>
      <c r="HL20" s="8"/>
      <c r="HM20" s="8"/>
      <c r="HN20" s="8"/>
      <c r="HO20" s="8"/>
      <c r="HP20" s="8"/>
      <c r="HQ20" s="7"/>
      <c r="HR20" s="7"/>
      <c r="HS20" s="8"/>
      <c r="HT20" s="8"/>
      <c r="HU20" s="8"/>
      <c r="HV20" s="8"/>
      <c r="HW20" s="8"/>
      <c r="HX20" s="7"/>
      <c r="HY20" s="7"/>
      <c r="HZ20" s="8"/>
      <c r="IA20" s="8"/>
      <c r="IB20" s="8"/>
      <c r="IC20" s="8"/>
      <c r="ID20" s="8"/>
      <c r="IE20" s="7"/>
      <c r="IF20" s="7"/>
      <c r="IG20" s="8"/>
      <c r="IH20" s="8"/>
      <c r="II20" s="8"/>
      <c r="IJ20" s="8"/>
      <c r="IK20" s="8"/>
      <c r="IL20" s="7"/>
      <c r="IM20" s="7"/>
      <c r="IN20" s="8"/>
      <c r="IO20" s="8"/>
      <c r="IP20" s="8"/>
      <c r="IQ20" s="8"/>
      <c r="IR20" s="8"/>
      <c r="IS20" s="7"/>
      <c r="IT20" s="7"/>
      <c r="IU20" s="8"/>
      <c r="IV20" s="8"/>
      <c r="IW20" s="8"/>
      <c r="IX20" s="8"/>
      <c r="IY20" s="8"/>
      <c r="IZ20" s="7"/>
      <c r="JA20" s="7"/>
      <c r="JB20" s="15" t="s">
        <v>1</v>
      </c>
      <c r="JC20" s="25"/>
      <c r="JD20" s="8"/>
      <c r="JE20" s="8"/>
      <c r="JF20" s="8"/>
      <c r="JG20" s="7"/>
      <c r="JH20" s="7"/>
      <c r="JI20" s="8"/>
      <c r="JJ20" s="8"/>
      <c r="JK20" s="8"/>
      <c r="JL20" s="8"/>
      <c r="JM20" s="8"/>
      <c r="JN20" s="7"/>
      <c r="JO20" s="7"/>
      <c r="JP20" s="8"/>
      <c r="JQ20" s="8"/>
      <c r="JR20" s="15" t="s">
        <v>1</v>
      </c>
      <c r="JS20" s="26"/>
      <c r="JT20" s="25"/>
      <c r="JU20" s="7"/>
      <c r="JV20" s="7"/>
      <c r="JW20" s="15" t="s">
        <v>1</v>
      </c>
      <c r="JX20" s="15" t="s">
        <v>1</v>
      </c>
      <c r="JY20" s="15" t="s">
        <v>1</v>
      </c>
      <c r="JZ20" s="26"/>
      <c r="KA20" s="25"/>
      <c r="KB20" s="7"/>
      <c r="KC20" s="7"/>
      <c r="KD20" s="8"/>
      <c r="KE20" s="8"/>
      <c r="KF20" s="26"/>
      <c r="KG20" s="8"/>
      <c r="KH20" s="8"/>
      <c r="KI20" s="7"/>
      <c r="KJ20" s="7"/>
      <c r="KK20" s="8"/>
      <c r="KL20" s="8"/>
      <c r="KM20" s="8"/>
      <c r="KN20" s="8"/>
      <c r="KO20" s="8"/>
      <c r="KP20" s="7"/>
      <c r="KQ20" s="7"/>
      <c r="KR20" s="8"/>
      <c r="KS20" s="8"/>
      <c r="KT20" s="8"/>
      <c r="KU20" s="8"/>
      <c r="KV20" s="26"/>
      <c r="KW20" s="7"/>
      <c r="KX20" s="7"/>
      <c r="KY20" s="8"/>
      <c r="KZ20" s="8"/>
      <c r="LA20" s="8"/>
      <c r="LB20" s="8"/>
      <c r="LC20" s="8"/>
      <c r="LD20" s="7"/>
      <c r="LE20" s="7"/>
      <c r="LF20" s="8"/>
      <c r="LG20" s="8"/>
      <c r="LH20" s="8"/>
      <c r="LI20" s="8"/>
      <c r="LJ20" s="8"/>
      <c r="LK20" s="7"/>
      <c r="LL20" s="7"/>
      <c r="LM20" s="8"/>
      <c r="LN20" s="8"/>
      <c r="LO20" s="8"/>
      <c r="LP20" s="8"/>
      <c r="LQ20" s="8"/>
      <c r="LR20" s="7"/>
      <c r="LS20" s="7"/>
      <c r="LT20" s="8"/>
      <c r="LU20" s="8"/>
      <c r="LV20" s="8"/>
      <c r="LW20" s="8"/>
      <c r="LX20" s="8"/>
      <c r="LY20" s="7"/>
      <c r="LZ20" s="7"/>
      <c r="MA20" s="8"/>
      <c r="MB20" s="8"/>
      <c r="MC20" s="8"/>
      <c r="MD20" s="8"/>
      <c r="ME20" s="8"/>
      <c r="MF20" s="7"/>
      <c r="MG20" s="7"/>
      <c r="MH20" s="8"/>
      <c r="MI20" s="8"/>
      <c r="MJ20" s="8"/>
      <c r="MK20" s="8"/>
      <c r="ML20" s="8"/>
      <c r="MM20" s="7"/>
      <c r="MN20" s="7"/>
      <c r="MO20" s="8"/>
      <c r="MP20" s="8"/>
      <c r="MQ20" s="8"/>
      <c r="MR20" s="8"/>
      <c r="MS20" s="8"/>
      <c r="MT20" s="7"/>
      <c r="MU20" s="7"/>
      <c r="MV20" s="15" t="s">
        <v>1</v>
      </c>
      <c r="MW20" s="15" t="s">
        <v>1</v>
      </c>
      <c r="MX20" s="15" t="s">
        <v>1</v>
      </c>
      <c r="MY20" s="15" t="s">
        <v>1</v>
      </c>
      <c r="MZ20" s="26"/>
      <c r="NA20" s="7"/>
      <c r="NB20" s="7"/>
      <c r="NC20" s="8"/>
      <c r="ND20" s="8"/>
      <c r="NE20" s="8"/>
      <c r="NF20" s="8"/>
      <c r="NG20" s="8"/>
      <c r="NH20" s="7"/>
      <c r="NI20" s="7"/>
      <c r="NJ20" s="8"/>
      <c r="NK20" s="8"/>
      <c r="NL20" s="8"/>
    </row>
    <row r="21" spans="1:376" customFormat="1" ht="16.5" customHeight="1" thickBot="1">
      <c r="A21" s="1"/>
      <c r="B21" s="29" t="s">
        <v>47</v>
      </c>
      <c r="C21" s="29" t="s">
        <v>48</v>
      </c>
      <c r="D21" s="29" t="s">
        <v>49</v>
      </c>
      <c r="E21" s="29">
        <v>0</v>
      </c>
      <c r="F21" s="29">
        <v>10</v>
      </c>
      <c r="G21" s="29">
        <v>0</v>
      </c>
      <c r="H21" s="29">
        <f t="shared" si="0"/>
        <v>0</v>
      </c>
      <c r="I21" s="30">
        <f t="shared" si="1"/>
        <v>0</v>
      </c>
      <c r="J21" s="30">
        <f t="shared" si="2"/>
        <v>0</v>
      </c>
      <c r="K21" s="30">
        <f t="shared" si="3"/>
        <v>0</v>
      </c>
      <c r="L21" s="28"/>
      <c r="M21" s="8"/>
      <c r="N21" s="8"/>
      <c r="O21" s="7"/>
      <c r="P21" s="7"/>
      <c r="Q21" s="8"/>
      <c r="R21" s="8"/>
      <c r="S21" s="8"/>
      <c r="T21" s="8"/>
      <c r="U21" s="7"/>
      <c r="V21" s="7"/>
      <c r="W21" s="7"/>
      <c r="X21" s="7"/>
      <c r="Y21" s="8"/>
      <c r="Z21" s="8"/>
      <c r="AA21" s="8"/>
      <c r="AB21" s="8"/>
      <c r="AC21" s="7"/>
      <c r="AD21" s="7"/>
      <c r="AE21" s="7"/>
      <c r="AF21" s="8"/>
      <c r="AG21" s="8"/>
      <c r="AH21" s="8"/>
      <c r="AI21" s="8"/>
      <c r="AJ21" s="7"/>
      <c r="AK21" s="7"/>
      <c r="AL21" s="8"/>
      <c r="AM21" s="8"/>
      <c r="AN21" s="8"/>
      <c r="AO21" s="8"/>
      <c r="AP21" s="7"/>
      <c r="AQ21" s="7"/>
      <c r="AR21" s="7"/>
      <c r="AS21" s="8"/>
      <c r="AT21" s="8"/>
      <c r="AU21" s="8"/>
      <c r="AV21" s="8"/>
      <c r="AW21" s="8"/>
      <c r="AX21" s="7"/>
      <c r="AY21" s="7"/>
      <c r="AZ21" s="8"/>
      <c r="BA21" s="8"/>
      <c r="BB21" s="8"/>
      <c r="BC21" s="8"/>
      <c r="BD21" s="8"/>
      <c r="BE21" s="7"/>
      <c r="BF21" s="7"/>
      <c r="BG21" s="8"/>
      <c r="BH21" s="8"/>
      <c r="BI21" s="8"/>
      <c r="BJ21" s="8"/>
      <c r="BK21" s="8"/>
      <c r="BL21" s="7"/>
      <c r="BM21" s="7"/>
      <c r="BN21" s="8"/>
      <c r="BO21" s="8"/>
      <c r="BP21" s="8"/>
      <c r="BQ21" s="8"/>
      <c r="BR21" s="8"/>
      <c r="BS21" s="7"/>
      <c r="BT21" s="7"/>
      <c r="BU21" s="8"/>
      <c r="BV21" s="8"/>
      <c r="BW21" s="8"/>
      <c r="BX21" s="8"/>
      <c r="BY21" s="8"/>
      <c r="BZ21" s="7"/>
      <c r="CA21" s="7"/>
      <c r="CB21" s="8"/>
      <c r="CC21" s="8"/>
      <c r="CD21" s="8"/>
      <c r="CE21" s="8"/>
      <c r="CF21" s="8"/>
      <c r="CG21" s="7"/>
      <c r="CH21" s="7"/>
      <c r="CI21" s="8"/>
      <c r="CJ21" s="8"/>
      <c r="CK21" s="8"/>
      <c r="CL21" s="8"/>
      <c r="CM21" s="8"/>
      <c r="CN21" s="7"/>
      <c r="CO21" s="7"/>
      <c r="CP21" s="8"/>
      <c r="CQ21" s="8"/>
      <c r="CR21" s="7"/>
      <c r="CS21" s="8"/>
      <c r="CT21" s="8"/>
      <c r="CU21" s="7"/>
      <c r="CV21" s="7"/>
      <c r="CW21" s="8"/>
      <c r="CX21" s="8"/>
      <c r="CY21" s="8"/>
      <c r="CZ21" s="8"/>
      <c r="DA21" s="8"/>
      <c r="DB21" s="7"/>
      <c r="DC21" s="7"/>
      <c r="DD21" s="8"/>
      <c r="DE21" s="8"/>
      <c r="DF21" s="8"/>
      <c r="DG21" s="8"/>
      <c r="DH21" s="8"/>
      <c r="DI21" s="7"/>
      <c r="DJ21" s="7"/>
      <c r="DK21" s="8"/>
      <c r="DL21" s="8"/>
      <c r="DM21" s="8"/>
      <c r="DN21" s="8"/>
      <c r="DO21" s="8"/>
      <c r="DP21" s="7"/>
      <c r="DQ21" s="7"/>
      <c r="DR21" s="8"/>
      <c r="DS21" s="8"/>
      <c r="DT21" s="8"/>
      <c r="DU21" s="8"/>
      <c r="DV21" s="8"/>
      <c r="DW21" s="7"/>
      <c r="DX21" s="7"/>
      <c r="DY21" s="8"/>
      <c r="DZ21" s="8"/>
      <c r="EA21" s="8"/>
      <c r="EB21" s="8"/>
      <c r="EC21" s="8"/>
      <c r="ED21" s="7"/>
      <c r="EE21" s="7"/>
      <c r="EF21" s="8"/>
      <c r="EG21" s="8"/>
      <c r="EH21" s="8"/>
      <c r="EI21" s="8"/>
      <c r="EJ21" s="8"/>
      <c r="EK21" s="7"/>
      <c r="EL21" s="7"/>
      <c r="EM21" s="8"/>
      <c r="EN21" s="8"/>
      <c r="EO21" s="8"/>
      <c r="EP21" s="8"/>
      <c r="EQ21" s="8"/>
      <c r="ER21" s="7"/>
      <c r="ES21" s="7"/>
      <c r="ET21" s="8"/>
      <c r="EU21" s="8"/>
      <c r="EV21" s="8"/>
      <c r="EW21" s="8"/>
      <c r="EX21" s="8"/>
      <c r="EY21" s="7"/>
      <c r="EZ21" s="7"/>
      <c r="FA21" s="8"/>
      <c r="FB21" s="8"/>
      <c r="FC21" s="8"/>
      <c r="FD21" s="8"/>
      <c r="FE21" s="8"/>
      <c r="FF21" s="7"/>
      <c r="FG21" s="7"/>
      <c r="FH21" s="8"/>
      <c r="FI21" s="8"/>
      <c r="FJ21" s="8"/>
      <c r="FK21" s="8"/>
      <c r="FL21" s="8"/>
      <c r="FM21" s="7"/>
      <c r="FN21" s="7"/>
      <c r="FO21" s="8"/>
      <c r="FP21" s="8"/>
      <c r="FQ21" s="8"/>
      <c r="FR21" s="8"/>
      <c r="FS21" s="8"/>
      <c r="FT21" s="7"/>
      <c r="FU21" s="7"/>
      <c r="FV21" s="8"/>
      <c r="FW21" s="8"/>
      <c r="FX21" s="8"/>
      <c r="FY21" s="8"/>
      <c r="FZ21" s="8"/>
      <c r="GA21" s="7"/>
      <c r="GB21" s="7"/>
      <c r="GC21" s="8"/>
      <c r="GD21" s="8"/>
      <c r="GE21" s="8"/>
      <c r="GF21" s="8"/>
      <c r="GG21" s="8"/>
      <c r="GH21" s="7"/>
      <c r="GI21" s="7"/>
      <c r="GJ21" s="8"/>
      <c r="GK21" s="8"/>
      <c r="GL21" s="8"/>
      <c r="GM21" s="8"/>
      <c r="GN21" s="8"/>
      <c r="GO21" s="7"/>
      <c r="GP21" s="7"/>
      <c r="GQ21" s="8"/>
      <c r="GR21" s="8"/>
      <c r="GS21" s="8"/>
      <c r="GT21" s="8"/>
      <c r="GU21" s="7"/>
      <c r="GV21" s="7"/>
      <c r="GW21" s="7"/>
      <c r="GX21" s="7"/>
      <c r="GY21" s="8"/>
      <c r="GZ21" s="8"/>
      <c r="HA21" s="8"/>
      <c r="HB21" s="8"/>
      <c r="HC21" s="7"/>
      <c r="HD21" s="7"/>
      <c r="HE21" s="8"/>
      <c r="HF21" s="8"/>
      <c r="HG21" s="8"/>
      <c r="HH21" s="8"/>
      <c r="HI21" s="8"/>
      <c r="HJ21" s="7"/>
      <c r="HK21" s="7"/>
      <c r="HL21" s="8"/>
      <c r="HM21" s="8"/>
      <c r="HN21" s="8"/>
      <c r="HO21" s="8"/>
      <c r="HP21" s="8"/>
      <c r="HQ21" s="7"/>
      <c r="HR21" s="7"/>
      <c r="HS21" s="8"/>
      <c r="HT21" s="8"/>
      <c r="HU21" s="8"/>
      <c r="HV21" s="8"/>
      <c r="HW21" s="8"/>
      <c r="HX21" s="7"/>
      <c r="HY21" s="7"/>
      <c r="HZ21" s="8"/>
      <c r="IA21" s="8"/>
      <c r="IB21" s="8"/>
      <c r="IC21" s="8"/>
      <c r="ID21" s="8"/>
      <c r="IE21" s="7"/>
      <c r="IF21" s="7"/>
      <c r="IG21" s="8"/>
      <c r="IH21" s="8"/>
      <c r="II21" s="8"/>
      <c r="IJ21" s="8"/>
      <c r="IK21" s="8"/>
      <c r="IL21" s="7"/>
      <c r="IM21" s="7"/>
      <c r="IN21" s="8"/>
      <c r="IO21" s="8"/>
      <c r="IP21" s="8"/>
      <c r="IQ21" s="8"/>
      <c r="IR21" s="8"/>
      <c r="IS21" s="7"/>
      <c r="IT21" s="7"/>
      <c r="IU21" s="8"/>
      <c r="IV21" s="8"/>
      <c r="IW21" s="8"/>
      <c r="IX21" s="8"/>
      <c r="IY21" s="8"/>
      <c r="IZ21" s="7"/>
      <c r="JA21" s="7"/>
      <c r="JB21" s="26"/>
      <c r="JC21" s="25"/>
      <c r="JD21" s="8"/>
      <c r="JE21" s="8"/>
      <c r="JF21" s="8"/>
      <c r="JG21" s="7"/>
      <c r="JH21" s="7"/>
      <c r="JI21" s="8"/>
      <c r="JJ21" s="8"/>
      <c r="JK21" s="8"/>
      <c r="JL21" s="8"/>
      <c r="JM21" s="8"/>
      <c r="JN21" s="7"/>
      <c r="JO21" s="7"/>
      <c r="JP21" s="8"/>
      <c r="JQ21" s="8"/>
      <c r="JR21" s="8"/>
      <c r="JS21" s="26"/>
      <c r="JT21" s="25"/>
      <c r="JU21" s="7"/>
      <c r="JV21" s="7"/>
      <c r="JW21" s="15" t="s">
        <v>1</v>
      </c>
      <c r="JX21" s="15" t="s">
        <v>1</v>
      </c>
      <c r="JY21" s="15" t="s">
        <v>1</v>
      </c>
      <c r="JZ21" s="26"/>
      <c r="KA21" s="25"/>
      <c r="KB21" s="7"/>
      <c r="KC21" s="7"/>
      <c r="KD21" s="15" t="s">
        <v>1</v>
      </c>
      <c r="KE21" s="15" t="s">
        <v>1</v>
      </c>
      <c r="KF21" s="26"/>
      <c r="KG21" s="15" t="s">
        <v>1</v>
      </c>
      <c r="KH21" s="15" t="s">
        <v>1</v>
      </c>
      <c r="KI21" s="7"/>
      <c r="KJ21" s="7"/>
      <c r="KK21" s="8"/>
      <c r="KL21" s="8"/>
      <c r="KM21" s="8"/>
      <c r="KN21" s="8"/>
      <c r="KO21" s="8"/>
      <c r="KP21" s="7"/>
      <c r="KQ21" s="7"/>
      <c r="KR21" s="8"/>
      <c r="KS21" s="8"/>
      <c r="KT21" s="8"/>
      <c r="KU21" s="8"/>
      <c r="KV21" s="26"/>
      <c r="KW21" s="7"/>
      <c r="KX21" s="7"/>
      <c r="KY21" s="8"/>
      <c r="KZ21" s="8"/>
      <c r="LA21" s="8"/>
      <c r="LB21" s="8"/>
      <c r="LC21" s="8"/>
      <c r="LD21" s="7"/>
      <c r="LE21" s="7"/>
      <c r="LF21" s="8"/>
      <c r="LG21" s="8"/>
      <c r="LH21" s="8"/>
      <c r="LI21" s="8"/>
      <c r="LJ21" s="8"/>
      <c r="LK21" s="7"/>
      <c r="LL21" s="7"/>
      <c r="LM21" s="8"/>
      <c r="LN21" s="8"/>
      <c r="LO21" s="8"/>
      <c r="LP21" s="8"/>
      <c r="LQ21" s="8"/>
      <c r="LR21" s="7"/>
      <c r="LS21" s="7"/>
      <c r="LT21" s="8"/>
      <c r="LU21" s="8"/>
      <c r="LV21" s="8"/>
      <c r="LW21" s="8"/>
      <c r="LX21" s="8"/>
      <c r="LY21" s="7"/>
      <c r="LZ21" s="7"/>
      <c r="MA21" s="8"/>
      <c r="MB21" s="8"/>
      <c r="MC21" s="8"/>
      <c r="MD21" s="8"/>
      <c r="ME21" s="8"/>
      <c r="MF21" s="7"/>
      <c r="MG21" s="7"/>
      <c r="MH21" s="8"/>
      <c r="MI21" s="8"/>
      <c r="MJ21" s="8"/>
      <c r="MK21" s="8"/>
      <c r="ML21" s="26"/>
      <c r="MM21" s="7"/>
      <c r="MN21" s="7"/>
      <c r="MO21" s="8"/>
      <c r="MP21" s="8"/>
      <c r="MQ21" s="8"/>
      <c r="MR21" s="8"/>
      <c r="MS21" s="8"/>
      <c r="MT21" s="7"/>
      <c r="MU21" s="7"/>
      <c r="MV21" s="8"/>
      <c r="MW21" s="8"/>
      <c r="MX21" s="8"/>
      <c r="MY21" s="8"/>
      <c r="MZ21" s="8"/>
      <c r="NA21" s="7"/>
      <c r="NB21" s="7"/>
      <c r="NC21" s="8"/>
      <c r="ND21" s="8"/>
      <c r="NE21" s="8"/>
      <c r="NF21" s="8"/>
      <c r="NG21" s="15"/>
      <c r="NH21" s="7"/>
      <c r="NI21" s="7"/>
      <c r="NJ21" s="15" t="s">
        <v>1</v>
      </c>
      <c r="NK21" s="15" t="s">
        <v>1</v>
      </c>
      <c r="NL21" s="15" t="s">
        <v>1</v>
      </c>
    </row>
    <row r="22" spans="1:376" customFormat="1" ht="15.75" customHeight="1" thickBot="1">
      <c r="A22" s="1"/>
      <c r="B22" s="29" t="s">
        <v>50</v>
      </c>
      <c r="C22" s="29" t="s">
        <v>36</v>
      </c>
      <c r="D22" s="29" t="s">
        <v>49</v>
      </c>
      <c r="E22" s="29">
        <v>0</v>
      </c>
      <c r="F22" s="29">
        <v>9</v>
      </c>
      <c r="G22" s="29">
        <v>0</v>
      </c>
      <c r="H22" s="29">
        <f t="shared" si="0"/>
        <v>0</v>
      </c>
      <c r="I22" s="30">
        <f t="shared" si="1"/>
        <v>0</v>
      </c>
      <c r="J22" s="30">
        <f t="shared" si="2"/>
        <v>0</v>
      </c>
      <c r="K22" s="30">
        <f t="shared" si="3"/>
        <v>0</v>
      </c>
      <c r="L22" s="28"/>
      <c r="M22" s="8"/>
      <c r="N22" s="8"/>
      <c r="O22" s="7"/>
      <c r="P22" s="7"/>
      <c r="Q22" s="8"/>
      <c r="R22" s="8"/>
      <c r="S22" s="8"/>
      <c r="T22" s="8"/>
      <c r="U22" s="7"/>
      <c r="V22" s="7"/>
      <c r="W22" s="7"/>
      <c r="X22" s="7"/>
      <c r="Y22" s="8"/>
      <c r="Z22" s="8"/>
      <c r="AA22" s="8"/>
      <c r="AB22" s="8"/>
      <c r="AC22" s="7"/>
      <c r="AD22" s="7"/>
      <c r="AE22" s="7"/>
      <c r="AF22" s="8"/>
      <c r="AG22" s="8"/>
      <c r="AH22" s="8"/>
      <c r="AI22" s="8"/>
      <c r="AJ22" s="7"/>
      <c r="AK22" s="7"/>
      <c r="AL22" s="8"/>
      <c r="AM22" s="8"/>
      <c r="AN22" s="8"/>
      <c r="AO22" s="8"/>
      <c r="AP22" s="7"/>
      <c r="AQ22" s="7"/>
      <c r="AR22" s="7"/>
      <c r="AS22" s="8"/>
      <c r="AT22" s="8"/>
      <c r="AU22" s="8"/>
      <c r="AV22" s="8"/>
      <c r="AW22" s="8"/>
      <c r="AX22" s="7"/>
      <c r="AY22" s="7"/>
      <c r="AZ22" s="8"/>
      <c r="BA22" s="8"/>
      <c r="BB22" s="8"/>
      <c r="BC22" s="8"/>
      <c r="BD22" s="8"/>
      <c r="BE22" s="7"/>
      <c r="BF22" s="7"/>
      <c r="BG22" s="8"/>
      <c r="BH22" s="8"/>
      <c r="BI22" s="8"/>
      <c r="BJ22" s="8"/>
      <c r="BK22" s="8"/>
      <c r="BL22" s="7"/>
      <c r="BM22" s="7"/>
      <c r="BN22" s="8"/>
      <c r="BO22" s="8"/>
      <c r="BP22" s="8"/>
      <c r="BQ22" s="8"/>
      <c r="BR22" s="8"/>
      <c r="BS22" s="7"/>
      <c r="BT22" s="7"/>
      <c r="BU22" s="8"/>
      <c r="BV22" s="8"/>
      <c r="BW22" s="8"/>
      <c r="BX22" s="8"/>
      <c r="BY22" s="8"/>
      <c r="BZ22" s="7"/>
      <c r="CA22" s="7"/>
      <c r="CB22" s="8"/>
      <c r="CC22" s="8"/>
      <c r="CD22" s="8"/>
      <c r="CE22" s="8"/>
      <c r="CF22" s="8"/>
      <c r="CG22" s="7"/>
      <c r="CH22" s="7"/>
      <c r="CI22" s="8"/>
      <c r="CJ22" s="8"/>
      <c r="CK22" s="8"/>
      <c r="CL22" s="8"/>
      <c r="CM22" s="8"/>
      <c r="CN22" s="7"/>
      <c r="CO22" s="7"/>
      <c r="CP22" s="8"/>
      <c r="CQ22" s="8"/>
      <c r="CR22" s="7"/>
      <c r="CS22" s="8"/>
      <c r="CT22" s="8"/>
      <c r="CU22" s="7"/>
      <c r="CV22" s="7"/>
      <c r="CW22" s="8"/>
      <c r="CX22" s="8"/>
      <c r="CY22" s="8"/>
      <c r="CZ22" s="8"/>
      <c r="DA22" s="8"/>
      <c r="DB22" s="7"/>
      <c r="DC22" s="7"/>
      <c r="DD22" s="8"/>
      <c r="DE22" s="8"/>
      <c r="DF22" s="8"/>
      <c r="DG22" s="8"/>
      <c r="DH22" s="8"/>
      <c r="DI22" s="7"/>
      <c r="DJ22" s="7"/>
      <c r="DK22" s="8"/>
      <c r="DL22" s="8"/>
      <c r="DM22" s="8"/>
      <c r="DN22" s="8"/>
      <c r="DO22" s="8"/>
      <c r="DP22" s="7"/>
      <c r="DQ22" s="7"/>
      <c r="DR22" s="8"/>
      <c r="DS22" s="8"/>
      <c r="DT22" s="8"/>
      <c r="DU22" s="8"/>
      <c r="DV22" s="8"/>
      <c r="DW22" s="7"/>
      <c r="DX22" s="7"/>
      <c r="DY22" s="8"/>
      <c r="DZ22" s="8"/>
      <c r="EA22" s="8"/>
      <c r="EB22" s="8"/>
      <c r="EC22" s="8"/>
      <c r="ED22" s="7"/>
      <c r="EE22" s="7"/>
      <c r="EF22" s="8"/>
      <c r="EG22" s="8"/>
      <c r="EH22" s="8"/>
      <c r="EI22" s="8"/>
      <c r="EJ22" s="8"/>
      <c r="EK22" s="7"/>
      <c r="EL22" s="7"/>
      <c r="EM22" s="8"/>
      <c r="EN22" s="8"/>
      <c r="EO22" s="8"/>
      <c r="EP22" s="8"/>
      <c r="EQ22" s="8"/>
      <c r="ER22" s="7"/>
      <c r="ES22" s="7"/>
      <c r="ET22" s="8"/>
      <c r="EU22" s="8"/>
      <c r="EV22" s="8"/>
      <c r="EW22" s="8"/>
      <c r="EX22" s="8"/>
      <c r="EY22" s="7"/>
      <c r="EZ22" s="7"/>
      <c r="FA22" s="8"/>
      <c r="FB22" s="8"/>
      <c r="FC22" s="8"/>
      <c r="FD22" s="8"/>
      <c r="FE22" s="8"/>
      <c r="FF22" s="7"/>
      <c r="FG22" s="7"/>
      <c r="FH22" s="8"/>
      <c r="FI22" s="8"/>
      <c r="FJ22" s="8"/>
      <c r="FK22" s="8"/>
      <c r="FL22" s="8"/>
      <c r="FM22" s="7"/>
      <c r="FN22" s="7"/>
      <c r="FO22" s="8"/>
      <c r="FP22" s="8"/>
      <c r="FQ22" s="8"/>
      <c r="FR22" s="8"/>
      <c r="FS22" s="8"/>
      <c r="FT22" s="7"/>
      <c r="FU22" s="7"/>
      <c r="FV22" s="8"/>
      <c r="FW22" s="8"/>
      <c r="FX22" s="8"/>
      <c r="FY22" s="8"/>
      <c r="FZ22" s="8"/>
      <c r="GA22" s="7"/>
      <c r="GB22" s="7"/>
      <c r="GC22" s="8"/>
      <c r="GD22" s="8"/>
      <c r="GE22" s="8"/>
      <c r="GF22" s="8"/>
      <c r="GG22" s="8"/>
      <c r="GH22" s="7"/>
      <c r="GI22" s="7"/>
      <c r="GJ22" s="8"/>
      <c r="GK22" s="8"/>
      <c r="GL22" s="8"/>
      <c r="GM22" s="8"/>
      <c r="GN22" s="8"/>
      <c r="GO22" s="7"/>
      <c r="GP22" s="7"/>
      <c r="GQ22" s="8"/>
      <c r="GR22" s="8"/>
      <c r="GS22" s="8"/>
      <c r="GT22" s="8"/>
      <c r="GU22" s="7"/>
      <c r="GV22" s="7"/>
      <c r="GW22" s="7"/>
      <c r="GX22" s="7"/>
      <c r="GY22" s="8"/>
      <c r="GZ22" s="8"/>
      <c r="HA22" s="8"/>
      <c r="HB22" s="8"/>
      <c r="HC22" s="7"/>
      <c r="HD22" s="7"/>
      <c r="HE22" s="8"/>
      <c r="HF22" s="8"/>
      <c r="HG22" s="8"/>
      <c r="HH22" s="8"/>
      <c r="HI22" s="8"/>
      <c r="HJ22" s="7"/>
      <c r="HK22" s="7"/>
      <c r="HL22" s="8"/>
      <c r="HM22" s="8"/>
      <c r="HN22" s="8"/>
      <c r="HO22" s="8"/>
      <c r="HP22" s="8"/>
      <c r="HQ22" s="7"/>
      <c r="HR22" s="7"/>
      <c r="HS22" s="8"/>
      <c r="HT22" s="8"/>
      <c r="HU22" s="8"/>
      <c r="HV22" s="8"/>
      <c r="HW22" s="8"/>
      <c r="HX22" s="7"/>
      <c r="HY22" s="7"/>
      <c r="HZ22" s="8"/>
      <c r="IA22" s="8"/>
      <c r="IB22" s="8"/>
      <c r="IC22" s="8"/>
      <c r="ID22" s="8"/>
      <c r="IE22" s="7"/>
      <c r="IF22" s="7"/>
      <c r="IG22" s="8"/>
      <c r="IH22" s="8"/>
      <c r="II22" s="8"/>
      <c r="IJ22" s="8"/>
      <c r="IK22" s="8"/>
      <c r="IL22" s="7"/>
      <c r="IM22" s="7"/>
      <c r="IN22" s="8"/>
      <c r="IO22" s="8"/>
      <c r="IP22" s="8"/>
      <c r="IQ22" s="8"/>
      <c r="IR22" s="8"/>
      <c r="IS22" s="7"/>
      <c r="IT22" s="7"/>
      <c r="IU22" s="8"/>
      <c r="IV22" s="8"/>
      <c r="IW22" s="8"/>
      <c r="IX22" s="8"/>
      <c r="IY22" s="8"/>
      <c r="IZ22" s="7"/>
      <c r="JA22" s="7"/>
      <c r="JB22" s="15" t="s">
        <v>1</v>
      </c>
      <c r="JC22" s="25"/>
      <c r="JD22" s="15" t="s">
        <v>1</v>
      </c>
      <c r="JE22" s="15" t="s">
        <v>1</v>
      </c>
      <c r="JF22" s="15" t="s">
        <v>1</v>
      </c>
      <c r="JG22" s="7"/>
      <c r="JH22" s="7"/>
      <c r="JI22" s="8"/>
      <c r="JJ22" s="8"/>
      <c r="JK22" s="8"/>
      <c r="JL22" s="8"/>
      <c r="JM22" s="8"/>
      <c r="JN22" s="7"/>
      <c r="JO22" s="7"/>
      <c r="JP22" s="8"/>
      <c r="JQ22" s="15" t="s">
        <v>1</v>
      </c>
      <c r="JR22" s="15" t="s">
        <v>1</v>
      </c>
      <c r="JS22" s="26"/>
      <c r="JT22" s="25"/>
      <c r="JU22" s="7"/>
      <c r="JV22" s="7"/>
      <c r="JW22" s="8"/>
      <c r="JX22" s="8"/>
      <c r="JY22" s="8"/>
      <c r="JZ22" s="26"/>
      <c r="KA22" s="25"/>
      <c r="KB22" s="7"/>
      <c r="KC22" s="7"/>
      <c r="KD22" s="8"/>
      <c r="KE22" s="8"/>
      <c r="KF22" s="26"/>
      <c r="KG22" s="8"/>
      <c r="KH22" s="8"/>
      <c r="KI22" s="7"/>
      <c r="KJ22" s="7"/>
      <c r="KK22" s="8"/>
      <c r="KL22" s="8"/>
      <c r="KM22" s="8"/>
      <c r="KN22" s="8"/>
      <c r="KO22" s="8"/>
      <c r="KP22" s="7"/>
      <c r="KQ22" s="7"/>
      <c r="KR22" s="8"/>
      <c r="KS22" s="8"/>
      <c r="KT22" s="8"/>
      <c r="KU22" s="8"/>
      <c r="KV22" s="26"/>
      <c r="KW22" s="7"/>
      <c r="KX22" s="7"/>
      <c r="KY22" s="8"/>
      <c r="KZ22" s="8"/>
      <c r="LA22" s="8"/>
      <c r="LB22" s="8"/>
      <c r="LC22" s="8"/>
      <c r="LD22" s="7"/>
      <c r="LE22" s="7"/>
      <c r="LF22" s="8"/>
      <c r="LG22" s="8"/>
      <c r="LH22" s="8"/>
      <c r="LI22" s="8"/>
      <c r="LJ22" s="8"/>
      <c r="LK22" s="7"/>
      <c r="LL22" s="7"/>
      <c r="LM22" s="8"/>
      <c r="LN22" s="8"/>
      <c r="LO22" s="8"/>
      <c r="LP22" s="8"/>
      <c r="LQ22" s="8"/>
      <c r="LR22" s="7"/>
      <c r="LS22" s="7"/>
      <c r="LT22" s="8"/>
      <c r="LU22" s="8"/>
      <c r="LV22" s="8"/>
      <c r="LW22" s="8"/>
      <c r="LX22" s="8"/>
      <c r="LY22" s="7"/>
      <c r="LZ22" s="7"/>
      <c r="MA22" s="8"/>
      <c r="MB22" s="8"/>
      <c r="MC22" s="8"/>
      <c r="MD22" s="8"/>
      <c r="ME22" s="8"/>
      <c r="MF22" s="7"/>
      <c r="MG22" s="7"/>
      <c r="MH22" s="8"/>
      <c r="MI22" s="8"/>
      <c r="MJ22" s="8"/>
      <c r="MK22" s="8"/>
      <c r="ML22" s="8"/>
      <c r="MM22" s="7"/>
      <c r="MN22" s="7"/>
      <c r="MO22" s="8"/>
      <c r="MP22" s="8"/>
      <c r="MQ22" s="8"/>
      <c r="MR22" s="8"/>
      <c r="MS22" s="8"/>
      <c r="MT22" s="7"/>
      <c r="MU22" s="7"/>
      <c r="MV22" s="8"/>
      <c r="MW22" s="15" t="s">
        <v>1</v>
      </c>
      <c r="MX22" s="15" t="s">
        <v>1</v>
      </c>
      <c r="MY22" s="15" t="s">
        <v>1</v>
      </c>
      <c r="MZ22" s="26"/>
      <c r="NA22" s="7"/>
      <c r="NB22" s="7"/>
      <c r="NC22" s="8"/>
      <c r="ND22" s="8"/>
      <c r="NE22" s="8"/>
      <c r="NF22" s="8"/>
      <c r="NG22" s="8"/>
      <c r="NH22" s="7"/>
      <c r="NI22" s="7"/>
      <c r="NJ22" s="8"/>
      <c r="NK22" s="8"/>
      <c r="NL22" s="8"/>
    </row>
    <row r="23" spans="1:376" customFormat="1" ht="15.75" customHeight="1" thickBot="1">
      <c r="A23" s="1"/>
      <c r="B23" s="29" t="s">
        <v>54</v>
      </c>
      <c r="C23" s="29" t="s">
        <v>30</v>
      </c>
      <c r="D23" s="29" t="s">
        <v>49</v>
      </c>
      <c r="E23" s="29">
        <v>0</v>
      </c>
      <c r="F23" s="29">
        <v>8</v>
      </c>
      <c r="G23" s="29">
        <v>0</v>
      </c>
      <c r="H23" s="29">
        <f>E23+F23-COUNTIF(L23:NL23,$C$2)</f>
        <v>0</v>
      </c>
      <c r="I23" s="30">
        <f>G23-COUNTIF(L23:NL23,$C$3)</f>
        <v>0</v>
      </c>
      <c r="J23" s="30">
        <f>COUNTIF(K23:NK23,$C$4)</f>
        <v>0</v>
      </c>
      <c r="K23" s="30">
        <f>COUNTIF(L23:NL23,$C$5)</f>
        <v>0</v>
      </c>
      <c r="L23" s="28"/>
      <c r="M23" s="8"/>
      <c r="N23" s="8"/>
      <c r="O23" s="7"/>
      <c r="P23" s="7"/>
      <c r="Q23" s="8"/>
      <c r="R23" s="8"/>
      <c r="S23" s="8"/>
      <c r="T23" s="8"/>
      <c r="U23" s="7"/>
      <c r="V23" s="7"/>
      <c r="W23" s="7"/>
      <c r="X23" s="7"/>
      <c r="Y23" s="8"/>
      <c r="Z23" s="8"/>
      <c r="AA23" s="8"/>
      <c r="AB23" s="8"/>
      <c r="AC23" s="7"/>
      <c r="AD23" s="7"/>
      <c r="AE23" s="7"/>
      <c r="AF23" s="8"/>
      <c r="AG23" s="8"/>
      <c r="AH23" s="8"/>
      <c r="AI23" s="8"/>
      <c r="AJ23" s="7"/>
      <c r="AK23" s="7"/>
      <c r="AL23" s="8"/>
      <c r="AM23" s="8"/>
      <c r="AN23" s="8"/>
      <c r="AO23" s="8"/>
      <c r="AP23" s="7"/>
      <c r="AQ23" s="7"/>
      <c r="AR23" s="7"/>
      <c r="AS23" s="8"/>
      <c r="AT23" s="8"/>
      <c r="AU23" s="8"/>
      <c r="AV23" s="8"/>
      <c r="AW23" s="8"/>
      <c r="AX23" s="7"/>
      <c r="AY23" s="7"/>
      <c r="AZ23" s="8"/>
      <c r="BA23" s="8"/>
      <c r="BB23" s="8"/>
      <c r="BC23" s="8"/>
      <c r="BD23" s="8"/>
      <c r="BE23" s="7"/>
      <c r="BF23" s="7"/>
      <c r="BG23" s="8"/>
      <c r="BH23" s="8"/>
      <c r="BI23" s="8"/>
      <c r="BJ23" s="8"/>
      <c r="BK23" s="8"/>
      <c r="BL23" s="7"/>
      <c r="BM23" s="7"/>
      <c r="BN23" s="8"/>
      <c r="BO23" s="8"/>
      <c r="BP23" s="8"/>
      <c r="BQ23" s="8"/>
      <c r="BR23" s="8"/>
      <c r="BS23" s="7"/>
      <c r="BT23" s="7"/>
      <c r="BU23" s="8"/>
      <c r="BV23" s="8"/>
      <c r="BW23" s="8"/>
      <c r="BX23" s="8"/>
      <c r="BY23" s="8"/>
      <c r="BZ23" s="7"/>
      <c r="CA23" s="7"/>
      <c r="CB23" s="8"/>
      <c r="CC23" s="8"/>
      <c r="CD23" s="8"/>
      <c r="CE23" s="8"/>
      <c r="CF23" s="8"/>
      <c r="CG23" s="7"/>
      <c r="CH23" s="7"/>
      <c r="CI23" s="8"/>
      <c r="CJ23" s="8"/>
      <c r="CK23" s="8"/>
      <c r="CL23" s="8"/>
      <c r="CM23" s="8"/>
      <c r="CN23" s="7"/>
      <c r="CO23" s="7"/>
      <c r="CP23" s="8"/>
      <c r="CQ23" s="8"/>
      <c r="CR23" s="7"/>
      <c r="CS23" s="8"/>
      <c r="CT23" s="8"/>
      <c r="CU23" s="7"/>
      <c r="CV23" s="7"/>
      <c r="CW23" s="8"/>
      <c r="CX23" s="8"/>
      <c r="CY23" s="8"/>
      <c r="CZ23" s="8"/>
      <c r="DA23" s="8"/>
      <c r="DB23" s="7"/>
      <c r="DC23" s="7"/>
      <c r="DD23" s="8"/>
      <c r="DE23" s="8"/>
      <c r="DF23" s="8"/>
      <c r="DG23" s="8"/>
      <c r="DH23" s="8"/>
      <c r="DI23" s="7"/>
      <c r="DJ23" s="7"/>
      <c r="DK23" s="8"/>
      <c r="DL23" s="8"/>
      <c r="DM23" s="8"/>
      <c r="DN23" s="8"/>
      <c r="DO23" s="8"/>
      <c r="DP23" s="7"/>
      <c r="DQ23" s="7"/>
      <c r="DR23" s="8"/>
      <c r="DS23" s="8"/>
      <c r="DT23" s="8"/>
      <c r="DU23" s="8"/>
      <c r="DV23" s="8"/>
      <c r="DW23" s="7"/>
      <c r="DX23" s="7"/>
      <c r="DY23" s="8"/>
      <c r="DZ23" s="8"/>
      <c r="EA23" s="8"/>
      <c r="EB23" s="8"/>
      <c r="EC23" s="8"/>
      <c r="ED23" s="7"/>
      <c r="EE23" s="7"/>
      <c r="EF23" s="8"/>
      <c r="EG23" s="8"/>
      <c r="EH23" s="8"/>
      <c r="EI23" s="8"/>
      <c r="EJ23" s="8"/>
      <c r="EK23" s="7"/>
      <c r="EL23" s="7"/>
      <c r="EM23" s="8"/>
      <c r="EN23" s="8"/>
      <c r="EO23" s="8"/>
      <c r="EP23" s="8"/>
      <c r="EQ23" s="8"/>
      <c r="ER23" s="10"/>
      <c r="ES23" s="7"/>
      <c r="ET23" s="8"/>
      <c r="EU23" s="8"/>
      <c r="EV23" s="8"/>
      <c r="EW23" s="8"/>
      <c r="EX23" s="8"/>
      <c r="EY23" s="7"/>
      <c r="EZ23" s="7"/>
      <c r="FA23" s="8"/>
      <c r="FB23" s="8"/>
      <c r="FC23" s="8"/>
      <c r="FD23" s="8"/>
      <c r="FE23" s="8"/>
      <c r="FF23" s="7"/>
      <c r="FG23" s="7"/>
      <c r="FH23" s="8"/>
      <c r="FI23" s="8"/>
      <c r="FJ23" s="8"/>
      <c r="FK23" s="8"/>
      <c r="FL23" s="8"/>
      <c r="FM23" s="7"/>
      <c r="FN23" s="7"/>
      <c r="FO23" s="8"/>
      <c r="FP23" s="8"/>
      <c r="FQ23" s="8"/>
      <c r="FR23" s="8"/>
      <c r="FS23" s="8"/>
      <c r="FT23" s="7"/>
      <c r="FU23" s="7"/>
      <c r="FV23" s="8"/>
      <c r="FW23" s="8"/>
      <c r="FX23" s="8"/>
      <c r="FY23" s="8"/>
      <c r="FZ23" s="8"/>
      <c r="GA23" s="7"/>
      <c r="GB23" s="7"/>
      <c r="GC23" s="8"/>
      <c r="GD23" s="8"/>
      <c r="GE23" s="8"/>
      <c r="GF23" s="8"/>
      <c r="GG23" s="8"/>
      <c r="GH23" s="7"/>
      <c r="GI23" s="7"/>
      <c r="GJ23" s="8"/>
      <c r="GK23" s="8"/>
      <c r="GL23" s="8"/>
      <c r="GM23" s="8"/>
      <c r="GN23" s="8"/>
      <c r="GO23" s="7"/>
      <c r="GP23" s="7"/>
      <c r="GQ23" s="8"/>
      <c r="GR23" s="8"/>
      <c r="GS23" s="8"/>
      <c r="GT23" s="8"/>
      <c r="GU23" s="7"/>
      <c r="GV23" s="7"/>
      <c r="GW23" s="7"/>
      <c r="GX23" s="7"/>
      <c r="GY23" s="8"/>
      <c r="GZ23" s="8"/>
      <c r="HA23" s="8"/>
      <c r="HB23" s="8"/>
      <c r="HC23" s="7"/>
      <c r="HD23" s="7"/>
      <c r="HE23" s="8"/>
      <c r="HF23" s="8"/>
      <c r="HG23" s="8"/>
      <c r="HH23" s="8"/>
      <c r="HI23" s="8"/>
      <c r="HJ23" s="7"/>
      <c r="HK23" s="7"/>
      <c r="HL23" s="8"/>
      <c r="HM23" s="8"/>
      <c r="HN23" s="8"/>
      <c r="HO23" s="8"/>
      <c r="HP23" s="8"/>
      <c r="HQ23" s="7"/>
      <c r="HR23" s="7"/>
      <c r="HS23" s="8"/>
      <c r="HT23" s="8"/>
      <c r="HU23" s="8"/>
      <c r="HV23" s="8"/>
      <c r="HW23" s="8"/>
      <c r="HX23" s="7"/>
      <c r="HY23" s="7"/>
      <c r="HZ23" s="8"/>
      <c r="IA23" s="8"/>
      <c r="IB23" s="8"/>
      <c r="IC23" s="8"/>
      <c r="ID23" s="8"/>
      <c r="IE23" s="7"/>
      <c r="IF23" s="7"/>
      <c r="IG23" s="8"/>
      <c r="IH23" s="8"/>
      <c r="II23" s="8"/>
      <c r="IJ23" s="8"/>
      <c r="IK23" s="8"/>
      <c r="IL23" s="7"/>
      <c r="IM23" s="7"/>
      <c r="IN23" s="8"/>
      <c r="IO23" s="8"/>
      <c r="IP23" s="8"/>
      <c r="IQ23" s="8"/>
      <c r="IR23" s="8"/>
      <c r="IS23" s="7"/>
      <c r="IT23" s="7"/>
      <c r="IU23" s="8"/>
      <c r="IV23" s="8"/>
      <c r="IW23" s="8"/>
      <c r="IX23" s="8"/>
      <c r="IY23" s="8"/>
      <c r="IZ23" s="7"/>
      <c r="JA23" s="7"/>
      <c r="JB23" s="8"/>
      <c r="JC23" s="25"/>
      <c r="JD23" s="8"/>
      <c r="JE23" s="8"/>
      <c r="JF23" s="8"/>
      <c r="JG23" s="7"/>
      <c r="JH23" s="7"/>
      <c r="JI23" s="8"/>
      <c r="JJ23" s="8"/>
      <c r="JK23" s="8"/>
      <c r="JL23" s="8"/>
      <c r="JM23" s="8"/>
      <c r="JN23" s="7"/>
      <c r="JO23" s="7"/>
      <c r="JP23" s="8"/>
      <c r="JQ23" s="8"/>
      <c r="JR23" s="8"/>
      <c r="JS23" s="8"/>
      <c r="JT23" s="25"/>
      <c r="JU23" s="7"/>
      <c r="JV23" s="7"/>
      <c r="JW23" s="8"/>
      <c r="JX23" s="8"/>
      <c r="JY23" s="8"/>
      <c r="JZ23" s="8"/>
      <c r="KA23" s="25"/>
      <c r="KB23" s="7"/>
      <c r="KC23" s="7"/>
      <c r="KD23" s="8"/>
      <c r="KE23" s="8"/>
      <c r="KF23" s="8"/>
      <c r="KG23" s="8"/>
      <c r="KH23" s="8"/>
      <c r="KI23" s="7"/>
      <c r="KJ23" s="7"/>
      <c r="KK23" s="15" t="s">
        <v>1</v>
      </c>
      <c r="KL23" s="15" t="s">
        <v>1</v>
      </c>
      <c r="KM23" s="15" t="s">
        <v>1</v>
      </c>
      <c r="KN23" s="15" t="s">
        <v>1</v>
      </c>
      <c r="KO23" s="15" t="s">
        <v>1</v>
      </c>
      <c r="KP23" s="7"/>
      <c r="KQ23" s="7"/>
      <c r="KR23" s="15" t="s">
        <v>1</v>
      </c>
      <c r="KS23" s="15" t="s">
        <v>1</v>
      </c>
      <c r="KT23" s="15" t="s">
        <v>1</v>
      </c>
      <c r="KU23" s="8"/>
      <c r="KV23" s="8"/>
      <c r="KW23" s="7"/>
      <c r="KX23" s="7"/>
      <c r="KY23" s="8"/>
      <c r="KZ23" s="8"/>
      <c r="LA23" s="8"/>
      <c r="LB23" s="8"/>
      <c r="LC23" s="8"/>
      <c r="LD23" s="7"/>
      <c r="LE23" s="7"/>
      <c r="LF23" s="8"/>
      <c r="LG23" s="8"/>
      <c r="LH23" s="8"/>
      <c r="LI23" s="8"/>
      <c r="LJ23" s="8"/>
      <c r="LK23" s="7"/>
      <c r="LL23" s="7"/>
      <c r="LM23" s="8"/>
      <c r="LN23" s="8"/>
      <c r="LO23" s="8"/>
      <c r="LP23" s="8"/>
      <c r="LQ23" s="8"/>
      <c r="LR23" s="7"/>
      <c r="LS23" s="7"/>
      <c r="LT23" s="8"/>
      <c r="LU23" s="8"/>
      <c r="LV23" s="8"/>
      <c r="LW23" s="8"/>
      <c r="LX23" s="8"/>
      <c r="LY23" s="7"/>
      <c r="LZ23" s="7"/>
      <c r="MA23" s="8"/>
      <c r="MB23" s="8"/>
      <c r="MC23" s="8"/>
      <c r="MD23" s="8"/>
      <c r="ME23" s="8"/>
      <c r="MF23" s="7"/>
      <c r="MG23" s="7"/>
      <c r="MH23" s="8"/>
      <c r="MI23" s="8"/>
      <c r="MJ23" s="8"/>
      <c r="MK23" s="8"/>
      <c r="ML23" s="8"/>
      <c r="MM23" s="7"/>
      <c r="MN23" s="7"/>
      <c r="MO23" s="8"/>
      <c r="MP23" s="8"/>
      <c r="MQ23" s="8"/>
      <c r="MR23" s="8"/>
      <c r="MS23" s="8"/>
      <c r="MT23" s="7"/>
      <c r="MU23" s="7"/>
      <c r="MV23" s="8"/>
      <c r="MW23" s="8"/>
      <c r="MX23" s="8"/>
      <c r="MY23" s="8"/>
      <c r="MZ23" s="8"/>
      <c r="NA23" s="7"/>
      <c r="NB23" s="7"/>
      <c r="NC23" s="8"/>
      <c r="ND23" s="8"/>
      <c r="NE23" s="8"/>
      <c r="NF23" s="8"/>
      <c r="NG23" s="8"/>
      <c r="NH23" s="7"/>
      <c r="NI23" s="7"/>
      <c r="NJ23" s="8"/>
      <c r="NK23" s="8"/>
      <c r="NL23" s="8"/>
    </row>
    <row r="24" spans="1:376" customFormat="1" ht="15.75" customHeight="1" thickBot="1">
      <c r="A24" s="1"/>
      <c r="B24" s="29" t="s">
        <v>55</v>
      </c>
      <c r="C24" s="29" t="s">
        <v>30</v>
      </c>
      <c r="D24" s="29" t="s">
        <v>49</v>
      </c>
      <c r="E24" s="29">
        <v>0</v>
      </c>
      <c r="F24" s="29">
        <v>20</v>
      </c>
      <c r="G24" s="29">
        <v>0</v>
      </c>
      <c r="H24" s="29">
        <f>E24+F24-COUNTIF(L24:NL24,$C$2)</f>
        <v>0</v>
      </c>
      <c r="I24" s="30">
        <f>G24-COUNTIF(L24:NL24,$C$3)</f>
        <v>0</v>
      </c>
      <c r="J24" s="30">
        <f>COUNTIF(K24:NK24,$C$4)</f>
        <v>0</v>
      </c>
      <c r="K24" s="30">
        <f>COUNTIF(L24:NL24,$C$5)</f>
        <v>19</v>
      </c>
      <c r="L24" s="28"/>
      <c r="M24" s="8"/>
      <c r="N24" s="8"/>
      <c r="O24" s="7"/>
      <c r="P24" s="7"/>
      <c r="Q24" s="8"/>
      <c r="R24" s="8"/>
      <c r="S24" s="8"/>
      <c r="T24" s="8"/>
      <c r="U24" s="7"/>
      <c r="V24" s="7"/>
      <c r="W24" s="7"/>
      <c r="X24" s="7"/>
      <c r="Y24" s="8"/>
      <c r="Z24" s="8"/>
      <c r="AA24" s="8"/>
      <c r="AB24" s="8"/>
      <c r="AC24" s="7"/>
      <c r="AD24" s="7"/>
      <c r="AE24" s="7"/>
      <c r="AF24" s="8"/>
      <c r="AG24" s="8"/>
      <c r="AH24" s="8"/>
      <c r="AI24" s="8"/>
      <c r="AJ24" s="7"/>
      <c r="AK24" s="7"/>
      <c r="AL24" s="8"/>
      <c r="AM24" s="8"/>
      <c r="AN24" s="8"/>
      <c r="AO24" s="8"/>
      <c r="AP24" s="7"/>
      <c r="AQ24" s="7"/>
      <c r="AR24" s="7"/>
      <c r="AS24" s="8"/>
      <c r="AT24" s="8"/>
      <c r="AU24" s="8"/>
      <c r="AV24" s="8"/>
      <c r="AW24" s="8"/>
      <c r="AX24" s="7"/>
      <c r="AY24" s="7"/>
      <c r="AZ24" s="8"/>
      <c r="BA24" s="8"/>
      <c r="BB24" s="8"/>
      <c r="BC24" s="8"/>
      <c r="BD24" s="8"/>
      <c r="BE24" s="7"/>
      <c r="BF24" s="7"/>
      <c r="BG24" s="8"/>
      <c r="BH24" s="8"/>
      <c r="BI24" s="8"/>
      <c r="BJ24" s="8"/>
      <c r="BK24" s="8"/>
      <c r="BL24" s="7"/>
      <c r="BM24" s="7"/>
      <c r="BN24" s="8"/>
      <c r="BO24" s="8"/>
      <c r="BP24" s="8"/>
      <c r="BQ24" s="8"/>
      <c r="BR24" s="8"/>
      <c r="BS24" s="7"/>
      <c r="BT24" s="7"/>
      <c r="BU24" s="8"/>
      <c r="BV24" s="8"/>
      <c r="BW24" s="8"/>
      <c r="BX24" s="8"/>
      <c r="BY24" s="8"/>
      <c r="BZ24" s="7"/>
      <c r="CA24" s="7"/>
      <c r="CB24" s="8"/>
      <c r="CC24" s="8"/>
      <c r="CD24" s="8"/>
      <c r="CE24" s="8"/>
      <c r="CF24" s="8"/>
      <c r="CG24" s="7"/>
      <c r="CH24" s="7"/>
      <c r="CI24" s="8"/>
      <c r="CJ24" s="8"/>
      <c r="CK24" s="8"/>
      <c r="CL24" s="8"/>
      <c r="CM24" s="8"/>
      <c r="CN24" s="7"/>
      <c r="CO24" s="7"/>
      <c r="CP24" s="8"/>
      <c r="CQ24" s="8"/>
      <c r="CR24" s="7"/>
      <c r="CS24" s="8"/>
      <c r="CT24" s="8"/>
      <c r="CU24" s="7"/>
      <c r="CV24" s="7"/>
      <c r="CW24" s="8"/>
      <c r="CX24" s="8"/>
      <c r="CY24" s="8"/>
      <c r="CZ24" s="8"/>
      <c r="DA24" s="8"/>
      <c r="DB24" s="7"/>
      <c r="DC24" s="7"/>
      <c r="DD24" s="8"/>
      <c r="DE24" s="8"/>
      <c r="DF24" s="8"/>
      <c r="DG24" s="8"/>
      <c r="DH24" s="8"/>
      <c r="DI24" s="7"/>
      <c r="DJ24" s="7"/>
      <c r="DK24" s="8"/>
      <c r="DL24" s="8"/>
      <c r="DM24" s="8"/>
      <c r="DN24" s="8"/>
      <c r="DO24" s="8"/>
      <c r="DP24" s="7"/>
      <c r="DQ24" s="7"/>
      <c r="DR24" s="8"/>
      <c r="DS24" s="8"/>
      <c r="DT24" s="8"/>
      <c r="DU24" s="8"/>
      <c r="DV24" s="8"/>
      <c r="DW24" s="7"/>
      <c r="DX24" s="7"/>
      <c r="DY24" s="8"/>
      <c r="DZ24" s="8"/>
      <c r="EA24" s="8"/>
      <c r="EB24" s="8"/>
      <c r="EC24" s="8"/>
      <c r="ED24" s="7"/>
      <c r="EE24" s="7"/>
      <c r="EF24" s="8"/>
      <c r="EG24" s="8"/>
      <c r="EH24" s="8"/>
      <c r="EI24" s="8"/>
      <c r="EJ24" s="8"/>
      <c r="EK24" s="7"/>
      <c r="EL24" s="7"/>
      <c r="EM24" s="8"/>
      <c r="EN24" s="8"/>
      <c r="EO24" s="8"/>
      <c r="EP24" s="8"/>
      <c r="EQ24" s="8"/>
      <c r="ER24" s="7"/>
      <c r="ES24" s="7"/>
      <c r="ET24" s="8"/>
      <c r="EU24" s="8"/>
      <c r="EV24" s="8"/>
      <c r="EW24" s="8"/>
      <c r="EX24" s="8"/>
      <c r="EY24" s="7"/>
      <c r="EZ24" s="7"/>
      <c r="FA24" s="8"/>
      <c r="FB24" s="8"/>
      <c r="FC24" s="8"/>
      <c r="FD24" s="8"/>
      <c r="FE24" s="8"/>
      <c r="FF24" s="7"/>
      <c r="FG24" s="7"/>
      <c r="FH24" s="8"/>
      <c r="FI24" s="8"/>
      <c r="FJ24" s="8"/>
      <c r="FK24" s="8"/>
      <c r="FL24" s="8"/>
      <c r="FM24" s="7"/>
      <c r="FN24" s="7"/>
      <c r="FO24" s="8"/>
      <c r="FP24" s="8"/>
      <c r="FQ24" s="8"/>
      <c r="FR24" s="8"/>
      <c r="FS24" s="8"/>
      <c r="FT24" s="7"/>
      <c r="FU24" s="7"/>
      <c r="FV24" s="8"/>
      <c r="FW24" s="8"/>
      <c r="FX24" s="8"/>
      <c r="FY24" s="8"/>
      <c r="FZ24" s="8"/>
      <c r="GA24" s="7"/>
      <c r="GB24" s="7"/>
      <c r="GC24" s="8"/>
      <c r="GD24" s="8"/>
      <c r="GE24" s="8"/>
      <c r="GF24" s="8"/>
      <c r="GG24" s="8"/>
      <c r="GH24" s="7"/>
      <c r="GI24" s="7"/>
      <c r="GJ24" s="8"/>
      <c r="GK24" s="8"/>
      <c r="GL24" s="8"/>
      <c r="GM24" s="8"/>
      <c r="GN24" s="8"/>
      <c r="GO24" s="7"/>
      <c r="GP24" s="7"/>
      <c r="GQ24" s="8"/>
      <c r="GR24" s="8"/>
      <c r="GS24" s="8"/>
      <c r="GT24" s="8"/>
      <c r="GU24" s="7"/>
      <c r="GV24" s="7"/>
      <c r="GW24" s="7"/>
      <c r="GX24" s="7"/>
      <c r="GY24" s="8"/>
      <c r="GZ24" s="8"/>
      <c r="HA24" s="8"/>
      <c r="HB24" s="8"/>
      <c r="HC24" s="7"/>
      <c r="HD24" s="7"/>
      <c r="HE24" s="8"/>
      <c r="HF24" s="8"/>
      <c r="HG24" s="8"/>
      <c r="HH24" s="8"/>
      <c r="HI24" s="8"/>
      <c r="HJ24" s="7"/>
      <c r="HK24" s="7"/>
      <c r="HL24" s="8"/>
      <c r="HM24" s="8"/>
      <c r="HN24" s="8"/>
      <c r="HO24" s="8"/>
      <c r="HP24" s="8"/>
      <c r="HQ24" s="7"/>
      <c r="HR24" s="7"/>
      <c r="HS24" s="8"/>
      <c r="HT24" s="8"/>
      <c r="HU24" s="8"/>
      <c r="HV24" s="8"/>
      <c r="HW24" s="8"/>
      <c r="HX24" s="7"/>
      <c r="HY24" s="7"/>
      <c r="HZ24" s="8"/>
      <c r="IA24" s="8"/>
      <c r="IB24" s="8"/>
      <c r="IC24" s="8"/>
      <c r="ID24" s="8"/>
      <c r="IE24" s="7"/>
      <c r="IF24" s="7"/>
      <c r="IG24" s="8"/>
      <c r="IH24" s="8"/>
      <c r="II24" s="8"/>
      <c r="IJ24" s="8"/>
      <c r="IK24" s="8"/>
      <c r="IL24" s="7"/>
      <c r="IM24" s="7"/>
      <c r="IN24" s="8"/>
      <c r="IO24" s="8"/>
      <c r="IP24" s="8"/>
      <c r="IQ24" s="8"/>
      <c r="IR24" s="8"/>
      <c r="IS24" s="7"/>
      <c r="IT24" s="7"/>
      <c r="IU24" s="8"/>
      <c r="IV24" s="8"/>
      <c r="IW24" s="8"/>
      <c r="IX24" s="8"/>
      <c r="IY24" s="8"/>
      <c r="IZ24" s="7"/>
      <c r="JA24" s="7"/>
      <c r="JB24" s="15" t="s">
        <v>1</v>
      </c>
      <c r="JC24" s="25"/>
      <c r="JD24" s="8"/>
      <c r="JE24" s="8"/>
      <c r="JF24" s="8"/>
      <c r="JG24" s="7"/>
      <c r="JH24" s="7"/>
      <c r="JI24" s="8"/>
      <c r="JJ24" s="8"/>
      <c r="JK24" s="8"/>
      <c r="JL24" s="8"/>
      <c r="JM24" s="8"/>
      <c r="JN24" s="7"/>
      <c r="JO24" s="7"/>
      <c r="JP24" s="8"/>
      <c r="JQ24" s="8"/>
      <c r="JR24" s="8"/>
      <c r="JS24" s="8"/>
      <c r="JT24" s="25"/>
      <c r="JU24" s="7"/>
      <c r="JV24" s="7"/>
      <c r="JW24" s="15" t="s">
        <v>1</v>
      </c>
      <c r="JX24" s="15" t="s">
        <v>1</v>
      </c>
      <c r="JY24" s="15" t="s">
        <v>1</v>
      </c>
      <c r="JZ24" s="15" t="s">
        <v>1</v>
      </c>
      <c r="KA24" s="25"/>
      <c r="KB24" s="7"/>
      <c r="KC24" s="7"/>
      <c r="KD24" s="8"/>
      <c r="KE24" s="21" t="s">
        <v>7</v>
      </c>
      <c r="KF24" s="21" t="s">
        <v>7</v>
      </c>
      <c r="KG24" s="21" t="s">
        <v>7</v>
      </c>
      <c r="KH24" s="21" t="s">
        <v>7</v>
      </c>
      <c r="KI24" s="7"/>
      <c r="KJ24" s="7"/>
      <c r="KK24" s="8"/>
      <c r="KL24" s="8"/>
      <c r="KM24" s="15" t="s">
        <v>1</v>
      </c>
      <c r="KN24" s="15" t="s">
        <v>1</v>
      </c>
      <c r="KO24" s="15" t="s">
        <v>1</v>
      </c>
      <c r="KP24" s="7"/>
      <c r="KQ24" s="7"/>
      <c r="KR24" s="15" t="s">
        <v>1</v>
      </c>
      <c r="KS24" s="15" t="s">
        <v>1</v>
      </c>
      <c r="KT24" s="15" t="s">
        <v>1</v>
      </c>
      <c r="KU24" s="15" t="s">
        <v>1</v>
      </c>
      <c r="KV24" s="15" t="s">
        <v>1</v>
      </c>
      <c r="KW24" s="7"/>
      <c r="KX24" s="7"/>
      <c r="KY24" s="15" t="s">
        <v>1</v>
      </c>
      <c r="KZ24" s="15" t="s">
        <v>1</v>
      </c>
      <c r="LA24" s="15" t="s">
        <v>1</v>
      </c>
      <c r="LB24" s="15" t="s">
        <v>1</v>
      </c>
      <c r="LC24" s="15" t="s">
        <v>1</v>
      </c>
      <c r="LD24" s="7"/>
      <c r="LE24" s="7"/>
      <c r="LF24" s="15" t="s">
        <v>1</v>
      </c>
      <c r="LG24" s="15" t="s">
        <v>1</v>
      </c>
      <c r="LH24" s="8"/>
      <c r="LI24" s="8"/>
      <c r="LJ24" s="8"/>
      <c r="LK24" s="7"/>
      <c r="LL24" s="7"/>
      <c r="LM24" s="21" t="s">
        <v>7</v>
      </c>
      <c r="LN24" s="21" t="s">
        <v>7</v>
      </c>
      <c r="LO24" s="21" t="s">
        <v>7</v>
      </c>
      <c r="LP24" s="21" t="s">
        <v>7</v>
      </c>
      <c r="LQ24" s="21" t="s">
        <v>7</v>
      </c>
      <c r="LR24" s="7"/>
      <c r="LS24" s="7"/>
      <c r="LT24" s="21" t="s">
        <v>7</v>
      </c>
      <c r="LU24" s="21" t="s">
        <v>7</v>
      </c>
      <c r="LV24" s="21" t="s">
        <v>7</v>
      </c>
      <c r="LW24" s="21" t="s">
        <v>7</v>
      </c>
      <c r="LX24" s="21" t="s">
        <v>7</v>
      </c>
      <c r="LY24" s="7"/>
      <c r="LZ24" s="7"/>
      <c r="MA24" s="21" t="s">
        <v>7</v>
      </c>
      <c r="MB24" s="21" t="s">
        <v>7</v>
      </c>
      <c r="MC24" s="21" t="s">
        <v>7</v>
      </c>
      <c r="MD24" s="21" t="s">
        <v>7</v>
      </c>
      <c r="ME24" s="21" t="s">
        <v>7</v>
      </c>
      <c r="MF24" s="7"/>
      <c r="MG24" s="7"/>
      <c r="MH24" s="8"/>
      <c r="MI24" s="8"/>
      <c r="MJ24" s="8"/>
      <c r="MK24" s="8"/>
      <c r="ML24" s="8"/>
      <c r="MM24" s="7"/>
      <c r="MN24" s="7"/>
      <c r="MO24" s="8"/>
      <c r="MP24" s="8"/>
      <c r="MQ24" s="8"/>
      <c r="MR24" s="8"/>
      <c r="MS24" s="8"/>
      <c r="MT24" s="7"/>
      <c r="MU24" s="7"/>
      <c r="MV24" s="8"/>
      <c r="MW24" s="8"/>
      <c r="MX24" s="8"/>
      <c r="MY24" s="8"/>
      <c r="MZ24" s="8"/>
      <c r="NA24" s="7"/>
      <c r="NB24" s="7"/>
      <c r="NC24" s="8"/>
      <c r="ND24" s="8"/>
      <c r="NE24" s="8"/>
      <c r="NF24" s="8"/>
      <c r="NG24" s="8"/>
      <c r="NH24" s="7"/>
      <c r="NI24" s="7"/>
      <c r="NJ24" s="8"/>
      <c r="NK24" s="8"/>
      <c r="NL24" s="8"/>
    </row>
    <row r="25" spans="1:376" customFormat="1" ht="15" customHeight="1">
      <c r="A25" s="1"/>
      <c r="B25" s="29" t="s">
        <v>63</v>
      </c>
      <c r="C25" s="29" t="s">
        <v>30</v>
      </c>
      <c r="D25" s="29" t="s">
        <v>49</v>
      </c>
      <c r="E25" s="29"/>
      <c r="F25" s="29"/>
      <c r="G25" s="29"/>
      <c r="H25" s="29"/>
      <c r="I25" s="30"/>
      <c r="J25" s="30"/>
      <c r="K25" s="30"/>
      <c r="L25" s="28"/>
      <c r="M25" s="8"/>
      <c r="N25" s="8"/>
      <c r="O25" s="7"/>
      <c r="P25" s="7"/>
      <c r="Q25" s="8"/>
      <c r="R25" s="8"/>
      <c r="S25" s="8"/>
      <c r="T25" s="8"/>
      <c r="U25" s="7"/>
      <c r="V25" s="7"/>
      <c r="W25" s="7"/>
      <c r="X25" s="7"/>
      <c r="Y25" s="8"/>
      <c r="Z25" s="8"/>
      <c r="AA25" s="8"/>
      <c r="AB25" s="8"/>
      <c r="AC25" s="7"/>
      <c r="AD25" s="7"/>
      <c r="AE25" s="7"/>
      <c r="AF25" s="8"/>
      <c r="AG25" s="8"/>
      <c r="AH25" s="8"/>
      <c r="AI25" s="8"/>
      <c r="AJ25" s="7"/>
      <c r="AK25" s="7"/>
      <c r="AL25" s="8"/>
      <c r="AM25" s="8"/>
      <c r="AN25" s="8"/>
      <c r="AO25" s="8"/>
      <c r="AP25" s="7"/>
      <c r="AQ25" s="7"/>
      <c r="AR25" s="7"/>
      <c r="AS25" s="8"/>
      <c r="AT25" s="8"/>
      <c r="AU25" s="8"/>
      <c r="AV25" s="8"/>
      <c r="AW25" s="8"/>
      <c r="AX25" s="7"/>
      <c r="AY25" s="7"/>
      <c r="AZ25" s="8"/>
      <c r="BA25" s="8"/>
      <c r="BB25" s="8"/>
      <c r="BC25" s="8"/>
      <c r="BD25" s="8"/>
      <c r="BE25" s="7"/>
      <c r="BF25" s="7"/>
      <c r="BG25" s="8"/>
      <c r="BH25" s="8"/>
      <c r="BI25" s="8"/>
      <c r="BJ25" s="8"/>
      <c r="BK25" s="8"/>
      <c r="BL25" s="7"/>
      <c r="BM25" s="7"/>
      <c r="BN25" s="8"/>
      <c r="BO25" s="8"/>
      <c r="BP25" s="8"/>
      <c r="BQ25" s="8"/>
      <c r="BR25" s="8"/>
      <c r="BS25" s="7"/>
      <c r="BT25" s="7"/>
      <c r="BU25" s="8"/>
      <c r="BV25" s="8"/>
      <c r="BW25" s="8"/>
      <c r="BX25" s="8"/>
      <c r="BY25" s="8"/>
      <c r="BZ25" s="7"/>
      <c r="CA25" s="7"/>
      <c r="CB25" s="8"/>
      <c r="CC25" s="8"/>
      <c r="CD25" s="8"/>
      <c r="CE25" s="8"/>
      <c r="CF25" s="8"/>
      <c r="CG25" s="7"/>
      <c r="CH25" s="7"/>
      <c r="CI25" s="8"/>
      <c r="CJ25" s="8"/>
      <c r="CK25" s="8"/>
      <c r="CL25" s="8"/>
      <c r="CM25" s="8"/>
      <c r="CN25" s="7"/>
      <c r="CO25" s="7"/>
      <c r="CP25" s="8"/>
      <c r="CQ25" s="8"/>
      <c r="CR25" s="7"/>
      <c r="CS25" s="8"/>
      <c r="CT25" s="8"/>
      <c r="CU25" s="7"/>
      <c r="CV25" s="7"/>
      <c r="CW25" s="8"/>
      <c r="CX25" s="8"/>
      <c r="CY25" s="8"/>
      <c r="CZ25" s="8"/>
      <c r="DA25" s="8"/>
      <c r="DB25" s="7"/>
      <c r="DC25" s="7"/>
      <c r="DD25" s="8"/>
      <c r="DE25" s="8"/>
      <c r="DF25" s="8"/>
      <c r="DG25" s="8"/>
      <c r="DH25" s="8"/>
      <c r="DI25" s="7"/>
      <c r="DJ25" s="7"/>
      <c r="DK25" s="8"/>
      <c r="DL25" s="8"/>
      <c r="DM25" s="8"/>
      <c r="DN25" s="8"/>
      <c r="DO25" s="8"/>
      <c r="DP25" s="7"/>
      <c r="DQ25" s="7"/>
      <c r="DR25" s="8"/>
      <c r="DS25" s="8"/>
      <c r="DT25" s="8"/>
      <c r="DU25" s="8"/>
      <c r="DV25" s="8"/>
      <c r="DW25" s="7"/>
      <c r="DX25" s="7"/>
      <c r="DY25" s="8"/>
      <c r="DZ25" s="8"/>
      <c r="EA25" s="8"/>
      <c r="EB25" s="8"/>
      <c r="EC25" s="8"/>
      <c r="ED25" s="7"/>
      <c r="EE25" s="7"/>
      <c r="EF25" s="8"/>
      <c r="EG25" s="8"/>
      <c r="EH25" s="8"/>
      <c r="EI25" s="8"/>
      <c r="EJ25" s="8"/>
      <c r="EK25" s="7"/>
      <c r="EL25" s="7"/>
      <c r="EM25" s="8"/>
      <c r="EN25" s="8"/>
      <c r="EO25" s="8"/>
      <c r="EP25" s="8"/>
      <c r="EQ25" s="8"/>
      <c r="ER25" s="7"/>
      <c r="ES25" s="7"/>
      <c r="ET25" s="8"/>
      <c r="EU25" s="8"/>
      <c r="EV25" s="8"/>
      <c r="EW25" s="8"/>
      <c r="EX25" s="8"/>
      <c r="EY25" s="7"/>
      <c r="EZ25" s="7"/>
      <c r="FA25" s="8"/>
      <c r="FB25" s="8"/>
      <c r="FC25" s="8"/>
      <c r="FD25" s="8"/>
      <c r="FE25" s="8"/>
      <c r="FF25" s="7"/>
      <c r="FG25" s="7"/>
      <c r="FH25" s="8"/>
      <c r="FI25" s="8"/>
      <c r="FJ25" s="8"/>
      <c r="FK25" s="8"/>
      <c r="FL25" s="8"/>
      <c r="FM25" s="7"/>
      <c r="FN25" s="7"/>
      <c r="FO25" s="8"/>
      <c r="FP25" s="8"/>
      <c r="FQ25" s="8"/>
      <c r="FR25" s="8"/>
      <c r="FS25" s="8"/>
      <c r="FT25" s="7"/>
      <c r="FU25" s="7"/>
      <c r="FV25" s="8"/>
      <c r="FW25" s="8"/>
      <c r="FX25" s="8"/>
      <c r="FY25" s="8"/>
      <c r="FZ25" s="8"/>
      <c r="GA25" s="7"/>
      <c r="GB25" s="7"/>
      <c r="GC25" s="8"/>
      <c r="GD25" s="8"/>
      <c r="GE25" s="8"/>
      <c r="GF25" s="8"/>
      <c r="GG25" s="8"/>
      <c r="GH25" s="7"/>
      <c r="GI25" s="7"/>
      <c r="GJ25" s="8"/>
      <c r="GK25" s="8"/>
      <c r="GL25" s="8"/>
      <c r="GM25" s="8"/>
      <c r="GN25" s="8"/>
      <c r="GO25" s="7"/>
      <c r="GP25" s="7"/>
      <c r="GQ25" s="8"/>
      <c r="GR25" s="8"/>
      <c r="GS25" s="8"/>
      <c r="GT25" s="8"/>
      <c r="GU25" s="7"/>
      <c r="GV25" s="7"/>
      <c r="GW25" s="7"/>
      <c r="GX25" s="7"/>
      <c r="GY25" s="8"/>
      <c r="GZ25" s="8"/>
      <c r="HA25" s="8"/>
      <c r="HB25" s="8"/>
      <c r="HC25" s="7"/>
      <c r="HD25" s="7"/>
      <c r="HE25" s="8"/>
      <c r="HF25" s="8"/>
      <c r="HG25" s="8"/>
      <c r="HH25" s="8"/>
      <c r="HI25" s="8"/>
      <c r="HJ25" s="7"/>
      <c r="HK25" s="7"/>
      <c r="HL25" s="8"/>
      <c r="HM25" s="8"/>
      <c r="HN25" s="8"/>
      <c r="HO25" s="8"/>
      <c r="HP25" s="8"/>
      <c r="HQ25" s="7"/>
      <c r="HR25" s="7"/>
      <c r="HS25" s="8"/>
      <c r="HT25" s="8"/>
      <c r="HU25" s="8"/>
      <c r="HV25" s="8"/>
      <c r="HW25" s="8"/>
      <c r="HX25" s="7"/>
      <c r="HY25" s="7"/>
      <c r="HZ25" s="8"/>
      <c r="IA25" s="8"/>
      <c r="IB25" s="8"/>
      <c r="IC25" s="8"/>
      <c r="ID25" s="8"/>
      <c r="IE25" s="7"/>
      <c r="IF25" s="7"/>
      <c r="IG25" s="8"/>
      <c r="IH25" s="8"/>
      <c r="II25" s="8"/>
      <c r="IJ25" s="8"/>
      <c r="IK25" s="8"/>
      <c r="IL25" s="7"/>
      <c r="IM25" s="7"/>
      <c r="IN25" s="8"/>
      <c r="IO25" s="8"/>
      <c r="IP25" s="8"/>
      <c r="IQ25" s="8"/>
      <c r="IR25" s="8"/>
      <c r="IS25" s="7"/>
      <c r="IT25" s="7"/>
      <c r="IU25" s="8"/>
      <c r="IV25" s="8"/>
      <c r="IW25" s="8"/>
      <c r="IX25" s="8"/>
      <c r="IY25" s="8"/>
      <c r="IZ25" s="7"/>
      <c r="JA25" s="7"/>
      <c r="JB25" s="8"/>
      <c r="JC25" s="25"/>
      <c r="JD25" s="8"/>
      <c r="JE25" s="8"/>
      <c r="JF25" s="8"/>
      <c r="JG25" s="7"/>
      <c r="JH25" s="7"/>
      <c r="JI25" s="8"/>
      <c r="JJ25" s="8"/>
      <c r="JK25" s="8"/>
      <c r="JL25" s="8"/>
      <c r="JM25" s="8"/>
      <c r="JN25" s="7"/>
      <c r="JO25" s="7"/>
      <c r="JP25" s="8"/>
      <c r="JQ25" s="8"/>
      <c r="JR25" s="8"/>
      <c r="JS25" s="8"/>
      <c r="JT25" s="25"/>
      <c r="JU25" s="7"/>
      <c r="JV25" s="7"/>
      <c r="JW25" s="8"/>
      <c r="JX25" s="8"/>
      <c r="JY25" s="8"/>
      <c r="JZ25" s="8"/>
      <c r="KA25" s="25"/>
      <c r="KB25" s="7"/>
      <c r="KC25" s="7"/>
      <c r="KD25" s="8"/>
      <c r="KE25" s="8"/>
      <c r="KF25" s="8"/>
      <c r="KG25" s="8"/>
      <c r="KH25" s="8"/>
      <c r="KI25" s="7"/>
      <c r="KJ25" s="7"/>
      <c r="KK25" s="8"/>
      <c r="KL25" s="8"/>
      <c r="KM25" s="8"/>
      <c r="KN25" s="8"/>
      <c r="KO25" s="8"/>
      <c r="KP25" s="7"/>
      <c r="KQ25" s="7"/>
      <c r="KR25" s="8"/>
      <c r="KS25" s="8"/>
      <c r="KT25" s="8"/>
      <c r="KU25" s="8"/>
      <c r="KV25" s="8"/>
      <c r="KW25" s="7"/>
      <c r="KX25" s="7"/>
      <c r="KY25" s="8"/>
      <c r="KZ25" s="8"/>
      <c r="LA25" s="8"/>
      <c r="LB25" s="8"/>
      <c r="LC25" s="8"/>
      <c r="LD25" s="7"/>
      <c r="LE25" s="7"/>
      <c r="LF25" s="8"/>
      <c r="LG25" s="8"/>
      <c r="LH25" s="8"/>
      <c r="LI25" s="8"/>
      <c r="LJ25" s="8"/>
      <c r="LK25" s="7"/>
      <c r="LL25" s="7"/>
      <c r="LM25" s="8"/>
      <c r="LN25" s="8"/>
      <c r="LO25" s="8"/>
      <c r="LP25" s="8"/>
      <c r="LQ25" s="8"/>
      <c r="LR25" s="7"/>
      <c r="LS25" s="7"/>
      <c r="LT25" s="8"/>
      <c r="LU25" s="8"/>
      <c r="LV25" s="8"/>
      <c r="LW25" s="8"/>
      <c r="LX25" s="8"/>
      <c r="LY25" s="7"/>
      <c r="LZ25" s="7"/>
      <c r="MA25" s="8"/>
      <c r="MB25" s="8"/>
      <c r="MC25" s="8"/>
      <c r="MD25" s="8"/>
      <c r="ME25" s="8"/>
      <c r="MF25" s="7"/>
      <c r="MG25" s="7"/>
      <c r="MH25" s="8"/>
      <c r="MI25" s="8"/>
      <c r="MJ25" s="8"/>
      <c r="MK25" s="8"/>
      <c r="ML25" s="8"/>
      <c r="MM25" s="7"/>
      <c r="MN25" s="7"/>
      <c r="MO25" s="8"/>
      <c r="MP25" s="8"/>
      <c r="MQ25" s="8"/>
      <c r="MR25" s="8"/>
      <c r="MS25" s="8"/>
      <c r="MT25" s="7"/>
      <c r="MU25" s="7"/>
      <c r="MV25" s="8"/>
      <c r="MW25" s="8"/>
      <c r="MX25" s="8"/>
      <c r="MY25" s="8"/>
      <c r="MZ25" s="8"/>
      <c r="NA25" s="7"/>
      <c r="NB25" s="7"/>
      <c r="NC25" s="8"/>
      <c r="ND25" s="8"/>
      <c r="NE25" s="8"/>
      <c r="NF25" s="8"/>
      <c r="NG25" s="8"/>
      <c r="NH25" s="7"/>
      <c r="NI25" s="7"/>
      <c r="NJ25" s="8"/>
      <c r="NK25" s="8"/>
      <c r="NL25" s="8"/>
    </row>
    <row r="26" spans="1:376" customFormat="1" ht="15.75" customHeight="1" thickBot="1">
      <c r="A26" s="1"/>
      <c r="B26" s="29" t="s">
        <v>64</v>
      </c>
      <c r="C26" s="29" t="s">
        <v>30</v>
      </c>
      <c r="D26" s="29" t="s">
        <v>49</v>
      </c>
      <c r="E26" s="29">
        <v>0</v>
      </c>
      <c r="F26" s="29">
        <v>0</v>
      </c>
      <c r="G26" s="29">
        <v>0</v>
      </c>
      <c r="H26" s="29">
        <f t="shared" si="0"/>
        <v>0</v>
      </c>
      <c r="I26" s="30">
        <f t="shared" si="1"/>
        <v>0</v>
      </c>
      <c r="J26" s="30">
        <f t="shared" si="2"/>
        <v>0</v>
      </c>
      <c r="K26" s="30">
        <f t="shared" si="3"/>
        <v>0</v>
      </c>
      <c r="L26" s="28"/>
      <c r="M26" s="8"/>
      <c r="N26" s="8"/>
      <c r="O26" s="7"/>
      <c r="P26" s="7"/>
      <c r="Q26" s="8"/>
      <c r="R26" s="8"/>
      <c r="S26" s="8"/>
      <c r="T26" s="8"/>
      <c r="U26" s="7"/>
      <c r="V26" s="7"/>
      <c r="W26" s="7"/>
      <c r="X26" s="7"/>
      <c r="Y26" s="8"/>
      <c r="Z26" s="8"/>
      <c r="AA26" s="8"/>
      <c r="AB26" s="8"/>
      <c r="AC26" s="7"/>
      <c r="AD26" s="7"/>
      <c r="AE26" s="7"/>
      <c r="AF26" s="8"/>
      <c r="AG26" s="8"/>
      <c r="AH26" s="8"/>
      <c r="AI26" s="8"/>
      <c r="AJ26" s="7"/>
      <c r="AK26" s="7"/>
      <c r="AL26" s="8"/>
      <c r="AM26" s="8"/>
      <c r="AN26" s="8"/>
      <c r="AO26" s="8"/>
      <c r="AP26" s="7"/>
      <c r="AQ26" s="7"/>
      <c r="AR26" s="7"/>
      <c r="AS26" s="8"/>
      <c r="AT26" s="8"/>
      <c r="AU26" s="8"/>
      <c r="AV26" s="8"/>
      <c r="AW26" s="8"/>
      <c r="AX26" s="7"/>
      <c r="AY26" s="7"/>
      <c r="AZ26" s="8"/>
      <c r="BA26" s="8"/>
      <c r="BB26" s="8"/>
      <c r="BC26" s="8"/>
      <c r="BD26" s="8"/>
      <c r="BE26" s="7"/>
      <c r="BF26" s="7"/>
      <c r="BG26" s="8"/>
      <c r="BH26" s="8"/>
      <c r="BI26" s="8"/>
      <c r="BJ26" s="8"/>
      <c r="BK26" s="8"/>
      <c r="BL26" s="7"/>
      <c r="BM26" s="7"/>
      <c r="BN26" s="8"/>
      <c r="BO26" s="8"/>
      <c r="BP26" s="8"/>
      <c r="BQ26" s="8"/>
      <c r="BR26" s="8"/>
      <c r="BS26" s="7"/>
      <c r="BT26" s="7"/>
      <c r="BU26" s="8"/>
      <c r="BV26" s="8"/>
      <c r="BW26" s="8"/>
      <c r="BX26" s="8"/>
      <c r="BY26" s="8"/>
      <c r="BZ26" s="7"/>
      <c r="CA26" s="7"/>
      <c r="CB26" s="8"/>
      <c r="CC26" s="8"/>
      <c r="CD26" s="8"/>
      <c r="CE26" s="8"/>
      <c r="CF26" s="8"/>
      <c r="CG26" s="7"/>
      <c r="CH26" s="7"/>
      <c r="CI26" s="8"/>
      <c r="CJ26" s="8"/>
      <c r="CK26" s="8"/>
      <c r="CL26" s="8"/>
      <c r="CM26" s="8"/>
      <c r="CN26" s="7"/>
      <c r="CO26" s="7"/>
      <c r="CP26" s="8"/>
      <c r="CQ26" s="8"/>
      <c r="CR26" s="7"/>
      <c r="CS26" s="8"/>
      <c r="CT26" s="8"/>
      <c r="CU26" s="7"/>
      <c r="CV26" s="7"/>
      <c r="CW26" s="8"/>
      <c r="CX26" s="8"/>
      <c r="CY26" s="8"/>
      <c r="CZ26" s="8"/>
      <c r="DA26" s="8"/>
      <c r="DB26" s="7"/>
      <c r="DC26" s="7"/>
      <c r="DD26" s="8"/>
      <c r="DE26" s="8"/>
      <c r="DF26" s="8"/>
      <c r="DG26" s="8"/>
      <c r="DH26" s="8"/>
      <c r="DI26" s="7"/>
      <c r="DJ26" s="7"/>
      <c r="DK26" s="8"/>
      <c r="DL26" s="8"/>
      <c r="DM26" s="8"/>
      <c r="DN26" s="8"/>
      <c r="DO26" s="8"/>
      <c r="DP26" s="7"/>
      <c r="DQ26" s="7"/>
      <c r="DR26" s="8"/>
      <c r="DS26" s="8"/>
      <c r="DT26" s="8"/>
      <c r="DU26" s="8"/>
      <c r="DV26" s="8"/>
      <c r="DW26" s="7"/>
      <c r="DX26" s="7"/>
      <c r="DY26" s="8"/>
      <c r="DZ26" s="8"/>
      <c r="EA26" s="8"/>
      <c r="EB26" s="8"/>
      <c r="EC26" s="8"/>
      <c r="ED26" s="7"/>
      <c r="EE26" s="7"/>
      <c r="EF26" s="8"/>
      <c r="EG26" s="8"/>
      <c r="EH26" s="8"/>
      <c r="EI26" s="8"/>
      <c r="EJ26" s="8"/>
      <c r="EK26" s="7"/>
      <c r="EL26" s="7"/>
      <c r="EM26" s="8"/>
      <c r="EN26" s="8"/>
      <c r="EO26" s="8"/>
      <c r="EP26" s="8"/>
      <c r="EQ26" s="8"/>
      <c r="ER26" s="7"/>
      <c r="ES26" s="7"/>
      <c r="ET26" s="8"/>
      <c r="EU26" s="8"/>
      <c r="EV26" s="8"/>
      <c r="EW26" s="8"/>
      <c r="EX26" s="8"/>
      <c r="EY26" s="7"/>
      <c r="EZ26" s="7"/>
      <c r="FA26" s="8"/>
      <c r="FB26" s="8"/>
      <c r="FC26" s="8"/>
      <c r="FD26" s="8"/>
      <c r="FE26" s="8"/>
      <c r="FF26" s="7"/>
      <c r="FG26" s="7"/>
      <c r="FH26" s="8"/>
      <c r="FI26" s="8"/>
      <c r="FJ26" s="8"/>
      <c r="FK26" s="8"/>
      <c r="FL26" s="8"/>
      <c r="FM26" s="7"/>
      <c r="FN26" s="7"/>
      <c r="FO26" s="8"/>
      <c r="FP26" s="8"/>
      <c r="FQ26" s="8"/>
      <c r="FR26" s="8"/>
      <c r="FS26" s="8"/>
      <c r="FT26" s="7"/>
      <c r="FU26" s="7"/>
      <c r="FV26" s="8"/>
      <c r="FW26" s="8"/>
      <c r="FX26" s="8"/>
      <c r="FY26" s="8"/>
      <c r="FZ26" s="8"/>
      <c r="GA26" s="7"/>
      <c r="GB26" s="7"/>
      <c r="GC26" s="8"/>
      <c r="GD26" s="8"/>
      <c r="GE26" s="8"/>
      <c r="GF26" s="8"/>
      <c r="GG26" s="8"/>
      <c r="GH26" s="7"/>
      <c r="GI26" s="7"/>
      <c r="GJ26" s="8"/>
      <c r="GK26" s="8"/>
      <c r="GL26" s="8"/>
      <c r="GM26" s="8"/>
      <c r="GN26" s="8"/>
      <c r="GO26" s="7"/>
      <c r="GP26" s="7"/>
      <c r="GQ26" s="8"/>
      <c r="GR26" s="8"/>
      <c r="GS26" s="8"/>
      <c r="GT26" s="8"/>
      <c r="GU26" s="7"/>
      <c r="GV26" s="7"/>
      <c r="GW26" s="7"/>
      <c r="GX26" s="7"/>
      <c r="GY26" s="8"/>
      <c r="GZ26" s="8"/>
      <c r="HA26" s="8"/>
      <c r="HB26" s="8"/>
      <c r="HC26" s="7"/>
      <c r="HD26" s="7"/>
      <c r="HE26" s="8"/>
      <c r="HF26" s="8"/>
      <c r="HG26" s="8"/>
      <c r="HH26" s="8"/>
      <c r="HI26" s="8"/>
      <c r="HJ26" s="7"/>
      <c r="HK26" s="7"/>
      <c r="HL26" s="8"/>
      <c r="HM26" s="8"/>
      <c r="HN26" s="8"/>
      <c r="HO26" s="8"/>
      <c r="HP26" s="8"/>
      <c r="HQ26" s="7"/>
      <c r="HR26" s="7"/>
      <c r="HS26" s="8"/>
      <c r="HT26" s="8"/>
      <c r="HU26" s="8"/>
      <c r="HV26" s="8"/>
      <c r="HW26" s="8"/>
      <c r="HX26" s="7"/>
      <c r="HY26" s="7"/>
      <c r="HZ26" s="8"/>
      <c r="IA26" s="8"/>
      <c r="IB26" s="8"/>
      <c r="IC26" s="8"/>
      <c r="ID26" s="8"/>
      <c r="IE26" s="7"/>
      <c r="IF26" s="7"/>
      <c r="IG26" s="8"/>
      <c r="IH26" s="8"/>
      <c r="II26" s="8"/>
      <c r="IJ26" s="8"/>
      <c r="IK26" s="8"/>
      <c r="IL26" s="7"/>
      <c r="IM26" s="7"/>
      <c r="IN26" s="8"/>
      <c r="IO26" s="8"/>
      <c r="IP26" s="8"/>
      <c r="IQ26" s="8"/>
      <c r="IR26" s="8"/>
      <c r="IS26" s="7"/>
      <c r="IT26" s="7"/>
      <c r="IU26" s="8"/>
      <c r="IV26" s="8"/>
      <c r="IW26" s="8"/>
      <c r="IX26" s="8"/>
      <c r="IY26" s="8"/>
      <c r="IZ26" s="7"/>
      <c r="JA26" s="7"/>
      <c r="JB26" s="8"/>
      <c r="JC26" s="25"/>
      <c r="JD26" s="8"/>
      <c r="JE26" s="8"/>
      <c r="JF26" s="8"/>
      <c r="JG26" s="7"/>
      <c r="JH26" s="7"/>
      <c r="JI26" s="8"/>
      <c r="JJ26" s="8"/>
      <c r="JK26" s="8"/>
      <c r="JL26" s="8"/>
      <c r="JM26" s="8"/>
      <c r="JN26" s="7"/>
      <c r="JO26" s="7"/>
      <c r="JP26" s="8"/>
      <c r="JQ26" s="8"/>
      <c r="JR26" s="33" t="s">
        <v>65</v>
      </c>
      <c r="JS26" s="32"/>
      <c r="JT26" s="34"/>
      <c r="JU26" s="34"/>
      <c r="JV26" s="34"/>
      <c r="JW26" s="32"/>
      <c r="JX26" s="32"/>
      <c r="JY26" s="32"/>
      <c r="JZ26" s="32"/>
      <c r="KA26" s="34"/>
      <c r="KB26" s="34"/>
      <c r="KC26" s="34"/>
      <c r="KD26" s="32"/>
      <c r="KE26" s="32"/>
      <c r="KF26" s="32"/>
      <c r="KG26" s="32"/>
      <c r="KH26" s="32"/>
      <c r="KI26" s="34"/>
      <c r="KJ26" s="34"/>
      <c r="KK26" s="32"/>
      <c r="KL26" s="32"/>
      <c r="KM26" s="32"/>
      <c r="KN26" s="32"/>
      <c r="KO26" s="32"/>
      <c r="KP26" s="34"/>
      <c r="KQ26" s="34"/>
      <c r="KR26" s="32"/>
      <c r="KS26" s="32"/>
      <c r="KT26" s="32"/>
      <c r="KU26" s="32"/>
      <c r="KV26" s="32"/>
      <c r="KW26" s="34"/>
      <c r="KX26" s="34"/>
      <c r="KY26" s="32"/>
      <c r="KZ26" s="32"/>
      <c r="LA26" s="32"/>
      <c r="LB26" s="32"/>
      <c r="LC26" s="32"/>
      <c r="LD26" s="34"/>
      <c r="LE26" s="34"/>
      <c r="LF26" s="32"/>
      <c r="LG26" s="32"/>
      <c r="LH26" s="32"/>
      <c r="LI26" s="32"/>
      <c r="LJ26" s="32"/>
      <c r="LK26" s="34"/>
      <c r="LL26" s="34"/>
      <c r="LM26" s="32"/>
      <c r="LN26" s="32"/>
      <c r="LO26" s="32"/>
      <c r="LP26" s="32"/>
      <c r="LQ26" s="32"/>
      <c r="LR26" s="34"/>
      <c r="LS26" s="34"/>
      <c r="LT26" s="32"/>
      <c r="LU26" s="32"/>
      <c r="LV26" s="32"/>
      <c r="LW26" s="32"/>
      <c r="LX26" s="32"/>
      <c r="LY26" s="34"/>
      <c r="LZ26" s="34"/>
      <c r="MA26" s="32"/>
      <c r="MB26" s="32"/>
      <c r="MC26" s="32"/>
      <c r="MD26" s="32"/>
      <c r="ME26" s="32"/>
      <c r="MF26" s="34"/>
      <c r="MG26" s="34"/>
      <c r="MH26" s="32"/>
      <c r="MI26" s="32"/>
      <c r="MJ26" s="32"/>
      <c r="MK26" s="32"/>
      <c r="ML26" s="32"/>
      <c r="MM26" s="34"/>
      <c r="MN26" s="34"/>
      <c r="MO26" s="32"/>
      <c r="MP26" s="32"/>
      <c r="MQ26" s="32"/>
      <c r="MR26" s="32"/>
      <c r="MS26" s="32"/>
      <c r="MT26" s="34"/>
      <c r="MU26" s="34"/>
      <c r="MV26" s="32"/>
      <c r="MW26" s="32"/>
      <c r="MX26" s="32"/>
      <c r="MY26" s="32"/>
      <c r="MZ26" s="32"/>
      <c r="NA26" s="34"/>
      <c r="NB26" s="34"/>
      <c r="NC26" s="32"/>
      <c r="ND26" s="32"/>
      <c r="NE26" s="32"/>
      <c r="NF26" s="32"/>
      <c r="NG26" s="32"/>
      <c r="NH26" s="34"/>
      <c r="NI26" s="34"/>
      <c r="NJ26" s="32"/>
      <c r="NK26" s="32"/>
      <c r="NL26" s="32"/>
    </row>
    <row r="27" spans="1:376" customFormat="1" ht="15.75" customHeight="1" thickBot="1">
      <c r="A27" s="1"/>
      <c r="B27" s="29" t="s">
        <v>51</v>
      </c>
      <c r="C27" s="29" t="s">
        <v>36</v>
      </c>
      <c r="D27" s="29" t="s">
        <v>31</v>
      </c>
      <c r="E27" s="29">
        <v>0</v>
      </c>
      <c r="F27" s="29">
        <v>10</v>
      </c>
      <c r="G27" s="29">
        <v>0</v>
      </c>
      <c r="H27" s="29">
        <f>E27+F27-COUNTIF(L27:NL27,$C$2)</f>
        <v>0</v>
      </c>
      <c r="I27" s="30">
        <f>G27-COUNTIF(L27:NL27,$C$3)</f>
        <v>0</v>
      </c>
      <c r="J27" s="30">
        <f>COUNTIF(K27:NK27,$C$4)</f>
        <v>0</v>
      </c>
      <c r="K27" s="30">
        <f>COUNTIF(L27:NL27,$C$5)</f>
        <v>0</v>
      </c>
      <c r="L27" s="28"/>
      <c r="M27" s="8"/>
      <c r="N27" s="8"/>
      <c r="O27" s="7"/>
      <c r="P27" s="7"/>
      <c r="Q27" s="8"/>
      <c r="R27" s="8"/>
      <c r="S27" s="8"/>
      <c r="T27" s="8"/>
      <c r="U27" s="7"/>
      <c r="V27" s="7"/>
      <c r="W27" s="7"/>
      <c r="X27" s="7"/>
      <c r="Y27" s="8"/>
      <c r="Z27" s="8"/>
      <c r="AA27" s="8"/>
      <c r="AB27" s="8"/>
      <c r="AC27" s="7"/>
      <c r="AD27" s="7"/>
      <c r="AE27" s="7"/>
      <c r="AF27" s="8"/>
      <c r="AG27" s="8"/>
      <c r="AH27" s="8"/>
      <c r="AI27" s="8"/>
      <c r="AJ27" s="7"/>
      <c r="AK27" s="7"/>
      <c r="AL27" s="8"/>
      <c r="AM27" s="8"/>
      <c r="AN27" s="8"/>
      <c r="AO27" s="8"/>
      <c r="AP27" s="7"/>
      <c r="AQ27" s="7"/>
      <c r="AR27" s="7"/>
      <c r="AS27" s="8"/>
      <c r="AT27" s="8"/>
      <c r="AU27" s="8"/>
      <c r="AV27" s="8"/>
      <c r="AW27" s="8"/>
      <c r="AX27" s="7"/>
      <c r="AY27" s="7"/>
      <c r="AZ27" s="8"/>
      <c r="BA27" s="8"/>
      <c r="BB27" s="8"/>
      <c r="BC27" s="8"/>
      <c r="BD27" s="8"/>
      <c r="BE27" s="7"/>
      <c r="BF27" s="7"/>
      <c r="BG27" s="8"/>
      <c r="BH27" s="8"/>
      <c r="BI27" s="8"/>
      <c r="BJ27" s="8"/>
      <c r="BK27" s="8"/>
      <c r="BL27" s="7"/>
      <c r="BM27" s="7"/>
      <c r="BN27" s="8"/>
      <c r="BO27" s="8"/>
      <c r="BP27" s="8"/>
      <c r="BQ27" s="8"/>
      <c r="BR27" s="8"/>
      <c r="BS27" s="7"/>
      <c r="BT27" s="7"/>
      <c r="BU27" s="8"/>
      <c r="BV27" s="8"/>
      <c r="BW27" s="8"/>
      <c r="BX27" s="8"/>
      <c r="BY27" s="8"/>
      <c r="BZ27" s="7"/>
      <c r="CA27" s="7"/>
      <c r="CB27" s="8"/>
      <c r="CC27" s="8"/>
      <c r="CD27" s="8"/>
      <c r="CE27" s="8"/>
      <c r="CF27" s="8"/>
      <c r="CG27" s="7"/>
      <c r="CH27" s="7"/>
      <c r="CI27" s="8"/>
      <c r="CJ27" s="8"/>
      <c r="CK27" s="8"/>
      <c r="CL27" s="8"/>
      <c r="CM27" s="8"/>
      <c r="CN27" s="7"/>
      <c r="CO27" s="7"/>
      <c r="CP27" s="8"/>
      <c r="CQ27" s="8"/>
      <c r="CR27" s="7"/>
      <c r="CS27" s="8"/>
      <c r="CT27" s="8"/>
      <c r="CU27" s="7"/>
      <c r="CV27" s="7"/>
      <c r="CW27" s="8"/>
      <c r="CX27" s="8"/>
      <c r="CY27" s="8"/>
      <c r="CZ27" s="8"/>
      <c r="DA27" s="8"/>
      <c r="DB27" s="7"/>
      <c r="DC27" s="7"/>
      <c r="DD27" s="8"/>
      <c r="DE27" s="8"/>
      <c r="DF27" s="8"/>
      <c r="DG27" s="8"/>
      <c r="DH27" s="8"/>
      <c r="DI27" s="7"/>
      <c r="DJ27" s="7"/>
      <c r="DK27" s="8"/>
      <c r="DL27" s="8"/>
      <c r="DM27" s="8"/>
      <c r="DN27" s="8"/>
      <c r="DO27" s="8"/>
      <c r="DP27" s="7"/>
      <c r="DQ27" s="7"/>
      <c r="DR27" s="8"/>
      <c r="DS27" s="8"/>
      <c r="DT27" s="8"/>
      <c r="DU27" s="8"/>
      <c r="DV27" s="8"/>
      <c r="DW27" s="7"/>
      <c r="DX27" s="7"/>
      <c r="DY27" s="8"/>
      <c r="DZ27" s="8"/>
      <c r="EA27" s="8"/>
      <c r="EB27" s="8"/>
      <c r="EC27" s="8"/>
      <c r="ED27" s="7"/>
      <c r="EE27" s="7"/>
      <c r="EF27" s="8"/>
      <c r="EG27" s="8"/>
      <c r="EH27" s="8"/>
      <c r="EI27" s="8"/>
      <c r="EJ27" s="8"/>
      <c r="EK27" s="7"/>
      <c r="EL27" s="7"/>
      <c r="EM27" s="8"/>
      <c r="EN27" s="8"/>
      <c r="EO27" s="8"/>
      <c r="EP27" s="8"/>
      <c r="EQ27" s="8"/>
      <c r="ER27" s="7"/>
      <c r="ES27" s="7"/>
      <c r="ET27" s="8"/>
      <c r="EU27" s="8"/>
      <c r="EV27" s="8"/>
      <c r="EW27" s="8"/>
      <c r="EX27" s="8"/>
      <c r="EY27" s="7"/>
      <c r="EZ27" s="7"/>
      <c r="FA27" s="8"/>
      <c r="FB27" s="8"/>
      <c r="FC27" s="8"/>
      <c r="FD27" s="8"/>
      <c r="FE27" s="8"/>
      <c r="FF27" s="7"/>
      <c r="FG27" s="7"/>
      <c r="FH27" s="8"/>
      <c r="FI27" s="8"/>
      <c r="FJ27" s="8"/>
      <c r="FK27" s="8"/>
      <c r="FL27" s="8"/>
      <c r="FM27" s="7"/>
      <c r="FN27" s="7"/>
      <c r="FO27" s="8"/>
      <c r="FP27" s="8"/>
      <c r="FQ27" s="8"/>
      <c r="FR27" s="8"/>
      <c r="FS27" s="8"/>
      <c r="FT27" s="7"/>
      <c r="FU27" s="7"/>
      <c r="FV27" s="8"/>
      <c r="FW27" s="8"/>
      <c r="FX27" s="8"/>
      <c r="FY27" s="8"/>
      <c r="FZ27" s="8"/>
      <c r="GA27" s="7"/>
      <c r="GB27" s="7"/>
      <c r="GC27" s="8"/>
      <c r="GD27" s="8"/>
      <c r="GE27" s="8"/>
      <c r="GF27" s="8"/>
      <c r="GG27" s="8"/>
      <c r="GH27" s="7"/>
      <c r="GI27" s="7"/>
      <c r="GJ27" s="8"/>
      <c r="GK27" s="8"/>
      <c r="GL27" s="8"/>
      <c r="GM27" s="8"/>
      <c r="GN27" s="8"/>
      <c r="GO27" s="7"/>
      <c r="GP27" s="7"/>
      <c r="GQ27" s="8"/>
      <c r="GR27" s="8"/>
      <c r="GS27" s="8"/>
      <c r="GT27" s="8"/>
      <c r="GU27" s="7"/>
      <c r="GV27" s="7"/>
      <c r="GW27" s="7"/>
      <c r="GX27" s="7"/>
      <c r="GY27" s="8"/>
      <c r="GZ27" s="8"/>
      <c r="HA27" s="8"/>
      <c r="HB27" s="8"/>
      <c r="HC27" s="7"/>
      <c r="HD27" s="7"/>
      <c r="HE27" s="8"/>
      <c r="HF27" s="8"/>
      <c r="HG27" s="8"/>
      <c r="HH27" s="8"/>
      <c r="HI27" s="8"/>
      <c r="HJ27" s="7"/>
      <c r="HK27" s="7"/>
      <c r="HL27" s="8"/>
      <c r="HM27" s="8"/>
      <c r="HN27" s="8"/>
      <c r="HO27" s="8"/>
      <c r="HP27" s="8"/>
      <c r="HQ27" s="7"/>
      <c r="HR27" s="7"/>
      <c r="HS27" s="8"/>
      <c r="HT27" s="8"/>
      <c r="HU27" s="8"/>
      <c r="HV27" s="8"/>
      <c r="HW27" s="8"/>
      <c r="HX27" s="7"/>
      <c r="HY27" s="7"/>
      <c r="HZ27" s="8"/>
      <c r="IA27" s="8"/>
      <c r="IB27" s="8"/>
      <c r="IC27" s="8"/>
      <c r="ID27" s="8"/>
      <c r="IE27" s="7"/>
      <c r="IF27" s="7"/>
      <c r="IG27" s="8"/>
      <c r="IH27" s="8"/>
      <c r="II27" s="8"/>
      <c r="IJ27" s="8"/>
      <c r="IK27" s="8"/>
      <c r="IL27" s="7"/>
      <c r="IM27" s="7"/>
      <c r="IN27" s="8"/>
      <c r="IO27" s="8"/>
      <c r="IP27" s="8"/>
      <c r="IQ27" s="8"/>
      <c r="IR27" s="8"/>
      <c r="IS27" s="7"/>
      <c r="IT27" s="7"/>
      <c r="IU27" s="8"/>
      <c r="IV27" s="8"/>
      <c r="IW27" s="8"/>
      <c r="IX27" s="8"/>
      <c r="IY27" s="8"/>
      <c r="IZ27" s="7"/>
      <c r="JA27" s="7"/>
      <c r="JB27" s="15" t="s">
        <v>1</v>
      </c>
      <c r="JC27" s="25"/>
      <c r="JD27" s="8"/>
      <c r="JE27" s="8"/>
      <c r="JF27" s="8"/>
      <c r="JG27" s="7"/>
      <c r="JH27" s="7"/>
      <c r="JI27" s="8"/>
      <c r="JJ27" s="8"/>
      <c r="JK27" s="8"/>
      <c r="JL27" s="8"/>
      <c r="JM27" s="8"/>
      <c r="JN27" s="7"/>
      <c r="JO27" s="7"/>
      <c r="JP27" s="8"/>
      <c r="JQ27" s="8"/>
      <c r="JR27" s="8"/>
      <c r="JS27" s="26"/>
      <c r="JT27" s="25"/>
      <c r="JU27" s="7"/>
      <c r="JV27" s="7"/>
      <c r="JW27" s="15" t="s">
        <v>1</v>
      </c>
      <c r="JX27" s="15" t="s">
        <v>1</v>
      </c>
      <c r="JY27" s="15" t="s">
        <v>1</v>
      </c>
      <c r="JZ27" s="26"/>
      <c r="KA27" s="25"/>
      <c r="KB27" s="7"/>
      <c r="KC27" s="7"/>
      <c r="KD27" s="15" t="s">
        <v>1</v>
      </c>
      <c r="KE27" s="15" t="s">
        <v>1</v>
      </c>
      <c r="KF27" s="26"/>
      <c r="KG27" s="15" t="s">
        <v>1</v>
      </c>
      <c r="KH27" s="8"/>
      <c r="KI27" s="7"/>
      <c r="KJ27" s="7"/>
      <c r="KK27" s="8"/>
      <c r="KL27" s="8"/>
      <c r="KM27" s="8"/>
      <c r="KN27" s="8"/>
      <c r="KO27" s="8"/>
      <c r="KP27" s="7"/>
      <c r="KQ27" s="7"/>
      <c r="KR27" s="8"/>
      <c r="KS27" s="8"/>
      <c r="KT27" s="8"/>
      <c r="KU27" s="8"/>
      <c r="KV27" s="26"/>
      <c r="KW27" s="7"/>
      <c r="KX27" s="7"/>
      <c r="KY27" s="8"/>
      <c r="KZ27" s="8"/>
      <c r="LA27" s="8"/>
      <c r="LB27" s="8"/>
      <c r="LC27" s="8"/>
      <c r="LD27" s="7"/>
      <c r="LE27" s="7"/>
      <c r="LF27" s="8"/>
      <c r="LG27" s="8"/>
      <c r="LH27" s="8"/>
      <c r="LI27" s="8"/>
      <c r="LJ27" s="8"/>
      <c r="LK27" s="7"/>
      <c r="LL27" s="7"/>
      <c r="LM27" s="8"/>
      <c r="LN27" s="8"/>
      <c r="LO27" s="8"/>
      <c r="LP27" s="8"/>
      <c r="LQ27" s="8"/>
      <c r="LR27" s="7"/>
      <c r="LS27" s="7"/>
      <c r="LT27" s="8"/>
      <c r="LU27" s="8"/>
      <c r="LV27" s="8"/>
      <c r="LW27" s="8"/>
      <c r="LX27" s="8"/>
      <c r="LY27" s="7"/>
      <c r="LZ27" s="7"/>
      <c r="MA27" s="8"/>
      <c r="MB27" s="8"/>
      <c r="MC27" s="8"/>
      <c r="MD27" s="8"/>
      <c r="ME27" s="8"/>
      <c r="MF27" s="7"/>
      <c r="MG27" s="7"/>
      <c r="MH27" s="8"/>
      <c r="MI27" s="8"/>
      <c r="MJ27" s="8"/>
      <c r="MK27" s="8"/>
      <c r="ML27" s="8"/>
      <c r="MM27" s="7"/>
      <c r="MN27" s="7"/>
      <c r="MO27" s="8"/>
      <c r="MP27" s="8"/>
      <c r="MQ27" s="8"/>
      <c r="MR27" s="8"/>
      <c r="MS27" s="8"/>
      <c r="MT27" s="7"/>
      <c r="MU27" s="7"/>
      <c r="MV27" s="8"/>
      <c r="MW27" s="8"/>
      <c r="MX27" s="8"/>
      <c r="MY27" s="8"/>
      <c r="MZ27" s="26"/>
      <c r="NA27" s="7"/>
      <c r="NB27" s="7"/>
      <c r="NC27" s="15" t="s">
        <v>1</v>
      </c>
      <c r="ND27" s="15" t="s">
        <v>1</v>
      </c>
      <c r="NE27" s="15" t="s">
        <v>1</v>
      </c>
      <c r="NF27" s="8"/>
      <c r="NG27" s="8"/>
      <c r="NH27" s="7"/>
      <c r="NI27" s="7"/>
      <c r="NJ27" s="8"/>
      <c r="NK27" s="8"/>
      <c r="NL27" s="8"/>
    </row>
    <row r="28" spans="1:376" customFormat="1" ht="15.75" customHeight="1" thickBot="1">
      <c r="A28" s="1"/>
      <c r="B28" s="29" t="s">
        <v>52</v>
      </c>
      <c r="C28" s="29" t="s">
        <v>30</v>
      </c>
      <c r="D28" s="29" t="s">
        <v>31</v>
      </c>
      <c r="E28" s="29">
        <v>0</v>
      </c>
      <c r="F28" s="29">
        <v>10</v>
      </c>
      <c r="G28" s="29">
        <v>0</v>
      </c>
      <c r="H28" s="29">
        <f t="shared" si="0"/>
        <v>0</v>
      </c>
      <c r="I28" s="30">
        <f t="shared" si="1"/>
        <v>0</v>
      </c>
      <c r="J28" s="30">
        <f t="shared" si="2"/>
        <v>0</v>
      </c>
      <c r="K28" s="30">
        <f t="shared" si="3"/>
        <v>10</v>
      </c>
      <c r="L28" s="28"/>
      <c r="M28" s="8"/>
      <c r="N28" s="8"/>
      <c r="O28" s="7"/>
      <c r="P28" s="7"/>
      <c r="Q28" s="8"/>
      <c r="R28" s="8"/>
      <c r="S28" s="8"/>
      <c r="T28" s="8"/>
      <c r="U28" s="7"/>
      <c r="V28" s="7"/>
      <c r="W28" s="7"/>
      <c r="X28" s="7"/>
      <c r="Y28" s="8"/>
      <c r="Z28" s="8"/>
      <c r="AA28" s="8"/>
      <c r="AB28" s="8"/>
      <c r="AC28" s="7"/>
      <c r="AD28" s="7"/>
      <c r="AE28" s="7"/>
      <c r="AF28" s="8"/>
      <c r="AG28" s="8"/>
      <c r="AH28" s="8"/>
      <c r="AI28" s="8"/>
      <c r="AJ28" s="7"/>
      <c r="AK28" s="7"/>
      <c r="AL28" s="8"/>
      <c r="AM28" s="8"/>
      <c r="AN28" s="8"/>
      <c r="AO28" s="8"/>
      <c r="AP28" s="7"/>
      <c r="AQ28" s="7"/>
      <c r="AR28" s="7"/>
      <c r="AS28" s="8"/>
      <c r="AT28" s="8"/>
      <c r="AU28" s="8"/>
      <c r="AV28" s="8"/>
      <c r="AW28" s="8"/>
      <c r="AX28" s="7"/>
      <c r="AY28" s="7"/>
      <c r="AZ28" s="8"/>
      <c r="BA28" s="8"/>
      <c r="BB28" s="8"/>
      <c r="BC28" s="8"/>
      <c r="BD28" s="8"/>
      <c r="BE28" s="7"/>
      <c r="BF28" s="7"/>
      <c r="BG28" s="8"/>
      <c r="BH28" s="8"/>
      <c r="BI28" s="8"/>
      <c r="BJ28" s="8"/>
      <c r="BK28" s="8"/>
      <c r="BL28" s="7"/>
      <c r="BM28" s="7"/>
      <c r="BN28" s="8"/>
      <c r="BO28" s="8"/>
      <c r="BP28" s="8"/>
      <c r="BQ28" s="8"/>
      <c r="BR28" s="8"/>
      <c r="BS28" s="7"/>
      <c r="BT28" s="7"/>
      <c r="BU28" s="8"/>
      <c r="BV28" s="8"/>
      <c r="BW28" s="8"/>
      <c r="BX28" s="8"/>
      <c r="BY28" s="8"/>
      <c r="BZ28" s="7"/>
      <c r="CA28" s="7"/>
      <c r="CB28" s="8"/>
      <c r="CC28" s="8"/>
      <c r="CD28" s="8"/>
      <c r="CE28" s="8"/>
      <c r="CF28" s="8"/>
      <c r="CG28" s="7"/>
      <c r="CH28" s="7"/>
      <c r="CI28" s="8"/>
      <c r="CJ28" s="8"/>
      <c r="CK28" s="8"/>
      <c r="CL28" s="8"/>
      <c r="CM28" s="8"/>
      <c r="CN28" s="7"/>
      <c r="CO28" s="7"/>
      <c r="CP28" s="8"/>
      <c r="CQ28" s="8"/>
      <c r="CR28" s="7"/>
      <c r="CS28" s="8"/>
      <c r="CT28" s="8"/>
      <c r="CU28" s="7"/>
      <c r="CV28" s="7"/>
      <c r="CW28" s="8"/>
      <c r="CX28" s="8"/>
      <c r="CY28" s="8"/>
      <c r="CZ28" s="8"/>
      <c r="DA28" s="8"/>
      <c r="DB28" s="7"/>
      <c r="DC28" s="7"/>
      <c r="DD28" s="8"/>
      <c r="DE28" s="8"/>
      <c r="DF28" s="8"/>
      <c r="DG28" s="8"/>
      <c r="DH28" s="8"/>
      <c r="DI28" s="7"/>
      <c r="DJ28" s="7"/>
      <c r="DK28" s="8"/>
      <c r="DL28" s="8"/>
      <c r="DM28" s="8"/>
      <c r="DN28" s="8"/>
      <c r="DO28" s="8"/>
      <c r="DP28" s="7"/>
      <c r="DQ28" s="7"/>
      <c r="DR28" s="8"/>
      <c r="DS28" s="8"/>
      <c r="DT28" s="8"/>
      <c r="DU28" s="8"/>
      <c r="DV28" s="8"/>
      <c r="DW28" s="7"/>
      <c r="DX28" s="7"/>
      <c r="DY28" s="8"/>
      <c r="DZ28" s="8"/>
      <c r="EA28" s="8"/>
      <c r="EB28" s="8"/>
      <c r="EC28" s="8"/>
      <c r="ED28" s="7"/>
      <c r="EE28" s="7"/>
      <c r="EF28" s="8"/>
      <c r="EG28" s="8"/>
      <c r="EH28" s="8"/>
      <c r="EI28" s="8"/>
      <c r="EJ28" s="8"/>
      <c r="EK28" s="7"/>
      <c r="EL28" s="7"/>
      <c r="EM28" s="8"/>
      <c r="EN28" s="8"/>
      <c r="EO28" s="8"/>
      <c r="EP28" s="8"/>
      <c r="EQ28" s="8"/>
      <c r="ER28" s="7"/>
      <c r="ES28" s="7"/>
      <c r="ET28" s="8"/>
      <c r="EU28" s="8"/>
      <c r="EV28" s="8"/>
      <c r="EW28" s="8"/>
      <c r="EX28" s="8"/>
      <c r="EY28" s="7"/>
      <c r="EZ28" s="7"/>
      <c r="FA28" s="8"/>
      <c r="FB28" s="8"/>
      <c r="FC28" s="8"/>
      <c r="FD28" s="8"/>
      <c r="FE28" s="8"/>
      <c r="FF28" s="7"/>
      <c r="FG28" s="7"/>
      <c r="FH28" s="8"/>
      <c r="FI28" s="8"/>
      <c r="FJ28" s="8"/>
      <c r="FK28" s="8"/>
      <c r="FL28" s="8"/>
      <c r="FM28" s="7"/>
      <c r="FN28" s="7"/>
      <c r="FO28" s="8"/>
      <c r="FP28" s="8"/>
      <c r="FQ28" s="8"/>
      <c r="FR28" s="8"/>
      <c r="FS28" s="8"/>
      <c r="FT28" s="7"/>
      <c r="FU28" s="7"/>
      <c r="FV28" s="8"/>
      <c r="FW28" s="8"/>
      <c r="FX28" s="8"/>
      <c r="FY28" s="8"/>
      <c r="FZ28" s="8"/>
      <c r="GA28" s="7"/>
      <c r="GB28" s="7"/>
      <c r="GC28" s="8"/>
      <c r="GD28" s="8"/>
      <c r="GE28" s="8"/>
      <c r="GF28" s="8"/>
      <c r="GG28" s="8"/>
      <c r="GH28" s="7"/>
      <c r="GI28" s="7"/>
      <c r="GJ28" s="8"/>
      <c r="GK28" s="8"/>
      <c r="GL28" s="8"/>
      <c r="GM28" s="8"/>
      <c r="GN28" s="8"/>
      <c r="GO28" s="7"/>
      <c r="GP28" s="7"/>
      <c r="GQ28" s="8"/>
      <c r="GR28" s="8"/>
      <c r="GS28" s="8"/>
      <c r="GT28" s="8"/>
      <c r="GU28" s="7"/>
      <c r="GV28" s="7"/>
      <c r="GW28" s="7"/>
      <c r="GX28" s="7"/>
      <c r="GY28" s="8"/>
      <c r="GZ28" s="8"/>
      <c r="HA28" s="8"/>
      <c r="HB28" s="8"/>
      <c r="HC28" s="7"/>
      <c r="HD28" s="7"/>
      <c r="HE28" s="8"/>
      <c r="HF28" s="8"/>
      <c r="HG28" s="8"/>
      <c r="HH28" s="8"/>
      <c r="HI28" s="8"/>
      <c r="HJ28" s="7"/>
      <c r="HK28" s="7"/>
      <c r="HL28" s="8"/>
      <c r="HM28" s="8"/>
      <c r="HN28" s="8"/>
      <c r="HO28" s="8"/>
      <c r="HP28" s="8"/>
      <c r="HQ28" s="7"/>
      <c r="HR28" s="7"/>
      <c r="HS28" s="8"/>
      <c r="HT28" s="8"/>
      <c r="HU28" s="8"/>
      <c r="HV28" s="8"/>
      <c r="HW28" s="8"/>
      <c r="HX28" s="7"/>
      <c r="HY28" s="7"/>
      <c r="HZ28" s="8"/>
      <c r="IA28" s="8"/>
      <c r="IB28" s="8"/>
      <c r="IC28" s="8"/>
      <c r="ID28" s="8"/>
      <c r="IE28" s="7"/>
      <c r="IF28" s="7"/>
      <c r="IG28" s="8"/>
      <c r="IH28" s="8"/>
      <c r="II28" s="8"/>
      <c r="IJ28" s="8"/>
      <c r="IK28" s="8"/>
      <c r="IL28" s="7"/>
      <c r="IM28" s="7"/>
      <c r="IN28" s="8"/>
      <c r="IO28" s="8"/>
      <c r="IP28" s="8"/>
      <c r="IQ28" s="8"/>
      <c r="IR28" s="8"/>
      <c r="IS28" s="7"/>
      <c r="IT28" s="7"/>
      <c r="IU28" s="8"/>
      <c r="IV28" s="8"/>
      <c r="IW28" s="8"/>
      <c r="IX28" s="8"/>
      <c r="IY28" s="8"/>
      <c r="IZ28" s="7"/>
      <c r="JA28" s="7"/>
      <c r="JB28" s="8"/>
      <c r="JC28" s="25"/>
      <c r="JD28" s="8"/>
      <c r="JE28" s="8"/>
      <c r="JF28" s="8"/>
      <c r="JG28" s="7"/>
      <c r="JH28" s="7"/>
      <c r="JI28" s="8"/>
      <c r="JJ28" s="8"/>
      <c r="JK28" s="8"/>
      <c r="JL28" s="8"/>
      <c r="JM28" s="8"/>
      <c r="JN28" s="7"/>
      <c r="JO28" s="7"/>
      <c r="JP28" s="8"/>
      <c r="JQ28" s="8"/>
      <c r="JR28" s="21" t="s">
        <v>7</v>
      </c>
      <c r="JS28" s="21" t="s">
        <v>7</v>
      </c>
      <c r="JT28" s="25"/>
      <c r="JU28" s="7"/>
      <c r="JV28" s="7"/>
      <c r="JW28" s="21" t="s">
        <v>7</v>
      </c>
      <c r="JX28" s="21" t="s">
        <v>7</v>
      </c>
      <c r="JY28" s="21" t="s">
        <v>7</v>
      </c>
      <c r="JZ28" s="21" t="s">
        <v>7</v>
      </c>
      <c r="KA28" s="25"/>
      <c r="KB28" s="7"/>
      <c r="KC28" s="7"/>
      <c r="KD28" s="8"/>
      <c r="KE28" s="8"/>
      <c r="KF28" s="8"/>
      <c r="KG28" s="8"/>
      <c r="KH28" s="8"/>
      <c r="KI28" s="7"/>
      <c r="KJ28" s="7"/>
      <c r="KK28" s="8"/>
      <c r="KL28" s="21" t="s">
        <v>7</v>
      </c>
      <c r="KM28" s="21" t="s">
        <v>7</v>
      </c>
      <c r="KN28" s="21" t="s">
        <v>7</v>
      </c>
      <c r="KO28" s="21" t="s">
        <v>7</v>
      </c>
      <c r="KP28" s="7"/>
      <c r="KQ28" s="7"/>
      <c r="KR28" s="8"/>
      <c r="KS28" s="8"/>
      <c r="KT28" s="8"/>
      <c r="KU28" s="8"/>
      <c r="KV28" s="8"/>
      <c r="KW28" s="7"/>
      <c r="KX28" s="7"/>
      <c r="KY28" s="15" t="s">
        <v>1</v>
      </c>
      <c r="KZ28" s="15" t="s">
        <v>1</v>
      </c>
      <c r="LA28" s="15" t="s">
        <v>1</v>
      </c>
      <c r="LB28" s="15" t="s">
        <v>1</v>
      </c>
      <c r="LC28" s="15" t="s">
        <v>1</v>
      </c>
      <c r="LD28" s="7"/>
      <c r="LE28" s="7"/>
      <c r="LF28" s="15" t="s">
        <v>1</v>
      </c>
      <c r="LG28" s="15" t="s">
        <v>1</v>
      </c>
      <c r="LH28" s="15" t="s">
        <v>1</v>
      </c>
      <c r="LI28" s="15" t="s">
        <v>1</v>
      </c>
      <c r="LJ28" s="15" t="s">
        <v>1</v>
      </c>
      <c r="LK28" s="7"/>
      <c r="LL28" s="7"/>
      <c r="LM28" s="8"/>
      <c r="LN28" s="8"/>
      <c r="LO28" s="8"/>
      <c r="LP28" s="8"/>
      <c r="LQ28" s="8"/>
      <c r="LR28" s="7"/>
      <c r="LS28" s="7"/>
      <c r="LT28" s="8"/>
      <c r="LU28" s="8"/>
      <c r="LV28" s="8"/>
      <c r="LW28" s="8"/>
      <c r="LX28" s="8"/>
      <c r="LY28" s="7"/>
      <c r="LZ28" s="7"/>
      <c r="MA28" s="8"/>
      <c r="MB28" s="8"/>
      <c r="MC28" s="8"/>
      <c r="MD28" s="8"/>
      <c r="ME28" s="8"/>
      <c r="MF28" s="7"/>
      <c r="MG28" s="7"/>
      <c r="MH28" s="8"/>
      <c r="MI28" s="8"/>
      <c r="MJ28" s="8"/>
      <c r="MK28" s="8"/>
      <c r="ML28" s="8"/>
      <c r="MM28" s="7"/>
      <c r="MN28" s="7"/>
      <c r="MO28" s="8"/>
      <c r="MP28" s="8"/>
      <c r="MQ28" s="8"/>
      <c r="MR28" s="8"/>
      <c r="MS28" s="8"/>
      <c r="MT28" s="7"/>
      <c r="MU28" s="7"/>
      <c r="MV28" s="8"/>
      <c r="MW28" s="8"/>
      <c r="MX28" s="8"/>
      <c r="MY28" s="8"/>
      <c r="MZ28" s="8"/>
      <c r="NA28" s="7"/>
      <c r="NB28" s="7"/>
      <c r="NC28" s="8"/>
      <c r="ND28" s="8"/>
      <c r="NE28" s="8"/>
      <c r="NF28" s="8"/>
      <c r="NG28" s="8"/>
      <c r="NH28" s="7"/>
      <c r="NI28" s="7"/>
      <c r="NJ28" s="8"/>
      <c r="NK28" s="8"/>
      <c r="NL28" s="8"/>
    </row>
    <row r="29" spans="1:376" customFormat="1" ht="15.75" thickBot="1">
      <c r="A29" s="1"/>
      <c r="B29" s="29" t="s">
        <v>66</v>
      </c>
      <c r="C29" s="29" t="s">
        <v>30</v>
      </c>
      <c r="D29" s="29" t="s">
        <v>31</v>
      </c>
      <c r="E29" s="29">
        <v>0</v>
      </c>
      <c r="F29" s="29">
        <v>0</v>
      </c>
      <c r="G29" s="29">
        <v>0</v>
      </c>
      <c r="H29" s="29">
        <f t="shared" si="0"/>
        <v>0</v>
      </c>
      <c r="I29" s="30">
        <f t="shared" si="1"/>
        <v>0</v>
      </c>
      <c r="J29" s="30">
        <f t="shared" si="2"/>
        <v>0</v>
      </c>
      <c r="K29" s="30">
        <f t="shared" si="3"/>
        <v>0</v>
      </c>
      <c r="L29" s="28"/>
      <c r="M29" s="8"/>
      <c r="N29" s="8"/>
      <c r="O29" s="7"/>
      <c r="P29" s="7"/>
      <c r="Q29" s="8"/>
      <c r="R29" s="8"/>
      <c r="S29" s="8"/>
      <c r="T29" s="8"/>
      <c r="U29" s="7"/>
      <c r="V29" s="7"/>
      <c r="W29" s="7"/>
      <c r="X29" s="7"/>
      <c r="Y29" s="8"/>
      <c r="Z29" s="8"/>
      <c r="AA29" s="8"/>
      <c r="AB29" s="8"/>
      <c r="AC29" s="7"/>
      <c r="AD29" s="7"/>
      <c r="AE29" s="7"/>
      <c r="AF29" s="8"/>
      <c r="AG29" s="8"/>
      <c r="AH29" s="8"/>
      <c r="AI29" s="8"/>
      <c r="AJ29" s="7"/>
      <c r="AK29" s="7"/>
      <c r="AL29" s="8"/>
      <c r="AM29" s="8"/>
      <c r="AN29" s="8"/>
      <c r="AO29" s="8"/>
      <c r="AP29" s="7"/>
      <c r="AQ29" s="7"/>
      <c r="AR29" s="7"/>
      <c r="AS29" s="8"/>
      <c r="AT29" s="8"/>
      <c r="AU29" s="8"/>
      <c r="AV29" s="8"/>
      <c r="AW29" s="8"/>
      <c r="AX29" s="7"/>
      <c r="AY29" s="7"/>
      <c r="AZ29" s="8"/>
      <c r="BA29" s="8"/>
      <c r="BB29" s="8"/>
      <c r="BC29" s="8"/>
      <c r="BD29" s="8"/>
      <c r="BE29" s="7"/>
      <c r="BF29" s="7"/>
      <c r="BG29" s="8"/>
      <c r="BH29" s="8"/>
      <c r="BI29" s="8"/>
      <c r="BJ29" s="8"/>
      <c r="BK29" s="8"/>
      <c r="BL29" s="7"/>
      <c r="BM29" s="7"/>
      <c r="BN29" s="8"/>
      <c r="BO29" s="8"/>
      <c r="BP29" s="8"/>
      <c r="BQ29" s="8"/>
      <c r="BR29" s="8"/>
      <c r="BS29" s="7"/>
      <c r="BT29" s="7"/>
      <c r="BU29" s="8"/>
      <c r="BV29" s="8"/>
      <c r="BW29" s="8"/>
      <c r="BX29" s="8"/>
      <c r="BY29" s="8"/>
      <c r="BZ29" s="7"/>
      <c r="CA29" s="7"/>
      <c r="CB29" s="8"/>
      <c r="CC29" s="8"/>
      <c r="CD29" s="8"/>
      <c r="CE29" s="8"/>
      <c r="CF29" s="8"/>
      <c r="CG29" s="7"/>
      <c r="CH29" s="7"/>
      <c r="CI29" s="8"/>
      <c r="CJ29" s="8"/>
      <c r="CK29" s="8"/>
      <c r="CL29" s="8"/>
      <c r="CM29" s="8"/>
      <c r="CN29" s="7"/>
      <c r="CO29" s="7"/>
      <c r="CP29" s="8"/>
      <c r="CQ29" s="8"/>
      <c r="CR29" s="7"/>
      <c r="CS29" s="8"/>
      <c r="CT29" s="8"/>
      <c r="CU29" s="7"/>
      <c r="CV29" s="7"/>
      <c r="CW29" s="8"/>
      <c r="CX29" s="8"/>
      <c r="CY29" s="8"/>
      <c r="CZ29" s="8"/>
      <c r="DA29" s="8"/>
      <c r="DB29" s="7"/>
      <c r="DC29" s="7"/>
      <c r="DD29" s="8"/>
      <c r="DE29" s="8"/>
      <c r="DF29" s="8"/>
      <c r="DG29" s="8"/>
      <c r="DH29" s="8"/>
      <c r="DI29" s="7"/>
      <c r="DJ29" s="7"/>
      <c r="DK29" s="8"/>
      <c r="DL29" s="8"/>
      <c r="DM29" s="8"/>
      <c r="DN29" s="8"/>
      <c r="DO29" s="8"/>
      <c r="DP29" s="7"/>
      <c r="DQ29" s="7"/>
      <c r="DR29" s="8"/>
      <c r="DS29" s="8"/>
      <c r="DT29" s="8"/>
      <c r="DU29" s="8"/>
      <c r="DV29" s="8"/>
      <c r="DW29" s="7"/>
      <c r="DX29" s="7"/>
      <c r="DY29" s="8"/>
      <c r="DZ29" s="8"/>
      <c r="EA29" s="8"/>
      <c r="EB29" s="8"/>
      <c r="EC29" s="8"/>
      <c r="ED29" s="7"/>
      <c r="EE29" s="7"/>
      <c r="EF29" s="8"/>
      <c r="EG29" s="8"/>
      <c r="EH29" s="8"/>
      <c r="EI29" s="8"/>
      <c r="EJ29" s="8"/>
      <c r="EK29" s="7"/>
      <c r="EL29" s="7"/>
      <c r="EM29" s="8"/>
      <c r="EN29" s="8"/>
      <c r="EO29" s="8"/>
      <c r="EP29" s="8"/>
      <c r="EQ29" s="8"/>
      <c r="ER29" s="7"/>
      <c r="ES29" s="7"/>
      <c r="ET29" s="8"/>
      <c r="EU29" s="8"/>
      <c r="EV29" s="8"/>
      <c r="EW29" s="8"/>
      <c r="EX29" s="8"/>
      <c r="EY29" s="7"/>
      <c r="EZ29" s="7"/>
      <c r="FA29" s="8"/>
      <c r="FB29" s="8"/>
      <c r="FC29" s="8"/>
      <c r="FD29" s="8"/>
      <c r="FE29" s="8"/>
      <c r="FF29" s="7"/>
      <c r="FG29" s="7"/>
      <c r="FH29" s="8"/>
      <c r="FI29" s="8"/>
      <c r="FJ29" s="8"/>
      <c r="FK29" s="8"/>
      <c r="FL29" s="8"/>
      <c r="FM29" s="7"/>
      <c r="FN29" s="7"/>
      <c r="FO29" s="8"/>
      <c r="FP29" s="8"/>
      <c r="FQ29" s="8"/>
      <c r="FR29" s="8"/>
      <c r="FS29" s="8"/>
      <c r="FT29" s="7"/>
      <c r="FU29" s="7"/>
      <c r="FV29" s="8"/>
      <c r="FW29" s="8"/>
      <c r="FX29" s="8"/>
      <c r="FY29" s="8"/>
      <c r="FZ29" s="8"/>
      <c r="GA29" s="7"/>
      <c r="GB29" s="7"/>
      <c r="GC29" s="8"/>
      <c r="GD29" s="8"/>
      <c r="GE29" s="8"/>
      <c r="GF29" s="8"/>
      <c r="GG29" s="8"/>
      <c r="GH29" s="7"/>
      <c r="GI29" s="7"/>
      <c r="GJ29" s="8"/>
      <c r="GK29" s="8"/>
      <c r="GL29" s="8"/>
      <c r="GM29" s="8"/>
      <c r="GN29" s="8"/>
      <c r="GO29" s="7"/>
      <c r="GP29" s="7"/>
      <c r="GQ29" s="8"/>
      <c r="GR29" s="8"/>
      <c r="GS29" s="8"/>
      <c r="GT29" s="8"/>
      <c r="GU29" s="7"/>
      <c r="GV29" s="7"/>
      <c r="GW29" s="7"/>
      <c r="GX29" s="7"/>
      <c r="GY29" s="8"/>
      <c r="GZ29" s="8"/>
      <c r="HA29" s="8"/>
      <c r="HB29" s="8"/>
      <c r="HC29" s="7"/>
      <c r="HD29" s="7"/>
      <c r="HE29" s="8"/>
      <c r="HF29" s="8"/>
      <c r="HG29" s="8"/>
      <c r="HH29" s="8"/>
      <c r="HI29" s="8"/>
      <c r="HJ29" s="7"/>
      <c r="HK29" s="7"/>
      <c r="HL29" s="8"/>
      <c r="HM29" s="8"/>
      <c r="HN29" s="8"/>
      <c r="HO29" s="8"/>
      <c r="HP29" s="8"/>
      <c r="HQ29" s="7"/>
      <c r="HR29" s="7"/>
      <c r="HS29" s="8"/>
      <c r="HT29" s="8"/>
      <c r="HU29" s="8"/>
      <c r="HV29" s="8"/>
      <c r="HW29" s="8"/>
      <c r="HX29" s="7"/>
      <c r="HY29" s="7"/>
      <c r="HZ29" s="8"/>
      <c r="IA29" s="8"/>
      <c r="IB29" s="8"/>
      <c r="IC29" s="8"/>
      <c r="ID29" s="8"/>
      <c r="IE29" s="7"/>
      <c r="IF29" s="7"/>
      <c r="IG29" s="8"/>
      <c r="IH29" s="8"/>
      <c r="II29" s="8"/>
      <c r="IJ29" s="8"/>
      <c r="IK29" s="8"/>
      <c r="IL29" s="7"/>
      <c r="IM29" s="7"/>
      <c r="IN29" s="8"/>
      <c r="IO29" s="8"/>
      <c r="IP29" s="8"/>
      <c r="IQ29" s="8"/>
      <c r="IR29" s="8"/>
      <c r="IS29" s="7"/>
      <c r="IT29" s="7"/>
      <c r="IU29" s="8"/>
      <c r="IV29" s="8"/>
      <c r="IW29" s="8"/>
      <c r="IX29" s="8"/>
      <c r="IY29" s="8"/>
      <c r="IZ29" s="7"/>
      <c r="JA29" s="7"/>
      <c r="JB29" s="8"/>
      <c r="JC29" s="25"/>
      <c r="JD29" s="8"/>
      <c r="JE29" s="8"/>
      <c r="JF29" s="8"/>
      <c r="JG29" s="7"/>
      <c r="JH29" s="7"/>
      <c r="JI29" s="8"/>
      <c r="JJ29" s="8"/>
      <c r="JK29" s="8"/>
      <c r="JL29" s="8"/>
      <c r="JM29" s="8"/>
      <c r="JN29" s="7"/>
      <c r="JO29" s="7"/>
      <c r="JP29" s="8"/>
      <c r="JQ29" s="8"/>
      <c r="JR29" s="8"/>
      <c r="JS29" s="8"/>
      <c r="JT29" s="25"/>
      <c r="JU29" s="7"/>
      <c r="JV29" s="7"/>
      <c r="JW29" s="8"/>
      <c r="JX29" s="8"/>
      <c r="JY29" s="8"/>
      <c r="JZ29" s="8"/>
      <c r="KA29" s="25"/>
      <c r="KB29" s="7"/>
      <c r="KC29" s="7"/>
      <c r="KD29" s="8"/>
      <c r="KE29" s="8"/>
      <c r="KF29" s="8"/>
      <c r="KG29" s="8"/>
      <c r="KH29" s="8"/>
      <c r="KI29" s="7"/>
      <c r="KJ29" s="7"/>
      <c r="KK29" s="8"/>
      <c r="KL29" s="8"/>
      <c r="KM29" s="8"/>
      <c r="KN29" s="8"/>
      <c r="KO29" s="8"/>
      <c r="KP29" s="7"/>
      <c r="KQ29" s="7"/>
      <c r="KR29" s="8"/>
      <c r="KS29" s="8"/>
      <c r="KT29" s="8"/>
      <c r="KU29" s="8"/>
      <c r="KV29" s="8"/>
      <c r="KW29" s="7"/>
      <c r="KX29" s="7"/>
      <c r="KY29" s="8"/>
      <c r="KZ29" s="8"/>
      <c r="LA29" s="8"/>
      <c r="LB29" s="8"/>
      <c r="LC29" s="8"/>
      <c r="LD29" s="7"/>
      <c r="LE29" s="7"/>
      <c r="LF29" s="8"/>
      <c r="LG29" s="8"/>
      <c r="LH29" s="8"/>
      <c r="LI29" s="8"/>
      <c r="LJ29" s="8"/>
      <c r="LK29" s="7"/>
      <c r="LL29" s="7"/>
      <c r="LM29" s="8"/>
      <c r="LN29" s="8"/>
      <c r="LO29" s="8"/>
      <c r="LP29" s="8"/>
      <c r="LQ29" s="8"/>
      <c r="LR29" s="7"/>
      <c r="LS29" s="7"/>
      <c r="LT29" s="8"/>
      <c r="LU29" s="8"/>
      <c r="LV29" s="8"/>
      <c r="LW29" s="8"/>
      <c r="LX29" s="8"/>
      <c r="LY29" s="7"/>
      <c r="LZ29" s="7"/>
      <c r="MA29" s="8"/>
      <c r="MB29" s="8"/>
      <c r="MC29" s="8"/>
      <c r="MD29" s="8"/>
      <c r="ME29" s="8"/>
      <c r="MF29" s="7"/>
      <c r="MG29" s="7"/>
      <c r="MH29" s="8"/>
      <c r="MI29" s="8"/>
      <c r="MJ29" s="8"/>
      <c r="MK29" s="8"/>
      <c r="ML29" s="8"/>
      <c r="MM29" s="7"/>
      <c r="MN29" s="7"/>
      <c r="MO29" s="8"/>
      <c r="MP29" s="8"/>
      <c r="MQ29" s="8"/>
      <c r="MR29" s="8"/>
      <c r="MS29" s="8"/>
      <c r="MT29" s="7"/>
      <c r="MU29" s="7"/>
      <c r="MV29" s="8"/>
      <c r="MW29" s="8"/>
      <c r="MX29" s="8"/>
      <c r="MY29" s="8"/>
      <c r="MZ29" s="8"/>
      <c r="NA29" s="7"/>
      <c r="NB29" s="7"/>
      <c r="NC29" s="8"/>
      <c r="ND29" s="8"/>
      <c r="NE29" s="8"/>
      <c r="NF29" s="8"/>
      <c r="NG29" s="8"/>
      <c r="NH29" s="7"/>
      <c r="NI29" s="7"/>
      <c r="NJ29" s="8"/>
      <c r="NK29" s="8"/>
      <c r="NL29" s="8"/>
    </row>
    <row r="30" spans="1:376" customFormat="1">
      <c r="A30" s="1"/>
      <c r="B30" s="29" t="s">
        <v>67</v>
      </c>
      <c r="C30" s="29" t="s">
        <v>30</v>
      </c>
      <c r="D30" s="29" t="s">
        <v>31</v>
      </c>
      <c r="E30" s="29">
        <v>0</v>
      </c>
      <c r="F30" s="29">
        <v>0</v>
      </c>
      <c r="G30" s="29">
        <v>0</v>
      </c>
      <c r="H30" s="29">
        <f t="shared" si="0"/>
        <v>-5</v>
      </c>
      <c r="I30" s="30">
        <f t="shared" si="1"/>
        <v>0</v>
      </c>
      <c r="J30" s="30">
        <f t="shared" si="2"/>
        <v>0</v>
      </c>
      <c r="K30" s="30">
        <f t="shared" si="3"/>
        <v>0</v>
      </c>
      <c r="L30" s="28"/>
      <c r="M30" s="8"/>
      <c r="N30" s="8"/>
      <c r="O30" s="7"/>
      <c r="P30" s="7"/>
      <c r="Q30" s="8"/>
      <c r="R30" s="8"/>
      <c r="S30" s="8"/>
      <c r="T30" s="8"/>
      <c r="U30" s="7"/>
      <c r="V30" s="7"/>
      <c r="W30" s="7"/>
      <c r="X30" s="7"/>
      <c r="Y30" s="8"/>
      <c r="Z30" s="8"/>
      <c r="AA30" s="8"/>
      <c r="AB30" s="8"/>
      <c r="AC30" s="7"/>
      <c r="AD30" s="7"/>
      <c r="AE30" s="7"/>
      <c r="AF30" s="8"/>
      <c r="AG30" s="8"/>
      <c r="AH30" s="8"/>
      <c r="AI30" s="8"/>
      <c r="AJ30" s="7"/>
      <c r="AK30" s="7"/>
      <c r="AL30" s="8"/>
      <c r="AM30" s="8"/>
      <c r="AN30" s="8"/>
      <c r="AO30" s="8"/>
      <c r="AP30" s="7"/>
      <c r="AQ30" s="7"/>
      <c r="AR30" s="7"/>
      <c r="AS30" s="8"/>
      <c r="AT30" s="8"/>
      <c r="AU30" s="8"/>
      <c r="AV30" s="8"/>
      <c r="AW30" s="8"/>
      <c r="AX30" s="7"/>
      <c r="AY30" s="7"/>
      <c r="AZ30" s="8"/>
      <c r="BA30" s="8"/>
      <c r="BB30" s="8"/>
      <c r="BC30" s="8"/>
      <c r="BD30" s="8"/>
      <c r="BE30" s="7"/>
      <c r="BF30" s="7"/>
      <c r="BG30" s="8"/>
      <c r="BH30" s="8"/>
      <c r="BI30" s="8"/>
      <c r="BJ30" s="8"/>
      <c r="BK30" s="8"/>
      <c r="BL30" s="7"/>
      <c r="BM30" s="7"/>
      <c r="BN30" s="8"/>
      <c r="BO30" s="8"/>
      <c r="BP30" s="8"/>
      <c r="BQ30" s="8"/>
      <c r="BR30" s="8"/>
      <c r="BS30" s="7"/>
      <c r="BT30" s="7"/>
      <c r="BU30" s="8"/>
      <c r="BV30" s="8"/>
      <c r="BW30" s="8"/>
      <c r="BX30" s="8"/>
      <c r="BY30" s="8"/>
      <c r="BZ30" s="7"/>
      <c r="CA30" s="7"/>
      <c r="CB30" s="8"/>
      <c r="CC30" s="8"/>
      <c r="CD30" s="8"/>
      <c r="CE30" s="8"/>
      <c r="CF30" s="8"/>
      <c r="CG30" s="7"/>
      <c r="CH30" s="7"/>
      <c r="CI30" s="8"/>
      <c r="CJ30" s="8"/>
      <c r="CK30" s="8"/>
      <c r="CL30" s="8"/>
      <c r="CM30" s="8"/>
      <c r="CN30" s="7"/>
      <c r="CO30" s="7"/>
      <c r="CP30" s="8"/>
      <c r="CQ30" s="8"/>
      <c r="CR30" s="7"/>
      <c r="CS30" s="8"/>
      <c r="CT30" s="8"/>
      <c r="CU30" s="7"/>
      <c r="CV30" s="7"/>
      <c r="CW30" s="8"/>
      <c r="CX30" s="8"/>
      <c r="CY30" s="8"/>
      <c r="CZ30" s="8"/>
      <c r="DA30" s="8"/>
      <c r="DB30" s="7"/>
      <c r="DC30" s="7"/>
      <c r="DD30" s="8"/>
      <c r="DE30" s="8"/>
      <c r="DF30" s="8"/>
      <c r="DG30" s="8"/>
      <c r="DH30" s="8"/>
      <c r="DI30" s="7"/>
      <c r="DJ30" s="7"/>
      <c r="DK30" s="8"/>
      <c r="DL30" s="8"/>
      <c r="DM30" s="8"/>
      <c r="DN30" s="8"/>
      <c r="DO30" s="8"/>
      <c r="DP30" s="7"/>
      <c r="DQ30" s="7"/>
      <c r="DR30" s="8"/>
      <c r="DS30" s="8"/>
      <c r="DT30" s="8"/>
      <c r="DU30" s="8"/>
      <c r="DV30" s="8"/>
      <c r="DW30" s="7"/>
      <c r="DX30" s="7"/>
      <c r="DY30" s="8"/>
      <c r="DZ30" s="8"/>
      <c r="EA30" s="8"/>
      <c r="EB30" s="8"/>
      <c r="EC30" s="8"/>
      <c r="ED30" s="7"/>
      <c r="EE30" s="7"/>
      <c r="EF30" s="8"/>
      <c r="EG30" s="8"/>
      <c r="EH30" s="8"/>
      <c r="EI30" s="8"/>
      <c r="EJ30" s="8"/>
      <c r="EK30" s="7"/>
      <c r="EL30" s="7"/>
      <c r="EM30" s="8"/>
      <c r="EN30" s="8"/>
      <c r="EO30" s="8"/>
      <c r="EP30" s="8"/>
      <c r="EQ30" s="8"/>
      <c r="ER30" s="7"/>
      <c r="ES30" s="7"/>
      <c r="ET30" s="8"/>
      <c r="EU30" s="8"/>
      <c r="EV30" s="8"/>
      <c r="EW30" s="8"/>
      <c r="EX30" s="8"/>
      <c r="EY30" s="7"/>
      <c r="EZ30" s="7"/>
      <c r="FA30" s="8"/>
      <c r="FB30" s="8"/>
      <c r="FC30" s="8"/>
      <c r="FD30" s="8"/>
      <c r="FE30" s="8"/>
      <c r="FF30" s="7"/>
      <c r="FG30" s="7"/>
      <c r="FH30" s="8"/>
      <c r="FI30" s="8"/>
      <c r="FJ30" s="8"/>
      <c r="FK30" s="8"/>
      <c r="FL30" s="8"/>
      <c r="FM30" s="7"/>
      <c r="FN30" s="7"/>
      <c r="FO30" s="8"/>
      <c r="FP30" s="8"/>
      <c r="FQ30" s="8"/>
      <c r="FR30" s="8"/>
      <c r="FS30" s="8"/>
      <c r="FT30" s="7"/>
      <c r="FU30" s="7"/>
      <c r="FV30" s="8"/>
      <c r="FW30" s="8"/>
      <c r="FX30" s="8"/>
      <c r="FY30" s="8"/>
      <c r="FZ30" s="8"/>
      <c r="GA30" s="7"/>
      <c r="GB30" s="7"/>
      <c r="GC30" s="8"/>
      <c r="GD30" s="8"/>
      <c r="GE30" s="8"/>
      <c r="GF30" s="8"/>
      <c r="GG30" s="8"/>
      <c r="GH30" s="7"/>
      <c r="GI30" s="7"/>
      <c r="GJ30" s="8"/>
      <c r="GK30" s="8"/>
      <c r="GL30" s="8"/>
      <c r="GM30" s="8"/>
      <c r="GN30" s="8"/>
      <c r="GO30" s="7"/>
      <c r="GP30" s="7"/>
      <c r="GQ30" s="8"/>
      <c r="GR30" s="8"/>
      <c r="GS30" s="8"/>
      <c r="GT30" s="8"/>
      <c r="GU30" s="7"/>
      <c r="GV30" s="7"/>
      <c r="GW30" s="7"/>
      <c r="GX30" s="7"/>
      <c r="GY30" s="8"/>
      <c r="GZ30" s="8"/>
      <c r="HA30" s="8"/>
      <c r="HB30" s="8"/>
      <c r="HC30" s="7"/>
      <c r="HD30" s="7"/>
      <c r="HE30" s="8"/>
      <c r="HF30" s="8"/>
      <c r="HG30" s="8"/>
      <c r="HH30" s="8"/>
      <c r="HI30" s="8"/>
      <c r="HJ30" s="7"/>
      <c r="HK30" s="7"/>
      <c r="HL30" s="8"/>
      <c r="HM30" s="8"/>
      <c r="HN30" s="8"/>
      <c r="HO30" s="8"/>
      <c r="HP30" s="8"/>
      <c r="HQ30" s="7"/>
      <c r="HR30" s="7"/>
      <c r="HS30" s="8"/>
      <c r="HT30" s="8"/>
      <c r="HU30" s="8"/>
      <c r="HV30" s="8"/>
      <c r="HW30" s="8"/>
      <c r="HX30" s="7"/>
      <c r="HY30" s="7"/>
      <c r="HZ30" s="8"/>
      <c r="IA30" s="8"/>
      <c r="IB30" s="8"/>
      <c r="IC30" s="8"/>
      <c r="ID30" s="8"/>
      <c r="IE30" s="7"/>
      <c r="IF30" s="7"/>
      <c r="IG30" s="8"/>
      <c r="IH30" s="8"/>
      <c r="II30" s="8"/>
      <c r="IJ30" s="8"/>
      <c r="IK30" s="8"/>
      <c r="IL30" s="7"/>
      <c r="IM30" s="7"/>
      <c r="IN30" s="8"/>
      <c r="IO30" s="8"/>
      <c r="IP30" s="8"/>
      <c r="IQ30" s="8"/>
      <c r="IR30" s="8"/>
      <c r="IS30" s="7"/>
      <c r="IT30" s="7"/>
      <c r="IU30" s="8"/>
      <c r="IV30" s="8"/>
      <c r="IW30" s="8"/>
      <c r="IX30" s="8"/>
      <c r="IY30" s="8"/>
      <c r="IZ30" s="7"/>
      <c r="JA30" s="7"/>
      <c r="JB30" s="8"/>
      <c r="JC30" s="25"/>
      <c r="JD30" s="8"/>
      <c r="JE30" s="8"/>
      <c r="JF30" s="8"/>
      <c r="JG30" s="7"/>
      <c r="JH30" s="7"/>
      <c r="JI30" s="8"/>
      <c r="JJ30" s="8"/>
      <c r="JK30" s="8"/>
      <c r="JL30" s="8"/>
      <c r="JM30" s="8"/>
      <c r="JN30" s="7"/>
      <c r="JO30" s="7"/>
      <c r="JP30" s="8"/>
      <c r="JQ30" s="8"/>
      <c r="JR30" s="8"/>
      <c r="JS30" s="8"/>
      <c r="JT30" s="25"/>
      <c r="JU30" s="7"/>
      <c r="JV30" s="7"/>
      <c r="JW30" s="8"/>
      <c r="JX30" s="8"/>
      <c r="JY30" s="8"/>
      <c r="JZ30" s="8"/>
      <c r="KA30" s="25"/>
      <c r="KB30" s="7"/>
      <c r="KC30" s="7"/>
      <c r="KD30" s="8"/>
      <c r="KE30" s="8"/>
      <c r="KF30" s="8"/>
      <c r="KG30" s="8"/>
      <c r="KH30" s="8"/>
      <c r="KI30" s="7"/>
      <c r="KJ30" s="7"/>
      <c r="KK30" s="8"/>
      <c r="KL30" s="8"/>
      <c r="KM30" s="8"/>
      <c r="KN30" s="8"/>
      <c r="KO30" s="8"/>
      <c r="KP30" s="7"/>
      <c r="KQ30" s="7"/>
      <c r="KR30" s="8"/>
      <c r="KS30" s="32"/>
      <c r="KT30" s="32"/>
      <c r="KU30" s="32"/>
      <c r="KV30" s="32"/>
      <c r="KW30" s="34"/>
      <c r="KX30" s="34"/>
      <c r="KY30" s="32"/>
      <c r="KZ30" s="32"/>
      <c r="LA30" s="32"/>
      <c r="LB30" s="32"/>
      <c r="LC30" s="32"/>
      <c r="LD30" s="34"/>
      <c r="LE30" s="34"/>
      <c r="LF30" s="32"/>
      <c r="LG30" s="32"/>
      <c r="LH30" s="32"/>
      <c r="LI30" s="32"/>
      <c r="LJ30" s="32"/>
      <c r="LK30" s="34"/>
      <c r="LL30" s="34"/>
      <c r="LM30" s="32"/>
      <c r="LN30" s="32"/>
      <c r="LO30" s="32"/>
      <c r="LP30" s="32"/>
      <c r="LQ30" s="32"/>
      <c r="LR30" s="34"/>
      <c r="LS30" s="34"/>
      <c r="LT30" s="32"/>
      <c r="LU30" s="32"/>
      <c r="LV30" s="32"/>
      <c r="LW30" s="32"/>
      <c r="LX30" s="32"/>
      <c r="LY30" s="34"/>
      <c r="LZ30" s="34"/>
      <c r="MA30" s="32"/>
      <c r="MB30" s="32"/>
      <c r="MC30" s="32"/>
      <c r="MD30" s="32"/>
      <c r="ME30" s="32"/>
      <c r="MF30" s="34"/>
      <c r="MG30" s="34"/>
      <c r="MH30" s="32"/>
      <c r="MI30" s="32"/>
      <c r="MJ30" s="32"/>
      <c r="MK30" s="32"/>
      <c r="ML30" s="32"/>
      <c r="MM30" s="34"/>
      <c r="MN30" s="34"/>
      <c r="MO30" s="32"/>
      <c r="MP30" s="32"/>
      <c r="MQ30" s="32"/>
      <c r="MR30" s="32"/>
      <c r="MS30" s="32"/>
      <c r="MT30" s="34"/>
      <c r="MU30" s="34"/>
      <c r="MV30" s="32"/>
      <c r="MW30" s="32"/>
      <c r="MX30" s="32"/>
      <c r="MY30" s="32"/>
      <c r="MZ30" s="32"/>
      <c r="NA30" s="34"/>
      <c r="NB30" s="34"/>
      <c r="NC30" s="35" t="s">
        <v>1</v>
      </c>
      <c r="ND30" s="35" t="s">
        <v>1</v>
      </c>
      <c r="NE30" s="35" t="s">
        <v>1</v>
      </c>
      <c r="NF30" s="35" t="s">
        <v>1</v>
      </c>
      <c r="NG30" s="35" t="s">
        <v>1</v>
      </c>
      <c r="NH30" s="34"/>
      <c r="NI30" s="34"/>
      <c r="NJ30" s="32"/>
      <c r="NK30" s="32"/>
      <c r="NL30" s="32"/>
    </row>
    <row r="31" spans="1:376" customFormat="1" ht="15.75" thickBot="1">
      <c r="A31" s="1"/>
      <c r="B31" s="29" t="s">
        <v>56</v>
      </c>
      <c r="C31" s="29" t="s">
        <v>30</v>
      </c>
      <c r="D31" s="29" t="s">
        <v>31</v>
      </c>
      <c r="E31" s="29">
        <v>0</v>
      </c>
      <c r="F31" s="29">
        <v>0</v>
      </c>
      <c r="G31" s="29">
        <v>0</v>
      </c>
      <c r="H31" s="29">
        <f t="shared" si="0"/>
        <v>0</v>
      </c>
      <c r="I31" s="30">
        <f t="shared" si="1"/>
        <v>0</v>
      </c>
      <c r="J31" s="30">
        <f t="shared" si="2"/>
        <v>0</v>
      </c>
      <c r="K31" s="30">
        <f t="shared" si="3"/>
        <v>0</v>
      </c>
      <c r="L31" s="28"/>
      <c r="M31" s="8"/>
      <c r="N31" s="8"/>
      <c r="O31" s="7"/>
      <c r="P31" s="7"/>
      <c r="Q31" s="8"/>
      <c r="R31" s="8"/>
      <c r="S31" s="8"/>
      <c r="T31" s="8"/>
      <c r="U31" s="7"/>
      <c r="V31" s="7"/>
      <c r="W31" s="7"/>
      <c r="X31" s="7"/>
      <c r="Y31" s="8"/>
      <c r="Z31" s="8"/>
      <c r="AA31" s="8"/>
      <c r="AB31" s="8"/>
      <c r="AC31" s="7"/>
      <c r="AD31" s="7"/>
      <c r="AE31" s="7"/>
      <c r="AF31" s="8"/>
      <c r="AG31" s="8"/>
      <c r="AH31" s="8"/>
      <c r="AI31" s="8"/>
      <c r="AJ31" s="7"/>
      <c r="AK31" s="7"/>
      <c r="AL31" s="8"/>
      <c r="AM31" s="8"/>
      <c r="AN31" s="8"/>
      <c r="AO31" s="8"/>
      <c r="AP31" s="7"/>
      <c r="AQ31" s="7"/>
      <c r="AR31" s="7"/>
      <c r="AS31" s="8"/>
      <c r="AT31" s="8"/>
      <c r="AU31" s="8"/>
      <c r="AV31" s="8"/>
      <c r="AW31" s="8"/>
      <c r="AX31" s="7"/>
      <c r="AY31" s="7"/>
      <c r="AZ31" s="8"/>
      <c r="BA31" s="8"/>
      <c r="BB31" s="8"/>
      <c r="BC31" s="8"/>
      <c r="BD31" s="8"/>
      <c r="BE31" s="7"/>
      <c r="BF31" s="7"/>
      <c r="BG31" s="8"/>
      <c r="BH31" s="8"/>
      <c r="BI31" s="8"/>
      <c r="BJ31" s="8"/>
      <c r="BK31" s="8"/>
      <c r="BL31" s="7"/>
      <c r="BM31" s="7"/>
      <c r="BN31" s="8"/>
      <c r="BO31" s="8"/>
      <c r="BP31" s="8"/>
      <c r="BQ31" s="8"/>
      <c r="BR31" s="8"/>
      <c r="BS31" s="7"/>
      <c r="BT31" s="7"/>
      <c r="BU31" s="8"/>
      <c r="BV31" s="8"/>
      <c r="BW31" s="8"/>
      <c r="BX31" s="8"/>
      <c r="BY31" s="8"/>
      <c r="BZ31" s="7"/>
      <c r="CA31" s="7"/>
      <c r="CB31" s="8"/>
      <c r="CC31" s="8"/>
      <c r="CD31" s="8"/>
      <c r="CE31" s="8"/>
      <c r="CF31" s="8"/>
      <c r="CG31" s="7"/>
      <c r="CH31" s="7"/>
      <c r="CI31" s="8"/>
      <c r="CJ31" s="8"/>
      <c r="CK31" s="8"/>
      <c r="CL31" s="8"/>
      <c r="CM31" s="8"/>
      <c r="CN31" s="7"/>
      <c r="CO31" s="7"/>
      <c r="CP31" s="8"/>
      <c r="CQ31" s="8"/>
      <c r="CR31" s="7"/>
      <c r="CS31" s="8"/>
      <c r="CT31" s="8"/>
      <c r="CU31" s="7"/>
      <c r="CV31" s="7"/>
      <c r="CW31" s="8"/>
      <c r="CX31" s="8"/>
      <c r="CY31" s="8"/>
      <c r="CZ31" s="8"/>
      <c r="DA31" s="8"/>
      <c r="DB31" s="7"/>
      <c r="DC31" s="7"/>
      <c r="DD31" s="8"/>
      <c r="DE31" s="8"/>
      <c r="DF31" s="8"/>
      <c r="DG31" s="8"/>
      <c r="DH31" s="8"/>
      <c r="DI31" s="7"/>
      <c r="DJ31" s="7"/>
      <c r="DK31" s="8"/>
      <c r="DL31" s="8"/>
      <c r="DM31" s="8"/>
      <c r="DN31" s="8"/>
      <c r="DO31" s="8"/>
      <c r="DP31" s="7"/>
      <c r="DQ31" s="7"/>
      <c r="DR31" s="8"/>
      <c r="DS31" s="8"/>
      <c r="DT31" s="8"/>
      <c r="DU31" s="8"/>
      <c r="DV31" s="8"/>
      <c r="DW31" s="7"/>
      <c r="DX31" s="7"/>
      <c r="DY31" s="8"/>
      <c r="DZ31" s="8"/>
      <c r="EA31" s="8"/>
      <c r="EB31" s="8"/>
      <c r="EC31" s="8"/>
      <c r="ED31" s="7"/>
      <c r="EE31" s="7"/>
      <c r="EF31" s="8"/>
      <c r="EG31" s="8"/>
      <c r="EH31" s="8"/>
      <c r="EI31" s="8"/>
      <c r="EJ31" s="8"/>
      <c r="EK31" s="7"/>
      <c r="EL31" s="7"/>
      <c r="EM31" s="8"/>
      <c r="EN31" s="8"/>
      <c r="EO31" s="8"/>
      <c r="EP31" s="8"/>
      <c r="EQ31" s="8"/>
      <c r="ER31" s="7"/>
      <c r="ES31" s="7"/>
      <c r="ET31" s="8"/>
      <c r="EU31" s="8"/>
      <c r="EV31" s="8"/>
      <c r="EW31" s="8"/>
      <c r="EX31" s="8"/>
      <c r="EY31" s="7"/>
      <c r="EZ31" s="7"/>
      <c r="FA31" s="8"/>
      <c r="FB31" s="8"/>
      <c r="FC31" s="8"/>
      <c r="FD31" s="8"/>
      <c r="FE31" s="8"/>
      <c r="FF31" s="7"/>
      <c r="FG31" s="7"/>
      <c r="FH31" s="8"/>
      <c r="FI31" s="8"/>
      <c r="FJ31" s="8"/>
      <c r="FK31" s="8"/>
      <c r="FL31" s="8"/>
      <c r="FM31" s="7"/>
      <c r="FN31" s="7"/>
      <c r="FO31" s="8"/>
      <c r="FP31" s="8"/>
      <c r="FQ31" s="8"/>
      <c r="FR31" s="8"/>
      <c r="FS31" s="8"/>
      <c r="FT31" s="7"/>
      <c r="FU31" s="7"/>
      <c r="FV31" s="8"/>
      <c r="FW31" s="8"/>
      <c r="FX31" s="8"/>
      <c r="FY31" s="8"/>
      <c r="FZ31" s="8"/>
      <c r="GA31" s="7"/>
      <c r="GB31" s="7"/>
      <c r="GC31" s="8"/>
      <c r="GD31" s="8"/>
      <c r="GE31" s="8"/>
      <c r="GF31" s="8"/>
      <c r="GG31" s="8"/>
      <c r="GH31" s="7"/>
      <c r="GI31" s="7"/>
      <c r="GJ31" s="8"/>
      <c r="GK31" s="8"/>
      <c r="GL31" s="8"/>
      <c r="GM31" s="8"/>
      <c r="GN31" s="8"/>
      <c r="GO31" s="7"/>
      <c r="GP31" s="7"/>
      <c r="GQ31" s="8"/>
      <c r="GR31" s="8"/>
      <c r="GS31" s="8"/>
      <c r="GT31" s="8"/>
      <c r="GU31" s="7"/>
      <c r="GV31" s="7"/>
      <c r="GW31" s="7"/>
      <c r="GX31" s="7"/>
      <c r="GY31" s="8"/>
      <c r="GZ31" s="8"/>
      <c r="HA31" s="8"/>
      <c r="HB31" s="8"/>
      <c r="HC31" s="7"/>
      <c r="HD31" s="7"/>
      <c r="HE31" s="8"/>
      <c r="HF31" s="8"/>
      <c r="HG31" s="8"/>
      <c r="HH31" s="8"/>
      <c r="HI31" s="8"/>
      <c r="HJ31" s="7"/>
      <c r="HK31" s="7"/>
      <c r="HL31" s="8"/>
      <c r="HM31" s="8"/>
      <c r="HN31" s="8"/>
      <c r="HO31" s="8"/>
      <c r="HP31" s="8"/>
      <c r="HQ31" s="7"/>
      <c r="HR31" s="7"/>
      <c r="HS31" s="8"/>
      <c r="HT31" s="8"/>
      <c r="HU31" s="8"/>
      <c r="HV31" s="8"/>
      <c r="HW31" s="8"/>
      <c r="HX31" s="7"/>
      <c r="HY31" s="7"/>
      <c r="HZ31" s="8"/>
      <c r="IA31" s="8"/>
      <c r="IB31" s="8"/>
      <c r="IC31" s="8"/>
      <c r="ID31" s="8"/>
      <c r="IE31" s="7"/>
      <c r="IF31" s="7"/>
      <c r="IG31" s="8"/>
      <c r="IH31" s="8"/>
      <c r="II31" s="8"/>
      <c r="IJ31" s="8"/>
      <c r="IK31" s="8"/>
      <c r="IL31" s="7"/>
      <c r="IM31" s="7"/>
      <c r="IN31" s="8"/>
      <c r="IO31" s="8"/>
      <c r="IP31" s="8"/>
      <c r="IQ31" s="8"/>
      <c r="IR31" s="8"/>
      <c r="IS31" s="7"/>
      <c r="IT31" s="7"/>
      <c r="IU31" s="8"/>
      <c r="IV31" s="8"/>
      <c r="IW31" s="8"/>
      <c r="IX31" s="8"/>
      <c r="IY31" s="8"/>
      <c r="IZ31" s="7"/>
      <c r="JA31" s="7"/>
      <c r="JB31" s="8"/>
      <c r="JC31" s="25"/>
      <c r="JD31" s="8"/>
      <c r="JE31" s="8"/>
      <c r="JF31" s="8"/>
      <c r="JG31" s="7"/>
      <c r="JH31" s="7"/>
      <c r="JI31" s="8"/>
      <c r="JJ31" s="8"/>
      <c r="JK31" s="8"/>
      <c r="JL31" s="8"/>
      <c r="JM31" s="8"/>
      <c r="JN31" s="7"/>
      <c r="JO31" s="7"/>
      <c r="JP31" s="8"/>
      <c r="JQ31" s="8"/>
      <c r="JR31" s="8"/>
      <c r="JS31" s="8"/>
      <c r="JT31" s="25"/>
      <c r="JU31" s="7"/>
      <c r="JV31" s="7"/>
      <c r="JW31" s="8"/>
      <c r="JX31" s="8"/>
      <c r="JY31" s="8"/>
      <c r="JZ31" s="8"/>
      <c r="KA31" s="25"/>
      <c r="KB31" s="7"/>
      <c r="KC31" s="7"/>
      <c r="KD31" s="8"/>
      <c r="KE31" s="8"/>
      <c r="KF31" s="8"/>
      <c r="KG31" s="8"/>
      <c r="KH31" s="8"/>
      <c r="KI31" s="7"/>
      <c r="KJ31" s="7"/>
      <c r="KK31" s="8"/>
      <c r="KL31" s="8"/>
      <c r="KM31" s="8"/>
      <c r="KN31" s="8"/>
      <c r="KO31" s="8"/>
      <c r="KP31" s="7"/>
      <c r="KQ31" s="7"/>
      <c r="KR31" s="8"/>
      <c r="KS31" s="8"/>
      <c r="KT31" s="8"/>
      <c r="KU31" s="8"/>
      <c r="KV31" s="8"/>
      <c r="KW31" s="7"/>
      <c r="KX31" s="7"/>
      <c r="KY31" s="8"/>
      <c r="KZ31" s="8"/>
      <c r="LA31" s="8"/>
      <c r="LB31" s="8"/>
      <c r="LC31" s="8"/>
      <c r="LD31" s="7"/>
      <c r="LE31" s="7"/>
      <c r="LF31" s="8"/>
      <c r="LG31" s="8"/>
      <c r="LH31" s="8"/>
      <c r="LI31" s="8"/>
      <c r="LJ31" s="8"/>
      <c r="LK31" s="7"/>
      <c r="LL31" s="7"/>
      <c r="LM31" s="8"/>
      <c r="LN31" s="8"/>
      <c r="LO31" s="8"/>
      <c r="LP31" s="8"/>
      <c r="LQ31" s="8"/>
      <c r="LR31" s="7"/>
      <c r="LS31" s="7"/>
      <c r="LT31" s="8"/>
      <c r="LU31" s="8"/>
      <c r="LV31" s="8"/>
      <c r="LW31" s="8"/>
      <c r="LX31" s="8"/>
      <c r="LY31" s="7"/>
      <c r="LZ31" s="7"/>
      <c r="MA31" s="8"/>
      <c r="MB31" s="8"/>
      <c r="MC31" s="8"/>
      <c r="MD31" s="8"/>
      <c r="ME31" s="8"/>
      <c r="MF31" s="7"/>
      <c r="MG31" s="7"/>
      <c r="MH31" s="8"/>
      <c r="MI31" s="8"/>
      <c r="MJ31" s="8"/>
      <c r="MK31" s="8"/>
      <c r="ML31" s="8"/>
      <c r="MM31" s="7"/>
      <c r="MN31" s="7"/>
      <c r="MO31" s="8"/>
      <c r="MP31" s="8"/>
      <c r="MQ31" s="8"/>
      <c r="MR31" s="8"/>
      <c r="MS31" s="8"/>
      <c r="MT31" s="7"/>
      <c r="MU31" s="7"/>
      <c r="MV31" s="8"/>
      <c r="MW31" s="8"/>
      <c r="MX31" s="8"/>
      <c r="MY31" s="8"/>
      <c r="MZ31" s="8"/>
      <c r="NA31" s="7"/>
      <c r="NB31" s="7"/>
      <c r="NC31" s="8"/>
      <c r="ND31" s="8"/>
      <c r="NE31" s="8"/>
      <c r="NF31" s="8"/>
      <c r="NG31" s="8"/>
      <c r="NH31" s="7"/>
      <c r="NI31" s="7"/>
      <c r="NJ31" s="8"/>
      <c r="NK31" s="8"/>
      <c r="NL31" s="8"/>
    </row>
    <row r="32" spans="1:376" customFormat="1" ht="15" customHeight="1" thickBot="1">
      <c r="A32" s="1"/>
      <c r="B32" s="29" t="s">
        <v>57</v>
      </c>
      <c r="C32" s="29" t="s">
        <v>36</v>
      </c>
      <c r="D32" s="29" t="s">
        <v>58</v>
      </c>
      <c r="E32" s="29">
        <v>0</v>
      </c>
      <c r="F32" s="29">
        <v>7</v>
      </c>
      <c r="G32" s="29">
        <v>0</v>
      </c>
      <c r="H32" s="29">
        <f t="shared" si="0"/>
        <v>0</v>
      </c>
      <c r="I32" s="30">
        <f t="shared" si="1"/>
        <v>0</v>
      </c>
      <c r="J32" s="30">
        <f t="shared" si="2"/>
        <v>0</v>
      </c>
      <c r="K32" s="30">
        <f t="shared" si="3"/>
        <v>0</v>
      </c>
      <c r="L32" s="28"/>
      <c r="M32" s="8"/>
      <c r="N32" s="8"/>
      <c r="O32" s="7"/>
      <c r="P32" s="7"/>
      <c r="Q32" s="8"/>
      <c r="R32" s="8"/>
      <c r="S32" s="8"/>
      <c r="T32" s="8"/>
      <c r="U32" s="7"/>
      <c r="V32" s="7"/>
      <c r="W32" s="7"/>
      <c r="X32" s="7"/>
      <c r="Y32" s="8"/>
      <c r="Z32" s="8"/>
      <c r="AA32" s="8"/>
      <c r="AB32" s="8"/>
      <c r="AC32" s="7"/>
      <c r="AD32" s="7"/>
      <c r="AE32" s="7"/>
      <c r="AF32" s="8"/>
      <c r="AG32" s="8"/>
      <c r="AH32" s="8"/>
      <c r="AI32" s="8"/>
      <c r="AJ32" s="7"/>
      <c r="AK32" s="7"/>
      <c r="AL32" s="8"/>
      <c r="AM32" s="8"/>
      <c r="AN32" s="8"/>
      <c r="AO32" s="8"/>
      <c r="AP32" s="7"/>
      <c r="AQ32" s="7"/>
      <c r="AR32" s="7"/>
      <c r="AS32" s="8"/>
      <c r="AT32" s="8"/>
      <c r="AU32" s="8"/>
      <c r="AV32" s="8"/>
      <c r="AW32" s="8"/>
      <c r="AX32" s="7"/>
      <c r="AY32" s="7"/>
      <c r="AZ32" s="8"/>
      <c r="BA32" s="8"/>
      <c r="BB32" s="8"/>
      <c r="BC32" s="8"/>
      <c r="BD32" s="8"/>
      <c r="BE32" s="7"/>
      <c r="BF32" s="7"/>
      <c r="BG32" s="8"/>
      <c r="BH32" s="8"/>
      <c r="BI32" s="8"/>
      <c r="BJ32" s="8"/>
      <c r="BK32" s="8"/>
      <c r="BL32" s="7"/>
      <c r="BM32" s="7"/>
      <c r="BN32" s="8"/>
      <c r="BO32" s="8"/>
      <c r="BP32" s="8"/>
      <c r="BQ32" s="8"/>
      <c r="BR32" s="8"/>
      <c r="BS32" s="7"/>
      <c r="BT32" s="7"/>
      <c r="BU32" s="8"/>
      <c r="BV32" s="8"/>
      <c r="BW32" s="8"/>
      <c r="BX32" s="8"/>
      <c r="BY32" s="8"/>
      <c r="BZ32" s="7"/>
      <c r="CA32" s="7"/>
      <c r="CB32" s="8"/>
      <c r="CC32" s="8"/>
      <c r="CD32" s="8"/>
      <c r="CE32" s="8"/>
      <c r="CF32" s="8"/>
      <c r="CG32" s="7"/>
      <c r="CH32" s="7"/>
      <c r="CI32" s="8"/>
      <c r="CJ32" s="8"/>
      <c r="CK32" s="8"/>
      <c r="CL32" s="8"/>
      <c r="CM32" s="8"/>
      <c r="CN32" s="7"/>
      <c r="CO32" s="7"/>
      <c r="CP32" s="8"/>
      <c r="CQ32" s="8"/>
      <c r="CR32" s="7"/>
      <c r="CS32" s="8"/>
      <c r="CT32" s="8"/>
      <c r="CU32" s="7"/>
      <c r="CV32" s="7"/>
      <c r="CW32" s="8"/>
      <c r="CX32" s="8"/>
      <c r="CY32" s="8"/>
      <c r="CZ32" s="8"/>
      <c r="DA32" s="8"/>
      <c r="DB32" s="7"/>
      <c r="DC32" s="7"/>
      <c r="DD32" s="8"/>
      <c r="DE32" s="8"/>
      <c r="DF32" s="8"/>
      <c r="DG32" s="8"/>
      <c r="DH32" s="8"/>
      <c r="DI32" s="7"/>
      <c r="DJ32" s="7"/>
      <c r="DK32" s="8"/>
      <c r="DL32" s="8"/>
      <c r="DM32" s="8"/>
      <c r="DN32" s="8"/>
      <c r="DO32" s="8"/>
      <c r="DP32" s="7"/>
      <c r="DQ32" s="7"/>
      <c r="DR32" s="8"/>
      <c r="DS32" s="8"/>
      <c r="DT32" s="8"/>
      <c r="DU32" s="8"/>
      <c r="DV32" s="8"/>
      <c r="DW32" s="7"/>
      <c r="DX32" s="7"/>
      <c r="DY32" s="8"/>
      <c r="DZ32" s="8"/>
      <c r="EA32" s="8"/>
      <c r="EB32" s="8"/>
      <c r="EC32" s="8"/>
      <c r="ED32" s="7"/>
      <c r="EE32" s="7"/>
      <c r="EF32" s="8"/>
      <c r="EG32" s="8"/>
      <c r="EH32" s="8"/>
      <c r="EI32" s="8"/>
      <c r="EJ32" s="8"/>
      <c r="EK32" s="7"/>
      <c r="EL32" s="7"/>
      <c r="EM32" s="8"/>
      <c r="EN32" s="8"/>
      <c r="EO32" s="8"/>
      <c r="EP32" s="8"/>
      <c r="EQ32" s="8"/>
      <c r="ER32" s="7"/>
      <c r="ES32" s="7"/>
      <c r="ET32" s="8"/>
      <c r="EU32" s="8"/>
      <c r="EV32" s="8"/>
      <c r="EW32" s="8"/>
      <c r="EX32" s="8"/>
      <c r="EY32" s="7"/>
      <c r="EZ32" s="7"/>
      <c r="FA32" s="8"/>
      <c r="FB32" s="8"/>
      <c r="FC32" s="8"/>
      <c r="FD32" s="8"/>
      <c r="FE32" s="8"/>
      <c r="FF32" s="7"/>
      <c r="FG32" s="7"/>
      <c r="FH32" s="8"/>
      <c r="FI32" s="8"/>
      <c r="FJ32" s="8"/>
      <c r="FK32" s="8"/>
      <c r="FL32" s="8"/>
      <c r="FM32" s="7"/>
      <c r="FN32" s="7"/>
      <c r="FO32" s="8"/>
      <c r="FP32" s="8"/>
      <c r="FQ32" s="8"/>
      <c r="FR32" s="8"/>
      <c r="FS32" s="8"/>
      <c r="FT32" s="7"/>
      <c r="FU32" s="7"/>
      <c r="FV32" s="8"/>
      <c r="FW32" s="8"/>
      <c r="FX32" s="8"/>
      <c r="FY32" s="8"/>
      <c r="FZ32" s="8"/>
      <c r="GA32" s="7"/>
      <c r="GB32" s="7"/>
      <c r="GC32" s="8"/>
      <c r="GD32" s="8"/>
      <c r="GE32" s="8"/>
      <c r="GF32" s="8"/>
      <c r="GG32" s="8"/>
      <c r="GH32" s="7"/>
      <c r="GI32" s="7"/>
      <c r="GJ32" s="8"/>
      <c r="GK32" s="8"/>
      <c r="GL32" s="8"/>
      <c r="GM32" s="8"/>
      <c r="GN32" s="8"/>
      <c r="GO32" s="7"/>
      <c r="GP32" s="7"/>
      <c r="GQ32" s="8"/>
      <c r="GR32" s="8"/>
      <c r="GS32" s="8"/>
      <c r="GT32" s="8"/>
      <c r="GU32" s="7"/>
      <c r="GV32" s="7"/>
      <c r="GW32" s="7"/>
      <c r="GX32" s="7"/>
      <c r="GY32" s="8"/>
      <c r="GZ32" s="8"/>
      <c r="HA32" s="8"/>
      <c r="HB32" s="8"/>
      <c r="HC32" s="7"/>
      <c r="HD32" s="7"/>
      <c r="HE32" s="8"/>
      <c r="HF32" s="8"/>
      <c r="HG32" s="8"/>
      <c r="HH32" s="8"/>
      <c r="HI32" s="8"/>
      <c r="HJ32" s="7"/>
      <c r="HK32" s="7"/>
      <c r="HL32" s="8"/>
      <c r="HM32" s="8"/>
      <c r="HN32" s="8"/>
      <c r="HO32" s="8"/>
      <c r="HP32" s="8"/>
      <c r="HQ32" s="7"/>
      <c r="HR32" s="7"/>
      <c r="HS32" s="8"/>
      <c r="HT32" s="8"/>
      <c r="HU32" s="8"/>
      <c r="HV32" s="8"/>
      <c r="HW32" s="8"/>
      <c r="HX32" s="7"/>
      <c r="HY32" s="7"/>
      <c r="HZ32" s="8"/>
      <c r="IA32" s="8"/>
      <c r="IB32" s="8"/>
      <c r="IC32" s="8"/>
      <c r="ID32" s="8"/>
      <c r="IE32" s="7"/>
      <c r="IF32" s="7"/>
      <c r="IG32" s="8"/>
      <c r="IH32" s="8"/>
      <c r="II32" s="8"/>
      <c r="IJ32" s="8"/>
      <c r="IK32" s="8"/>
      <c r="IL32" s="7"/>
      <c r="IM32" s="7"/>
      <c r="IN32" s="8"/>
      <c r="IO32" s="8"/>
      <c r="IP32" s="8"/>
      <c r="IQ32" s="8"/>
      <c r="IR32" s="8"/>
      <c r="IS32" s="7"/>
      <c r="IT32" s="7"/>
      <c r="IU32" s="8"/>
      <c r="IV32" s="8"/>
      <c r="IW32" s="8"/>
      <c r="IX32" s="8"/>
      <c r="IY32" s="8"/>
      <c r="IZ32" s="7"/>
      <c r="JA32" s="7"/>
      <c r="JB32" s="15" t="s">
        <v>1</v>
      </c>
      <c r="JC32" s="25"/>
      <c r="JD32" s="8"/>
      <c r="JE32" s="8"/>
      <c r="JF32" s="8"/>
      <c r="JG32" s="7"/>
      <c r="JH32" s="7"/>
      <c r="JI32" s="8"/>
      <c r="JJ32" s="8"/>
      <c r="JK32" s="8"/>
      <c r="JL32" s="8"/>
      <c r="JM32" s="8"/>
      <c r="JN32" s="7"/>
      <c r="JO32" s="7"/>
      <c r="JP32" s="8"/>
      <c r="JQ32" s="8"/>
      <c r="JR32" s="8"/>
      <c r="JS32" s="26"/>
      <c r="JT32" s="25"/>
      <c r="JU32" s="7"/>
      <c r="JV32" s="7"/>
      <c r="JW32" s="15" t="s">
        <v>1</v>
      </c>
      <c r="JX32" s="15" t="s">
        <v>1</v>
      </c>
      <c r="JY32" s="15" t="s">
        <v>1</v>
      </c>
      <c r="JZ32" s="26"/>
      <c r="KA32" s="25"/>
      <c r="KB32" s="7"/>
      <c r="KC32" s="7"/>
      <c r="KD32" s="15" t="s">
        <v>1</v>
      </c>
      <c r="KE32" s="15" t="s">
        <v>1</v>
      </c>
      <c r="KF32" s="26"/>
      <c r="KG32" s="15" t="s">
        <v>1</v>
      </c>
      <c r="KH32" s="8"/>
      <c r="KI32" s="7"/>
      <c r="KJ32" s="7"/>
      <c r="KK32" s="8"/>
      <c r="KL32" s="8"/>
      <c r="KM32" s="8"/>
      <c r="KN32" s="8"/>
      <c r="KO32" s="8"/>
      <c r="KP32" s="7"/>
      <c r="KQ32" s="7"/>
      <c r="KR32" s="8"/>
      <c r="KS32" s="8"/>
      <c r="KT32" s="8"/>
      <c r="KU32" s="8"/>
      <c r="KV32" s="26"/>
      <c r="KW32" s="7"/>
      <c r="KX32" s="7"/>
      <c r="KY32" s="8"/>
      <c r="KZ32" s="8"/>
      <c r="LA32" s="8"/>
      <c r="LB32" s="8"/>
      <c r="LC32" s="8"/>
      <c r="LD32" s="7"/>
      <c r="LE32" s="7"/>
      <c r="LF32" s="8"/>
      <c r="LG32" s="8"/>
      <c r="LH32" s="8"/>
      <c r="LI32" s="8"/>
      <c r="LJ32" s="8"/>
      <c r="LK32" s="7"/>
      <c r="LL32" s="7"/>
      <c r="LM32" s="8"/>
      <c r="LN32" s="8"/>
      <c r="LO32" s="8"/>
      <c r="LP32" s="8"/>
      <c r="LQ32" s="8"/>
      <c r="LR32" s="7"/>
      <c r="LS32" s="7"/>
      <c r="LT32" s="8"/>
      <c r="LU32" s="8"/>
      <c r="LV32" s="8"/>
      <c r="LW32" s="8"/>
      <c r="LX32" s="8"/>
      <c r="LY32" s="7"/>
      <c r="LZ32" s="7"/>
      <c r="MA32" s="8"/>
      <c r="MB32" s="8"/>
      <c r="MC32" s="8"/>
      <c r="MD32" s="8"/>
      <c r="ME32" s="8"/>
      <c r="MF32" s="7"/>
      <c r="MG32" s="7"/>
      <c r="MH32" s="8"/>
      <c r="MI32" s="8"/>
      <c r="MJ32" s="8"/>
      <c r="MK32" s="8"/>
      <c r="ML32" s="8"/>
      <c r="MM32" s="7"/>
      <c r="MN32" s="7"/>
      <c r="MO32" s="8"/>
      <c r="MP32" s="8"/>
      <c r="MQ32" s="8"/>
      <c r="MR32" s="8"/>
      <c r="MS32" s="8"/>
      <c r="MT32" s="7"/>
      <c r="MU32" s="7"/>
      <c r="MV32" s="8"/>
      <c r="MW32" s="8"/>
      <c r="MX32" s="8"/>
      <c r="MY32" s="8"/>
      <c r="MZ32" s="26"/>
      <c r="NA32" s="7"/>
      <c r="NB32" s="7"/>
      <c r="NC32" s="8"/>
      <c r="ND32" s="8"/>
      <c r="NE32" s="8"/>
      <c r="NF32" s="8"/>
      <c r="NG32" s="8"/>
      <c r="NH32" s="7"/>
      <c r="NI32" s="7"/>
      <c r="NJ32" s="8"/>
      <c r="NK32" s="8"/>
      <c r="NL32" s="8"/>
    </row>
    <row r="33" spans="1:376" customFormat="1" ht="15" customHeight="1" thickBot="1">
      <c r="A33" s="1"/>
      <c r="B33" s="29" t="s">
        <v>59</v>
      </c>
      <c r="C33" s="29" t="s">
        <v>30</v>
      </c>
      <c r="D33" s="29" t="s">
        <v>60</v>
      </c>
      <c r="E33" s="29">
        <v>0</v>
      </c>
      <c r="F33" s="29">
        <v>13</v>
      </c>
      <c r="G33" s="29">
        <v>0</v>
      </c>
      <c r="H33" s="29">
        <f t="shared" si="0"/>
        <v>0</v>
      </c>
      <c r="I33" s="30">
        <f t="shared" si="1"/>
        <v>0</v>
      </c>
      <c r="J33" s="30">
        <f t="shared" si="2"/>
        <v>0</v>
      </c>
      <c r="K33" s="30">
        <f t="shared" si="3"/>
        <v>0</v>
      </c>
      <c r="L33" s="28"/>
      <c r="M33" s="8"/>
      <c r="N33" s="8"/>
      <c r="O33" s="7"/>
      <c r="P33" s="7"/>
      <c r="Q33" s="8"/>
      <c r="R33" s="8"/>
      <c r="S33" s="8"/>
      <c r="T33" s="8"/>
      <c r="U33" s="7"/>
      <c r="V33" s="7"/>
      <c r="W33" s="7"/>
      <c r="X33" s="7"/>
      <c r="Y33" s="8"/>
      <c r="Z33" s="8"/>
      <c r="AA33" s="8"/>
      <c r="AB33" s="8"/>
      <c r="AC33" s="7"/>
      <c r="AD33" s="7"/>
      <c r="AE33" s="7"/>
      <c r="AF33" s="8"/>
      <c r="AG33" s="8"/>
      <c r="AH33" s="8"/>
      <c r="AI33" s="8"/>
      <c r="AJ33" s="7"/>
      <c r="AK33" s="7"/>
      <c r="AL33" s="8"/>
      <c r="AM33" s="8"/>
      <c r="AN33" s="8"/>
      <c r="AO33" s="8"/>
      <c r="AP33" s="7"/>
      <c r="AQ33" s="7"/>
      <c r="AR33" s="7"/>
      <c r="AS33" s="8"/>
      <c r="AT33" s="8"/>
      <c r="AU33" s="8"/>
      <c r="AV33" s="8"/>
      <c r="AW33" s="8"/>
      <c r="AX33" s="7"/>
      <c r="AY33" s="7"/>
      <c r="AZ33" s="8"/>
      <c r="BA33" s="8"/>
      <c r="BB33" s="8"/>
      <c r="BC33" s="8"/>
      <c r="BD33" s="8"/>
      <c r="BE33" s="7"/>
      <c r="BF33" s="7"/>
      <c r="BG33" s="8"/>
      <c r="BH33" s="8"/>
      <c r="BI33" s="8"/>
      <c r="BJ33" s="8"/>
      <c r="BK33" s="8"/>
      <c r="BL33" s="7"/>
      <c r="BM33" s="7"/>
      <c r="BN33" s="8"/>
      <c r="BO33" s="8"/>
      <c r="BP33" s="8"/>
      <c r="BQ33" s="8"/>
      <c r="BR33" s="8"/>
      <c r="BS33" s="7"/>
      <c r="BT33" s="7"/>
      <c r="BU33" s="8"/>
      <c r="BV33" s="8"/>
      <c r="BW33" s="8"/>
      <c r="BX33" s="8"/>
      <c r="BY33" s="8"/>
      <c r="BZ33" s="7"/>
      <c r="CA33" s="7"/>
      <c r="CB33" s="8"/>
      <c r="CC33" s="8"/>
      <c r="CD33" s="8"/>
      <c r="CE33" s="8"/>
      <c r="CF33" s="8"/>
      <c r="CG33" s="7"/>
      <c r="CH33" s="7"/>
      <c r="CI33" s="8"/>
      <c r="CJ33" s="8"/>
      <c r="CK33" s="8"/>
      <c r="CL33" s="8"/>
      <c r="CM33" s="8"/>
      <c r="CN33" s="7"/>
      <c r="CO33" s="7"/>
      <c r="CP33" s="8"/>
      <c r="CQ33" s="8"/>
      <c r="CR33" s="7"/>
      <c r="CS33" s="8"/>
      <c r="CT33" s="8"/>
      <c r="CU33" s="7"/>
      <c r="CV33" s="7"/>
      <c r="CW33" s="8"/>
      <c r="CX33" s="8"/>
      <c r="CY33" s="8"/>
      <c r="CZ33" s="8"/>
      <c r="DA33" s="8"/>
      <c r="DB33" s="7"/>
      <c r="DC33" s="7"/>
      <c r="DD33" s="8"/>
      <c r="DE33" s="8"/>
      <c r="DF33" s="8"/>
      <c r="DG33" s="8"/>
      <c r="DH33" s="8"/>
      <c r="DI33" s="7"/>
      <c r="DJ33" s="7"/>
      <c r="DK33" s="8"/>
      <c r="DL33" s="8"/>
      <c r="DM33" s="8"/>
      <c r="DN33" s="8"/>
      <c r="DO33" s="8"/>
      <c r="DP33" s="7"/>
      <c r="DQ33" s="7"/>
      <c r="DR33" s="8"/>
      <c r="DS33" s="8"/>
      <c r="DT33" s="8"/>
      <c r="DU33" s="8"/>
      <c r="DV33" s="8"/>
      <c r="DW33" s="7"/>
      <c r="DX33" s="7"/>
      <c r="DY33" s="8"/>
      <c r="DZ33" s="8"/>
      <c r="EA33" s="8"/>
      <c r="EB33" s="8"/>
      <c r="EC33" s="8"/>
      <c r="ED33" s="7"/>
      <c r="EE33" s="7"/>
      <c r="EF33" s="8"/>
      <c r="EG33" s="8"/>
      <c r="EH33" s="8"/>
      <c r="EI33" s="8"/>
      <c r="EJ33" s="8"/>
      <c r="EK33" s="7"/>
      <c r="EL33" s="7"/>
      <c r="EM33" s="8"/>
      <c r="EN33" s="8"/>
      <c r="EO33" s="8"/>
      <c r="EP33" s="8"/>
      <c r="EQ33" s="8"/>
      <c r="ER33" s="7"/>
      <c r="ES33" s="7"/>
      <c r="ET33" s="8"/>
      <c r="EU33" s="8"/>
      <c r="EV33" s="8"/>
      <c r="EW33" s="8"/>
      <c r="EX33" s="8"/>
      <c r="EY33" s="7"/>
      <c r="EZ33" s="7"/>
      <c r="FA33" s="8"/>
      <c r="FB33" s="8"/>
      <c r="FC33" s="8"/>
      <c r="FD33" s="8"/>
      <c r="FE33" s="8"/>
      <c r="FF33" s="7"/>
      <c r="FG33" s="7"/>
      <c r="FH33" s="8"/>
      <c r="FI33" s="8"/>
      <c r="FJ33" s="8"/>
      <c r="FK33" s="8"/>
      <c r="FL33" s="8"/>
      <c r="FM33" s="7"/>
      <c r="FN33" s="7"/>
      <c r="FO33" s="8"/>
      <c r="FP33" s="8"/>
      <c r="FQ33" s="8"/>
      <c r="FR33" s="8"/>
      <c r="FS33" s="8"/>
      <c r="FT33" s="7"/>
      <c r="FU33" s="7"/>
      <c r="FV33" s="8"/>
      <c r="FW33" s="8"/>
      <c r="FX33" s="8"/>
      <c r="FY33" s="8"/>
      <c r="FZ33" s="8"/>
      <c r="GA33" s="7"/>
      <c r="GB33" s="7"/>
      <c r="GC33" s="8"/>
      <c r="GD33" s="8"/>
      <c r="GE33" s="8"/>
      <c r="GF33" s="8"/>
      <c r="GG33" s="8"/>
      <c r="GH33" s="7"/>
      <c r="GI33" s="7"/>
      <c r="GJ33" s="8"/>
      <c r="GK33" s="8"/>
      <c r="GL33" s="8"/>
      <c r="GM33" s="8"/>
      <c r="GN33" s="8"/>
      <c r="GO33" s="7"/>
      <c r="GP33" s="7"/>
      <c r="GQ33" s="8"/>
      <c r="GR33" s="8"/>
      <c r="GS33" s="8"/>
      <c r="GT33" s="8"/>
      <c r="GU33" s="7"/>
      <c r="GV33" s="7"/>
      <c r="GW33" s="7"/>
      <c r="GX33" s="7"/>
      <c r="GY33" s="8"/>
      <c r="GZ33" s="8"/>
      <c r="HA33" s="8"/>
      <c r="HB33" s="8"/>
      <c r="HC33" s="7"/>
      <c r="HD33" s="7"/>
      <c r="HE33" s="8"/>
      <c r="HF33" s="8"/>
      <c r="HG33" s="8"/>
      <c r="HH33" s="8"/>
      <c r="HI33" s="8"/>
      <c r="HJ33" s="7"/>
      <c r="HK33" s="7"/>
      <c r="HL33" s="8"/>
      <c r="HM33" s="8"/>
      <c r="HN33" s="8"/>
      <c r="HO33" s="8"/>
      <c r="HP33" s="8"/>
      <c r="HQ33" s="7"/>
      <c r="HR33" s="7"/>
      <c r="HS33" s="8"/>
      <c r="HT33" s="8"/>
      <c r="HU33" s="8"/>
      <c r="HV33" s="8"/>
      <c r="HW33" s="8"/>
      <c r="HX33" s="7"/>
      <c r="HY33" s="7"/>
      <c r="HZ33" s="8"/>
      <c r="IA33" s="8"/>
      <c r="IB33" s="8"/>
      <c r="IC33" s="8"/>
      <c r="ID33" s="8"/>
      <c r="IE33" s="7"/>
      <c r="IF33" s="7"/>
      <c r="IG33" s="8"/>
      <c r="IH33" s="8"/>
      <c r="II33" s="8"/>
      <c r="IJ33" s="8"/>
      <c r="IK33" s="8"/>
      <c r="IL33" s="7"/>
      <c r="IM33" s="7"/>
      <c r="IN33" s="8"/>
      <c r="IO33" s="8"/>
      <c r="IP33" s="8"/>
      <c r="IQ33" s="8"/>
      <c r="IR33" s="8"/>
      <c r="IS33" s="7"/>
      <c r="IT33" s="7"/>
      <c r="IU33" s="8"/>
      <c r="IV33" s="8"/>
      <c r="IW33" s="8"/>
      <c r="IX33" s="8"/>
      <c r="IY33" s="8"/>
      <c r="IZ33" s="7"/>
      <c r="JA33" s="7"/>
      <c r="JB33" s="8"/>
      <c r="JC33" s="25"/>
      <c r="JD33" s="8"/>
      <c r="JE33" s="8"/>
      <c r="JF33" s="8"/>
      <c r="JG33" s="7"/>
      <c r="JH33" s="7"/>
      <c r="JI33" s="8"/>
      <c r="JJ33" s="8"/>
      <c r="JK33" s="8"/>
      <c r="JL33" s="8"/>
      <c r="JM33" s="8"/>
      <c r="JN33" s="7"/>
      <c r="JO33" s="7"/>
      <c r="JP33" s="8"/>
      <c r="JQ33" s="8"/>
      <c r="JR33" s="8"/>
      <c r="JS33" s="8"/>
      <c r="JT33" s="25"/>
      <c r="JU33" s="7"/>
      <c r="JV33" s="7"/>
      <c r="JW33" s="8"/>
      <c r="JX33" s="8"/>
      <c r="JY33" s="8"/>
      <c r="JZ33" s="8"/>
      <c r="KA33" s="25"/>
      <c r="KB33" s="7"/>
      <c r="KC33" s="7"/>
      <c r="KD33" s="8"/>
      <c r="KE33" s="8"/>
      <c r="KF33" s="8"/>
      <c r="KG33" s="8"/>
      <c r="KH33" s="8"/>
      <c r="KI33" s="7"/>
      <c r="KJ33" s="7"/>
      <c r="KK33" s="8"/>
      <c r="KL33" s="8"/>
      <c r="KM33" s="8"/>
      <c r="KN33" s="8"/>
      <c r="KO33" s="8"/>
      <c r="KP33" s="7"/>
      <c r="KQ33" s="7"/>
      <c r="KR33" s="8"/>
      <c r="KS33" s="8"/>
      <c r="KT33" s="8"/>
      <c r="KU33" s="8"/>
      <c r="KV33" s="8"/>
      <c r="KW33" s="7"/>
      <c r="KX33" s="7"/>
      <c r="KY33" s="8"/>
      <c r="KZ33" s="8"/>
      <c r="LA33" s="8"/>
      <c r="LB33" s="8"/>
      <c r="LC33" s="8"/>
      <c r="LD33" s="7"/>
      <c r="LE33" s="7"/>
      <c r="LF33" s="8"/>
      <c r="LG33" s="8"/>
      <c r="LH33" s="8"/>
      <c r="LI33" s="8"/>
      <c r="LJ33" s="8"/>
      <c r="LK33" s="7"/>
      <c r="LL33" s="7"/>
      <c r="LM33" s="8"/>
      <c r="LN33" s="8"/>
      <c r="LO33" s="8"/>
      <c r="LP33" s="8"/>
      <c r="LQ33" s="15" t="s">
        <v>1</v>
      </c>
      <c r="LR33" s="7"/>
      <c r="LS33" s="7"/>
      <c r="LT33" s="15" t="s">
        <v>1</v>
      </c>
      <c r="LU33" s="15" t="s">
        <v>1</v>
      </c>
      <c r="LV33" s="15" t="s">
        <v>1</v>
      </c>
      <c r="LW33" s="15" t="s">
        <v>1</v>
      </c>
      <c r="LX33" s="15" t="s">
        <v>1</v>
      </c>
      <c r="LY33" s="7"/>
      <c r="LZ33" s="7"/>
      <c r="MA33" s="15" t="s">
        <v>1</v>
      </c>
      <c r="MB33" s="15" t="s">
        <v>1</v>
      </c>
      <c r="MC33" s="15" t="s">
        <v>1</v>
      </c>
      <c r="MD33" s="15" t="s">
        <v>1</v>
      </c>
      <c r="ME33" s="15" t="s">
        <v>1</v>
      </c>
      <c r="MF33" s="7"/>
      <c r="MG33" s="7"/>
      <c r="MH33" s="15" t="s">
        <v>1</v>
      </c>
      <c r="MI33" s="15" t="s">
        <v>1</v>
      </c>
      <c r="MJ33" s="8"/>
      <c r="MK33" s="8"/>
      <c r="ML33" s="8"/>
      <c r="MM33" s="7"/>
      <c r="MN33" s="7"/>
      <c r="MO33" s="8"/>
      <c r="MP33" s="8"/>
      <c r="MQ33" s="8"/>
      <c r="MR33" s="8"/>
      <c r="MS33" s="8"/>
      <c r="MT33" s="7"/>
      <c r="MU33" s="7"/>
      <c r="MV33" s="8"/>
      <c r="MW33" s="8"/>
      <c r="MX33" s="8"/>
      <c r="MY33" s="8"/>
      <c r="MZ33" s="8"/>
      <c r="NA33" s="7"/>
      <c r="NB33" s="7"/>
      <c r="NC33" s="8"/>
      <c r="ND33" s="8"/>
      <c r="NE33" s="8"/>
      <c r="NF33" s="8"/>
      <c r="NG33" s="8"/>
      <c r="NH33" s="7"/>
      <c r="NI33" s="7"/>
      <c r="NJ33" s="8"/>
      <c r="NK33" s="8"/>
      <c r="NL33" s="8"/>
    </row>
    <row r="34" spans="1:376" customFormat="1" ht="15" customHeight="1">
      <c r="A34" s="1"/>
      <c r="B34" s="29" t="s">
        <v>61</v>
      </c>
      <c r="C34" s="29" t="s">
        <v>30</v>
      </c>
      <c r="D34" s="29" t="s">
        <v>58</v>
      </c>
      <c r="E34" s="29">
        <v>0</v>
      </c>
      <c r="F34" s="29">
        <v>15</v>
      </c>
      <c r="G34" s="29">
        <v>0</v>
      </c>
      <c r="H34" s="29">
        <f t="shared" si="0"/>
        <v>0</v>
      </c>
      <c r="I34" s="30">
        <f t="shared" si="1"/>
        <v>0</v>
      </c>
      <c r="J34" s="30">
        <f t="shared" si="2"/>
        <v>0</v>
      </c>
      <c r="K34" s="30">
        <f t="shared" si="3"/>
        <v>0</v>
      </c>
      <c r="L34" s="28"/>
      <c r="M34" s="8"/>
      <c r="N34" s="8"/>
      <c r="O34" s="7"/>
      <c r="P34" s="7"/>
      <c r="Q34" s="8"/>
      <c r="R34" s="8"/>
      <c r="S34" s="8"/>
      <c r="T34" s="8"/>
      <c r="U34" s="7"/>
      <c r="V34" s="7"/>
      <c r="W34" s="7"/>
      <c r="X34" s="7"/>
      <c r="Y34" s="8"/>
      <c r="Z34" s="8"/>
      <c r="AA34" s="8"/>
      <c r="AB34" s="8"/>
      <c r="AC34" s="7"/>
      <c r="AD34" s="7"/>
      <c r="AE34" s="7"/>
      <c r="AF34" s="8"/>
      <c r="AG34" s="8"/>
      <c r="AH34" s="8"/>
      <c r="AI34" s="8"/>
      <c r="AJ34" s="7"/>
      <c r="AK34" s="7"/>
      <c r="AL34" s="8"/>
      <c r="AM34" s="8"/>
      <c r="AN34" s="8"/>
      <c r="AO34" s="8"/>
      <c r="AP34" s="7"/>
      <c r="AQ34" s="7"/>
      <c r="AR34" s="7"/>
      <c r="AS34" s="8"/>
      <c r="AT34" s="8"/>
      <c r="AU34" s="8"/>
      <c r="AV34" s="8"/>
      <c r="AW34" s="8"/>
      <c r="AX34" s="7"/>
      <c r="AY34" s="7"/>
      <c r="AZ34" s="8"/>
      <c r="BA34" s="8"/>
      <c r="BB34" s="8"/>
      <c r="BC34" s="8"/>
      <c r="BD34" s="8"/>
      <c r="BE34" s="7"/>
      <c r="BF34" s="7"/>
      <c r="BG34" s="8"/>
      <c r="BH34" s="8"/>
      <c r="BI34" s="8"/>
      <c r="BJ34" s="8"/>
      <c r="BK34" s="8"/>
      <c r="BL34" s="7"/>
      <c r="BM34" s="7"/>
      <c r="BN34" s="8"/>
      <c r="BO34" s="8"/>
      <c r="BP34" s="8"/>
      <c r="BQ34" s="8"/>
      <c r="BR34" s="8"/>
      <c r="BS34" s="7"/>
      <c r="BT34" s="7"/>
      <c r="BU34" s="8"/>
      <c r="BV34" s="8"/>
      <c r="BW34" s="8"/>
      <c r="BX34" s="8"/>
      <c r="BY34" s="8"/>
      <c r="BZ34" s="7"/>
      <c r="CA34" s="7"/>
      <c r="CB34" s="8"/>
      <c r="CC34" s="8"/>
      <c r="CD34" s="8"/>
      <c r="CE34" s="8"/>
      <c r="CF34" s="8"/>
      <c r="CG34" s="7"/>
      <c r="CH34" s="7"/>
      <c r="CI34" s="8"/>
      <c r="CJ34" s="8"/>
      <c r="CK34" s="8"/>
      <c r="CL34" s="8"/>
      <c r="CM34" s="8"/>
      <c r="CN34" s="7"/>
      <c r="CO34" s="7"/>
      <c r="CP34" s="8"/>
      <c r="CQ34" s="8"/>
      <c r="CR34" s="7"/>
      <c r="CS34" s="8"/>
      <c r="CT34" s="8"/>
      <c r="CU34" s="7"/>
      <c r="CV34" s="7"/>
      <c r="CW34" s="8"/>
      <c r="CX34" s="8"/>
      <c r="CY34" s="8"/>
      <c r="CZ34" s="8"/>
      <c r="DA34" s="8"/>
      <c r="DB34" s="7"/>
      <c r="DC34" s="7"/>
      <c r="DD34" s="8"/>
      <c r="DE34" s="8"/>
      <c r="DF34" s="8"/>
      <c r="DG34" s="8"/>
      <c r="DH34" s="8"/>
      <c r="DI34" s="7"/>
      <c r="DJ34" s="7"/>
      <c r="DK34" s="8"/>
      <c r="DL34" s="8"/>
      <c r="DM34" s="8"/>
      <c r="DN34" s="8"/>
      <c r="DO34" s="8"/>
      <c r="DP34" s="7"/>
      <c r="DQ34" s="7"/>
      <c r="DR34" s="8"/>
      <c r="DS34" s="8"/>
      <c r="DT34" s="8"/>
      <c r="DU34" s="8"/>
      <c r="DV34" s="8"/>
      <c r="DW34" s="7"/>
      <c r="DX34" s="7"/>
      <c r="DY34" s="8"/>
      <c r="DZ34" s="8"/>
      <c r="EA34" s="8"/>
      <c r="EB34" s="8"/>
      <c r="EC34" s="8"/>
      <c r="ED34" s="7"/>
      <c r="EE34" s="7"/>
      <c r="EF34" s="8"/>
      <c r="EG34" s="8"/>
      <c r="EH34" s="8"/>
      <c r="EI34" s="8"/>
      <c r="EJ34" s="8"/>
      <c r="EK34" s="7"/>
      <c r="EL34" s="7"/>
      <c r="EM34" s="8"/>
      <c r="EN34" s="8"/>
      <c r="EO34" s="8"/>
      <c r="EP34" s="8"/>
      <c r="EQ34" s="8"/>
      <c r="ER34" s="7"/>
      <c r="ES34" s="7"/>
      <c r="ET34" s="8"/>
      <c r="EU34" s="8"/>
      <c r="EV34" s="8"/>
      <c r="EW34" s="8"/>
      <c r="EX34" s="8"/>
      <c r="EY34" s="7"/>
      <c r="EZ34" s="7"/>
      <c r="FA34" s="8"/>
      <c r="FB34" s="8"/>
      <c r="FC34" s="8"/>
      <c r="FD34" s="8"/>
      <c r="FE34" s="8"/>
      <c r="FF34" s="7"/>
      <c r="FG34" s="7"/>
      <c r="FH34" s="8"/>
      <c r="FI34" s="8"/>
      <c r="FJ34" s="8"/>
      <c r="FK34" s="8"/>
      <c r="FL34" s="8"/>
      <c r="FM34" s="7"/>
      <c r="FN34" s="7"/>
      <c r="FO34" s="8"/>
      <c r="FP34" s="8"/>
      <c r="FQ34" s="8"/>
      <c r="FR34" s="8"/>
      <c r="FS34" s="8"/>
      <c r="FT34" s="7"/>
      <c r="FU34" s="7"/>
      <c r="FV34" s="8"/>
      <c r="FW34" s="8"/>
      <c r="FX34" s="8"/>
      <c r="FY34" s="8"/>
      <c r="FZ34" s="8"/>
      <c r="GA34" s="7"/>
      <c r="GB34" s="7"/>
      <c r="GC34" s="8"/>
      <c r="GD34" s="8"/>
      <c r="GE34" s="8"/>
      <c r="GF34" s="8"/>
      <c r="GG34" s="8"/>
      <c r="GH34" s="7"/>
      <c r="GI34" s="7"/>
      <c r="GJ34" s="8"/>
      <c r="GK34" s="8"/>
      <c r="GL34" s="8"/>
      <c r="GM34" s="8"/>
      <c r="GN34" s="8"/>
      <c r="GO34" s="7"/>
      <c r="GP34" s="7"/>
      <c r="GQ34" s="8"/>
      <c r="GR34" s="8"/>
      <c r="GS34" s="8"/>
      <c r="GT34" s="8"/>
      <c r="GU34" s="7"/>
      <c r="GV34" s="7"/>
      <c r="GW34" s="7"/>
      <c r="GX34" s="7"/>
      <c r="GY34" s="8"/>
      <c r="GZ34" s="8"/>
      <c r="HA34" s="8"/>
      <c r="HB34" s="8"/>
      <c r="HC34" s="7"/>
      <c r="HD34" s="7"/>
      <c r="HE34" s="8"/>
      <c r="HF34" s="8"/>
      <c r="HG34" s="8"/>
      <c r="HH34" s="8"/>
      <c r="HI34" s="8"/>
      <c r="HJ34" s="7"/>
      <c r="HK34" s="7"/>
      <c r="HL34" s="8"/>
      <c r="HM34" s="8"/>
      <c r="HN34" s="8"/>
      <c r="HO34" s="8"/>
      <c r="HP34" s="8"/>
      <c r="HQ34" s="7"/>
      <c r="HR34" s="7"/>
      <c r="HS34" s="8"/>
      <c r="HT34" s="8"/>
      <c r="HU34" s="8"/>
      <c r="HV34" s="8"/>
      <c r="HW34" s="8"/>
      <c r="HX34" s="7"/>
      <c r="HY34" s="7"/>
      <c r="HZ34" s="8"/>
      <c r="IA34" s="8"/>
      <c r="IB34" s="8"/>
      <c r="IC34" s="8"/>
      <c r="ID34" s="8"/>
      <c r="IE34" s="7"/>
      <c r="IF34" s="7"/>
      <c r="IG34" s="8"/>
      <c r="IH34" s="8"/>
      <c r="II34" s="8"/>
      <c r="IJ34" s="8"/>
      <c r="IK34" s="8"/>
      <c r="IL34" s="7"/>
      <c r="IM34" s="7"/>
      <c r="IN34" s="8"/>
      <c r="IO34" s="8"/>
      <c r="IP34" s="8"/>
      <c r="IQ34" s="8"/>
      <c r="IR34" s="8"/>
      <c r="IS34" s="7"/>
      <c r="IT34" s="7"/>
      <c r="IU34" s="8"/>
      <c r="IV34" s="8"/>
      <c r="IW34" s="8"/>
      <c r="IX34" s="8"/>
      <c r="IY34" s="8"/>
      <c r="IZ34" s="7"/>
      <c r="JA34" s="7"/>
      <c r="JB34" s="8"/>
      <c r="JC34" s="25"/>
      <c r="JD34" s="8"/>
      <c r="JE34" s="8"/>
      <c r="JF34" s="8"/>
      <c r="JG34" s="7"/>
      <c r="JH34" s="7"/>
      <c r="JI34" s="8"/>
      <c r="JJ34" s="8"/>
      <c r="JK34" s="8"/>
      <c r="JL34" s="8"/>
      <c r="JM34" s="8"/>
      <c r="JN34" s="7"/>
      <c r="JO34" s="7"/>
      <c r="JP34" s="8"/>
      <c r="JQ34" s="8"/>
      <c r="JR34" s="8"/>
      <c r="JS34" s="8"/>
      <c r="JT34" s="25"/>
      <c r="JU34" s="7"/>
      <c r="JV34" s="7"/>
      <c r="JW34" s="8"/>
      <c r="JX34" s="8"/>
      <c r="JY34" s="8"/>
      <c r="JZ34" s="8"/>
      <c r="KA34" s="25"/>
      <c r="KB34" s="7"/>
      <c r="KC34" s="7"/>
      <c r="KD34" s="8"/>
      <c r="KE34" s="8"/>
      <c r="KF34" s="8"/>
      <c r="KG34" s="8"/>
      <c r="KH34" s="8"/>
      <c r="KI34" s="7"/>
      <c r="KJ34" s="7"/>
      <c r="KK34" s="8"/>
      <c r="KL34" s="8"/>
      <c r="KM34" s="8"/>
      <c r="KN34" s="8"/>
      <c r="KO34" s="8"/>
      <c r="KP34" s="7"/>
      <c r="KQ34" s="7"/>
      <c r="KR34" s="8"/>
      <c r="KS34" s="8"/>
      <c r="KT34" s="8"/>
      <c r="KU34" s="8"/>
      <c r="KV34" s="8"/>
      <c r="KW34" s="7"/>
      <c r="KX34" s="7"/>
      <c r="KY34" s="15" t="s">
        <v>1</v>
      </c>
      <c r="KZ34" s="15" t="s">
        <v>1</v>
      </c>
      <c r="LA34" s="15" t="s">
        <v>1</v>
      </c>
      <c r="LB34" s="15" t="s">
        <v>1</v>
      </c>
      <c r="LC34" s="15" t="s">
        <v>1</v>
      </c>
      <c r="LD34" s="7"/>
      <c r="LE34" s="7"/>
      <c r="LF34" s="15" t="s">
        <v>1</v>
      </c>
      <c r="LG34" s="15" t="s">
        <v>1</v>
      </c>
      <c r="LH34" s="15" t="s">
        <v>1</v>
      </c>
      <c r="LI34" s="15" t="s">
        <v>1</v>
      </c>
      <c r="LJ34" s="15" t="s">
        <v>1</v>
      </c>
      <c r="LK34" s="7"/>
      <c r="LL34" s="7"/>
      <c r="LM34" s="15" t="s">
        <v>1</v>
      </c>
      <c r="LN34" s="15" t="s">
        <v>1</v>
      </c>
      <c r="LO34" s="15" t="s">
        <v>1</v>
      </c>
      <c r="LP34" s="15" t="s">
        <v>1</v>
      </c>
      <c r="LQ34" s="15" t="s">
        <v>1</v>
      </c>
      <c r="LR34" s="7"/>
      <c r="LS34" s="7"/>
      <c r="LT34" s="8"/>
      <c r="LU34" s="8"/>
      <c r="LV34" s="8"/>
      <c r="LW34" s="8"/>
      <c r="LX34" s="8"/>
      <c r="LY34" s="7"/>
      <c r="LZ34" s="7"/>
      <c r="MA34" s="8"/>
      <c r="MB34" s="8"/>
      <c r="MC34" s="8"/>
      <c r="MD34" s="8"/>
      <c r="ME34" s="8"/>
      <c r="MF34" s="7"/>
      <c r="MG34" s="7"/>
      <c r="MH34" s="8"/>
      <c r="MI34" s="8"/>
      <c r="MJ34" s="8"/>
      <c r="MK34" s="8"/>
      <c r="ML34" s="8"/>
      <c r="MM34" s="7"/>
      <c r="MN34" s="7"/>
      <c r="MO34" s="8"/>
      <c r="MP34" s="8"/>
      <c r="MQ34" s="8"/>
      <c r="MR34" s="8"/>
      <c r="MS34" s="8"/>
      <c r="MT34" s="7"/>
      <c r="MU34" s="7"/>
      <c r="MV34" s="8"/>
      <c r="MW34" s="8"/>
      <c r="MX34" s="8"/>
      <c r="MY34" s="8"/>
      <c r="MZ34" s="8"/>
      <c r="NA34" s="7"/>
      <c r="NB34" s="7"/>
      <c r="NC34" s="8"/>
      <c r="ND34" s="8"/>
      <c r="NE34" s="8"/>
      <c r="NF34" s="8"/>
      <c r="NG34" s="8"/>
      <c r="NH34" s="7"/>
      <c r="NI34" s="7"/>
      <c r="NJ34" s="8"/>
      <c r="NK34" s="8"/>
      <c r="NL34" s="8"/>
    </row>
    <row r="35" spans="1:376" customFormat="1" ht="15" customHeight="1">
      <c r="A35" s="1"/>
      <c r="B35" s="29" t="s">
        <v>68</v>
      </c>
      <c r="C35" s="29" t="s">
        <v>30</v>
      </c>
      <c r="D35" s="29" t="s">
        <v>58</v>
      </c>
      <c r="E35" s="29"/>
      <c r="F35" s="29"/>
      <c r="G35" s="29"/>
      <c r="H35" s="29"/>
      <c r="I35" s="30"/>
      <c r="J35" s="30"/>
      <c r="K35" s="30"/>
      <c r="L35" s="28"/>
      <c r="M35" s="8"/>
      <c r="N35" s="8"/>
      <c r="O35" s="7"/>
      <c r="P35" s="7"/>
      <c r="Q35" s="8"/>
      <c r="R35" s="8"/>
      <c r="S35" s="8"/>
      <c r="T35" s="8"/>
      <c r="U35" s="7"/>
      <c r="V35" s="7"/>
      <c r="W35" s="7"/>
      <c r="X35" s="7"/>
      <c r="Y35" s="8"/>
      <c r="Z35" s="8"/>
      <c r="AA35" s="8"/>
      <c r="AB35" s="8"/>
      <c r="AC35" s="7"/>
      <c r="AD35" s="7"/>
      <c r="AE35" s="7"/>
      <c r="AF35" s="8"/>
      <c r="AG35" s="8"/>
      <c r="AH35" s="8"/>
      <c r="AI35" s="8"/>
      <c r="AJ35" s="7"/>
      <c r="AK35" s="7"/>
      <c r="AL35" s="8"/>
      <c r="AM35" s="8"/>
      <c r="AN35" s="8"/>
      <c r="AO35" s="8"/>
      <c r="AP35" s="7"/>
      <c r="AQ35" s="7"/>
      <c r="AR35" s="7"/>
      <c r="AS35" s="8"/>
      <c r="AT35" s="8"/>
      <c r="AU35" s="8"/>
      <c r="AV35" s="8"/>
      <c r="AW35" s="8"/>
      <c r="AX35" s="7"/>
      <c r="AY35" s="7"/>
      <c r="AZ35" s="8"/>
      <c r="BA35" s="8"/>
      <c r="BB35" s="8"/>
      <c r="BC35" s="8"/>
      <c r="BD35" s="8"/>
      <c r="BE35" s="7"/>
      <c r="BF35" s="7"/>
      <c r="BG35" s="8"/>
      <c r="BH35" s="8"/>
      <c r="BI35" s="8"/>
      <c r="BJ35" s="8"/>
      <c r="BK35" s="8"/>
      <c r="BL35" s="7"/>
      <c r="BM35" s="7"/>
      <c r="BN35" s="8"/>
      <c r="BO35" s="8"/>
      <c r="BP35" s="8"/>
      <c r="BQ35" s="8"/>
      <c r="BR35" s="8"/>
      <c r="BS35" s="7"/>
      <c r="BT35" s="7"/>
      <c r="BU35" s="8"/>
      <c r="BV35" s="8"/>
      <c r="BW35" s="8"/>
      <c r="BX35" s="8"/>
      <c r="BY35" s="8"/>
      <c r="BZ35" s="7"/>
      <c r="CA35" s="7"/>
      <c r="CB35" s="8"/>
      <c r="CC35" s="8"/>
      <c r="CD35" s="8"/>
      <c r="CE35" s="8"/>
      <c r="CF35" s="8"/>
      <c r="CG35" s="7"/>
      <c r="CH35" s="7"/>
      <c r="CI35" s="8"/>
      <c r="CJ35" s="8"/>
      <c r="CK35" s="8"/>
      <c r="CL35" s="8"/>
      <c r="CM35" s="8"/>
      <c r="CN35" s="7"/>
      <c r="CO35" s="7"/>
      <c r="CP35" s="8"/>
      <c r="CQ35" s="8"/>
      <c r="CR35" s="7"/>
      <c r="CS35" s="8"/>
      <c r="CT35" s="8"/>
      <c r="CU35" s="7"/>
      <c r="CV35" s="7"/>
      <c r="CW35" s="8"/>
      <c r="CX35" s="8"/>
      <c r="CY35" s="8"/>
      <c r="CZ35" s="8"/>
      <c r="DA35" s="8"/>
      <c r="DB35" s="7"/>
      <c r="DC35" s="7"/>
      <c r="DD35" s="8"/>
      <c r="DE35" s="8"/>
      <c r="DF35" s="8"/>
      <c r="DG35" s="8"/>
      <c r="DH35" s="8"/>
      <c r="DI35" s="7"/>
      <c r="DJ35" s="7"/>
      <c r="DK35" s="8"/>
      <c r="DL35" s="8"/>
      <c r="DM35" s="8"/>
      <c r="DN35" s="8"/>
      <c r="DO35" s="8"/>
      <c r="DP35" s="7"/>
      <c r="DQ35" s="7"/>
      <c r="DR35" s="8"/>
      <c r="DS35" s="8"/>
      <c r="DT35" s="8"/>
      <c r="DU35" s="8"/>
      <c r="DV35" s="8"/>
      <c r="DW35" s="7"/>
      <c r="DX35" s="7"/>
      <c r="DY35" s="8"/>
      <c r="DZ35" s="8"/>
      <c r="EA35" s="8"/>
      <c r="EB35" s="8"/>
      <c r="EC35" s="8"/>
      <c r="ED35" s="7"/>
      <c r="EE35" s="7"/>
      <c r="EF35" s="8"/>
      <c r="EG35" s="8"/>
      <c r="EH35" s="8"/>
      <c r="EI35" s="8"/>
      <c r="EJ35" s="8"/>
      <c r="EK35" s="7"/>
      <c r="EL35" s="7"/>
      <c r="EM35" s="8"/>
      <c r="EN35" s="8"/>
      <c r="EO35" s="8"/>
      <c r="EP35" s="8"/>
      <c r="EQ35" s="8"/>
      <c r="ER35" s="7"/>
      <c r="ES35" s="7"/>
      <c r="ET35" s="8"/>
      <c r="EU35" s="8"/>
      <c r="EV35" s="8"/>
      <c r="EW35" s="8"/>
      <c r="EX35" s="8"/>
      <c r="EY35" s="7"/>
      <c r="EZ35" s="7"/>
      <c r="FA35" s="8"/>
      <c r="FB35" s="8"/>
      <c r="FC35" s="8"/>
      <c r="FD35" s="8"/>
      <c r="FE35" s="8"/>
      <c r="FF35" s="7"/>
      <c r="FG35" s="7"/>
      <c r="FH35" s="8"/>
      <c r="FI35" s="8"/>
      <c r="FJ35" s="8"/>
      <c r="FK35" s="8"/>
      <c r="FL35" s="8"/>
      <c r="FM35" s="7"/>
      <c r="FN35" s="7"/>
      <c r="FO35" s="8"/>
      <c r="FP35" s="8"/>
      <c r="FQ35" s="8"/>
      <c r="FR35" s="8"/>
      <c r="FS35" s="8"/>
      <c r="FT35" s="7"/>
      <c r="FU35" s="7"/>
      <c r="FV35" s="8"/>
      <c r="FW35" s="8"/>
      <c r="FX35" s="8"/>
      <c r="FY35" s="8"/>
      <c r="FZ35" s="8"/>
      <c r="GA35" s="7"/>
      <c r="GB35" s="7"/>
      <c r="GC35" s="8"/>
      <c r="GD35" s="8"/>
      <c r="GE35" s="8"/>
      <c r="GF35" s="8"/>
      <c r="GG35" s="8"/>
      <c r="GH35" s="7"/>
      <c r="GI35" s="7"/>
      <c r="GJ35" s="8"/>
      <c r="GK35" s="8"/>
      <c r="GL35" s="8"/>
      <c r="GM35" s="8"/>
      <c r="GN35" s="8"/>
      <c r="GO35" s="7"/>
      <c r="GP35" s="7"/>
      <c r="GQ35" s="8"/>
      <c r="GR35" s="8"/>
      <c r="GS35" s="8"/>
      <c r="GT35" s="8"/>
      <c r="GU35" s="7"/>
      <c r="GV35" s="7"/>
      <c r="GW35" s="7"/>
      <c r="GX35" s="7"/>
      <c r="GY35" s="8"/>
      <c r="GZ35" s="8"/>
      <c r="HA35" s="8"/>
      <c r="HB35" s="8"/>
      <c r="HC35" s="7"/>
      <c r="HD35" s="7"/>
      <c r="HE35" s="8"/>
      <c r="HF35" s="8"/>
      <c r="HG35" s="8"/>
      <c r="HH35" s="8"/>
      <c r="HI35" s="8"/>
      <c r="HJ35" s="7"/>
      <c r="HK35" s="7"/>
      <c r="HL35" s="8"/>
      <c r="HM35" s="8"/>
      <c r="HN35" s="8"/>
      <c r="HO35" s="8"/>
      <c r="HP35" s="8"/>
      <c r="HQ35" s="7"/>
      <c r="HR35" s="7"/>
      <c r="HS35" s="8"/>
      <c r="HT35" s="8"/>
      <c r="HU35" s="8"/>
      <c r="HV35" s="8"/>
      <c r="HW35" s="8"/>
      <c r="HX35" s="7"/>
      <c r="HY35" s="7"/>
      <c r="HZ35" s="8"/>
      <c r="IA35" s="8"/>
      <c r="IB35" s="8"/>
      <c r="IC35" s="8"/>
      <c r="ID35" s="8"/>
      <c r="IE35" s="7"/>
      <c r="IF35" s="7"/>
      <c r="IG35" s="8"/>
      <c r="IH35" s="8"/>
      <c r="II35" s="8"/>
      <c r="IJ35" s="8"/>
      <c r="IK35" s="8"/>
      <c r="IL35" s="7"/>
      <c r="IM35" s="7"/>
      <c r="IN35" s="8"/>
      <c r="IO35" s="8"/>
      <c r="IP35" s="8"/>
      <c r="IQ35" s="8"/>
      <c r="IR35" s="8"/>
      <c r="IS35" s="7"/>
      <c r="IT35" s="7"/>
      <c r="IU35" s="8"/>
      <c r="IV35" s="8"/>
      <c r="IW35" s="8"/>
      <c r="IX35" s="8"/>
      <c r="IY35" s="8"/>
      <c r="IZ35" s="7"/>
      <c r="JA35" s="7"/>
      <c r="JB35" s="8"/>
      <c r="JC35" s="25"/>
      <c r="JD35" s="8"/>
      <c r="JE35" s="8"/>
      <c r="JF35" s="8"/>
      <c r="JG35" s="7"/>
      <c r="JH35" s="7"/>
      <c r="JI35" s="8"/>
      <c r="JJ35" s="8"/>
      <c r="JK35" s="8"/>
      <c r="JL35" s="8"/>
      <c r="JM35" s="8"/>
      <c r="JN35" s="7"/>
      <c r="JO35" s="7"/>
      <c r="JP35" s="8"/>
      <c r="JQ35" s="8"/>
      <c r="JR35" s="8"/>
      <c r="JS35" s="8"/>
      <c r="JT35" s="25"/>
      <c r="JU35" s="7"/>
      <c r="JV35" s="7"/>
      <c r="JW35" s="8"/>
      <c r="JX35" s="8"/>
      <c r="JY35" s="8"/>
      <c r="JZ35" s="8"/>
      <c r="KA35" s="25"/>
      <c r="KB35" s="7"/>
      <c r="KC35" s="7"/>
      <c r="KD35" s="8"/>
      <c r="KE35" s="8"/>
      <c r="KF35" s="8"/>
      <c r="KG35" s="8"/>
      <c r="KH35" s="8"/>
      <c r="KI35" s="7"/>
      <c r="KJ35" s="7"/>
      <c r="KK35" s="8"/>
      <c r="KL35" s="8"/>
      <c r="KM35" s="8"/>
      <c r="KN35" s="8"/>
      <c r="KO35" s="8"/>
      <c r="KP35" s="7"/>
      <c r="KQ35" s="7"/>
      <c r="KR35" s="8"/>
      <c r="KS35" s="8"/>
      <c r="KT35" s="8"/>
      <c r="KU35" s="8"/>
      <c r="KV35" s="8"/>
      <c r="KW35" s="7"/>
      <c r="KX35" s="7"/>
      <c r="KY35" s="8"/>
      <c r="KZ35" s="8"/>
      <c r="LA35" s="8"/>
      <c r="LB35" s="8"/>
      <c r="LC35" s="8"/>
      <c r="LD35" s="7"/>
      <c r="LE35" s="7"/>
      <c r="LF35" s="8"/>
      <c r="LG35" s="8"/>
      <c r="LH35" s="8"/>
      <c r="LI35" s="8"/>
      <c r="LJ35" s="8"/>
      <c r="LK35" s="7"/>
      <c r="LL35" s="7"/>
      <c r="LM35" s="8"/>
      <c r="LN35" s="8"/>
      <c r="LO35" s="8"/>
      <c r="LP35" s="8"/>
      <c r="LQ35" s="8"/>
      <c r="LR35" s="7"/>
      <c r="LS35" s="7"/>
      <c r="LT35" s="8"/>
      <c r="LU35" s="8"/>
      <c r="LV35" s="8"/>
      <c r="LW35" s="8"/>
      <c r="LX35" s="8"/>
      <c r="LY35" s="7"/>
      <c r="LZ35" s="7"/>
      <c r="MA35" s="8"/>
      <c r="MB35" s="8"/>
      <c r="MC35" s="8"/>
      <c r="MD35" s="8"/>
      <c r="ME35" s="8"/>
      <c r="MF35" s="7"/>
      <c r="MG35" s="7"/>
      <c r="MH35" s="8"/>
      <c r="MI35" s="8"/>
      <c r="MJ35" s="8"/>
      <c r="MK35" s="8"/>
      <c r="ML35" s="8"/>
      <c r="MM35" s="7"/>
      <c r="MN35" s="7"/>
      <c r="MO35" s="8"/>
      <c r="MP35" s="8"/>
      <c r="MQ35" s="8"/>
      <c r="MR35" s="8"/>
      <c r="MS35" s="8"/>
      <c r="MT35" s="7"/>
      <c r="MU35" s="7"/>
      <c r="MV35" s="27"/>
      <c r="MW35" s="27"/>
      <c r="MX35" s="27"/>
      <c r="MY35" s="27"/>
      <c r="MZ35" s="27"/>
      <c r="NA35" s="7"/>
      <c r="NB35" s="7"/>
      <c r="NC35" s="8"/>
      <c r="ND35" s="8"/>
      <c r="NE35" s="8"/>
      <c r="NF35" s="8"/>
      <c r="NG35" s="8"/>
      <c r="NH35" s="7"/>
      <c r="NI35" s="7"/>
      <c r="NJ35" s="8"/>
      <c r="NK35" s="8"/>
      <c r="NL35" s="8"/>
    </row>
    <row r="36" spans="1:376" customFormat="1" ht="15" customHeight="1" thickBot="1">
      <c r="A36" s="1"/>
      <c r="B36" s="29" t="s">
        <v>69</v>
      </c>
      <c r="C36" s="29" t="s">
        <v>30</v>
      </c>
      <c r="D36" s="29" t="s">
        <v>70</v>
      </c>
      <c r="E36" s="29"/>
      <c r="F36" s="29"/>
      <c r="G36" s="29"/>
      <c r="H36" s="29"/>
      <c r="I36" s="30"/>
      <c r="J36" s="30"/>
      <c r="K36" s="30"/>
      <c r="L36" s="28"/>
      <c r="M36" s="8"/>
      <c r="N36" s="8"/>
      <c r="O36" s="7"/>
      <c r="P36" s="7"/>
      <c r="Q36" s="8"/>
      <c r="R36" s="8"/>
      <c r="S36" s="8"/>
      <c r="T36" s="8"/>
      <c r="U36" s="7"/>
      <c r="V36" s="7"/>
      <c r="W36" s="7"/>
      <c r="X36" s="7"/>
      <c r="Y36" s="8"/>
      <c r="Z36" s="8"/>
      <c r="AA36" s="8"/>
      <c r="AB36" s="8"/>
      <c r="AC36" s="7"/>
      <c r="AD36" s="7"/>
      <c r="AE36" s="7"/>
      <c r="AF36" s="8"/>
      <c r="AG36" s="8"/>
      <c r="AH36" s="8"/>
      <c r="AI36" s="8"/>
      <c r="AJ36" s="7"/>
      <c r="AK36" s="7"/>
      <c r="AL36" s="8"/>
      <c r="AM36" s="8"/>
      <c r="AN36" s="8"/>
      <c r="AO36" s="8"/>
      <c r="AP36" s="7"/>
      <c r="AQ36" s="7"/>
      <c r="AR36" s="7"/>
      <c r="AS36" s="8"/>
      <c r="AT36" s="8"/>
      <c r="AU36" s="8"/>
      <c r="AV36" s="8"/>
      <c r="AW36" s="8"/>
      <c r="AX36" s="7"/>
      <c r="AY36" s="7"/>
      <c r="AZ36" s="8"/>
      <c r="BA36" s="8"/>
      <c r="BB36" s="8"/>
      <c r="BC36" s="8"/>
      <c r="BD36" s="8"/>
      <c r="BE36" s="7"/>
      <c r="BF36" s="7"/>
      <c r="BG36" s="8"/>
      <c r="BH36" s="8"/>
      <c r="BI36" s="8"/>
      <c r="BJ36" s="8"/>
      <c r="BK36" s="8"/>
      <c r="BL36" s="7"/>
      <c r="BM36" s="7"/>
      <c r="BN36" s="8"/>
      <c r="BO36" s="8"/>
      <c r="BP36" s="8"/>
      <c r="BQ36" s="8"/>
      <c r="BR36" s="8"/>
      <c r="BS36" s="7"/>
      <c r="BT36" s="7"/>
      <c r="BU36" s="8"/>
      <c r="BV36" s="8"/>
      <c r="BW36" s="8"/>
      <c r="BX36" s="8"/>
      <c r="BY36" s="8"/>
      <c r="BZ36" s="7"/>
      <c r="CA36" s="7"/>
      <c r="CB36" s="8"/>
      <c r="CC36" s="8"/>
      <c r="CD36" s="8"/>
      <c r="CE36" s="8"/>
      <c r="CF36" s="8"/>
      <c r="CG36" s="7"/>
      <c r="CH36" s="7"/>
      <c r="CI36" s="8"/>
      <c r="CJ36" s="8"/>
      <c r="CK36" s="8"/>
      <c r="CL36" s="8"/>
      <c r="CM36" s="8"/>
      <c r="CN36" s="7"/>
      <c r="CO36" s="7"/>
      <c r="CP36" s="8"/>
      <c r="CQ36" s="8"/>
      <c r="CR36" s="7"/>
      <c r="CS36" s="8"/>
      <c r="CT36" s="8"/>
      <c r="CU36" s="7"/>
      <c r="CV36" s="7"/>
      <c r="CW36" s="8"/>
      <c r="CX36" s="8"/>
      <c r="CY36" s="8"/>
      <c r="CZ36" s="8"/>
      <c r="DA36" s="8"/>
      <c r="DB36" s="7"/>
      <c r="DC36" s="7"/>
      <c r="DD36" s="8"/>
      <c r="DE36" s="8"/>
      <c r="DF36" s="8"/>
      <c r="DG36" s="8"/>
      <c r="DH36" s="8"/>
      <c r="DI36" s="7"/>
      <c r="DJ36" s="7"/>
      <c r="DK36" s="8"/>
      <c r="DL36" s="8"/>
      <c r="DM36" s="8"/>
      <c r="DN36" s="8"/>
      <c r="DO36" s="8"/>
      <c r="DP36" s="7"/>
      <c r="DQ36" s="7"/>
      <c r="DR36" s="8"/>
      <c r="DS36" s="8"/>
      <c r="DT36" s="8"/>
      <c r="DU36" s="8"/>
      <c r="DV36" s="8"/>
      <c r="DW36" s="7"/>
      <c r="DX36" s="7"/>
      <c r="DY36" s="8"/>
      <c r="DZ36" s="8"/>
      <c r="EA36" s="8"/>
      <c r="EB36" s="8"/>
      <c r="EC36" s="8"/>
      <c r="ED36" s="7"/>
      <c r="EE36" s="7"/>
      <c r="EF36" s="8"/>
      <c r="EG36" s="8"/>
      <c r="EH36" s="8"/>
      <c r="EI36" s="8"/>
      <c r="EJ36" s="8"/>
      <c r="EK36" s="7"/>
      <c r="EL36" s="7"/>
      <c r="EM36" s="8"/>
      <c r="EN36" s="8"/>
      <c r="EO36" s="8"/>
      <c r="EP36" s="8"/>
      <c r="EQ36" s="8"/>
      <c r="ER36" s="7"/>
      <c r="ES36" s="7"/>
      <c r="ET36" s="8"/>
      <c r="EU36" s="8"/>
      <c r="EV36" s="8"/>
      <c r="EW36" s="8"/>
      <c r="EX36" s="8"/>
      <c r="EY36" s="7"/>
      <c r="EZ36" s="7"/>
      <c r="FA36" s="8"/>
      <c r="FB36" s="8"/>
      <c r="FC36" s="8"/>
      <c r="FD36" s="8"/>
      <c r="FE36" s="8"/>
      <c r="FF36" s="7"/>
      <c r="FG36" s="7"/>
      <c r="FH36" s="8"/>
      <c r="FI36" s="8"/>
      <c r="FJ36" s="8"/>
      <c r="FK36" s="8"/>
      <c r="FL36" s="8"/>
      <c r="FM36" s="7"/>
      <c r="FN36" s="7"/>
      <c r="FO36" s="8"/>
      <c r="FP36" s="8"/>
      <c r="FQ36" s="8"/>
      <c r="FR36" s="8"/>
      <c r="FS36" s="8"/>
      <c r="FT36" s="7"/>
      <c r="FU36" s="7"/>
      <c r="FV36" s="8"/>
      <c r="FW36" s="8"/>
      <c r="FX36" s="8"/>
      <c r="FY36" s="8"/>
      <c r="FZ36" s="8"/>
      <c r="GA36" s="7"/>
      <c r="GB36" s="7"/>
      <c r="GC36" s="8"/>
      <c r="GD36" s="8"/>
      <c r="GE36" s="8"/>
      <c r="GF36" s="8"/>
      <c r="GG36" s="8"/>
      <c r="GH36" s="7"/>
      <c r="GI36" s="7"/>
      <c r="GJ36" s="8"/>
      <c r="GK36" s="8"/>
      <c r="GL36" s="8"/>
      <c r="GM36" s="8"/>
      <c r="GN36" s="8"/>
      <c r="GO36" s="7"/>
      <c r="GP36" s="7"/>
      <c r="GQ36" s="8"/>
      <c r="GR36" s="8"/>
      <c r="GS36" s="8"/>
      <c r="GT36" s="8"/>
      <c r="GU36" s="7"/>
      <c r="GV36" s="7"/>
      <c r="GW36" s="7"/>
      <c r="GX36" s="7"/>
      <c r="GY36" s="8"/>
      <c r="GZ36" s="8"/>
      <c r="HA36" s="8"/>
      <c r="HB36" s="8"/>
      <c r="HC36" s="7"/>
      <c r="HD36" s="7"/>
      <c r="HE36" s="8"/>
      <c r="HF36" s="8"/>
      <c r="HG36" s="8"/>
      <c r="HH36" s="8"/>
      <c r="HI36" s="8"/>
      <c r="HJ36" s="7"/>
      <c r="HK36" s="7"/>
      <c r="HL36" s="8"/>
      <c r="HM36" s="8"/>
      <c r="HN36" s="8"/>
      <c r="HO36" s="8"/>
      <c r="HP36" s="8"/>
      <c r="HQ36" s="7"/>
      <c r="HR36" s="7"/>
      <c r="HS36" s="8"/>
      <c r="HT36" s="8"/>
      <c r="HU36" s="8"/>
      <c r="HV36" s="8"/>
      <c r="HW36" s="8"/>
      <c r="HX36" s="7"/>
      <c r="HY36" s="7"/>
      <c r="HZ36" s="8"/>
      <c r="IA36" s="8"/>
      <c r="IB36" s="8"/>
      <c r="IC36" s="8"/>
      <c r="ID36" s="8"/>
      <c r="IE36" s="7"/>
      <c r="IF36" s="7"/>
      <c r="IG36" s="8"/>
      <c r="IH36" s="8"/>
      <c r="II36" s="8"/>
      <c r="IJ36" s="8"/>
      <c r="IK36" s="8"/>
      <c r="IL36" s="7"/>
      <c r="IM36" s="7"/>
      <c r="IN36" s="8"/>
      <c r="IO36" s="8"/>
      <c r="IP36" s="8"/>
      <c r="IQ36" s="8"/>
      <c r="IR36" s="8"/>
      <c r="IS36" s="7"/>
      <c r="IT36" s="7"/>
      <c r="IU36" s="8"/>
      <c r="IV36" s="8"/>
      <c r="IW36" s="8"/>
      <c r="IX36" s="8"/>
      <c r="IY36" s="8"/>
      <c r="IZ36" s="7"/>
      <c r="JA36" s="7"/>
      <c r="JB36" s="8"/>
      <c r="JC36" s="25"/>
      <c r="JD36" s="8"/>
      <c r="JE36" s="8"/>
      <c r="JF36" s="8"/>
      <c r="JG36" s="7"/>
      <c r="JH36" s="7"/>
      <c r="JI36" s="8"/>
      <c r="JJ36" s="8"/>
      <c r="JK36" s="8"/>
      <c r="JL36" s="8"/>
      <c r="JM36" s="8"/>
      <c r="JN36" s="7"/>
      <c r="JO36" s="7"/>
      <c r="JP36" s="8"/>
      <c r="JQ36" s="8"/>
      <c r="JR36" s="8"/>
      <c r="JS36" s="8"/>
      <c r="JT36" s="25"/>
      <c r="JU36" s="7"/>
      <c r="JV36" s="7"/>
      <c r="JW36" s="8"/>
      <c r="JX36" s="8"/>
      <c r="JY36" s="8"/>
      <c r="JZ36" s="8"/>
      <c r="KA36" s="25"/>
      <c r="KB36" s="7"/>
      <c r="KC36" s="7"/>
      <c r="KD36" s="8"/>
      <c r="KE36" s="8"/>
      <c r="KF36" s="8"/>
      <c r="KG36" s="8"/>
      <c r="KH36" s="8"/>
      <c r="KI36" s="7"/>
      <c r="KJ36" s="7"/>
      <c r="KK36" s="8"/>
      <c r="KL36" s="8"/>
      <c r="KM36" s="8"/>
      <c r="KN36" s="8"/>
      <c r="KO36" s="8"/>
      <c r="KP36" s="7"/>
      <c r="KQ36" s="7"/>
      <c r="KR36" s="8"/>
      <c r="KS36" s="8"/>
      <c r="KT36" s="8"/>
      <c r="KU36" s="8"/>
      <c r="KV36" s="8"/>
      <c r="KW36" s="7"/>
      <c r="KX36" s="7"/>
      <c r="KY36" s="8"/>
      <c r="KZ36" s="8"/>
      <c r="LA36" s="8"/>
      <c r="LB36" s="8"/>
      <c r="LC36" s="8"/>
      <c r="LD36" s="7"/>
      <c r="LE36" s="7"/>
      <c r="LF36" s="8"/>
      <c r="LG36" s="8"/>
      <c r="LH36" s="8"/>
      <c r="LI36" s="8"/>
      <c r="LJ36" s="8"/>
      <c r="LK36" s="7"/>
      <c r="LL36" s="7"/>
      <c r="LM36" s="8"/>
      <c r="LN36" s="8"/>
      <c r="LO36" s="8"/>
      <c r="LP36" s="8"/>
      <c r="LQ36" s="8"/>
      <c r="LR36" s="7"/>
      <c r="LS36" s="7"/>
      <c r="LT36" s="8"/>
      <c r="LU36" s="8"/>
      <c r="LV36" s="8"/>
      <c r="LW36" s="8"/>
      <c r="LX36" s="8"/>
      <c r="LY36" s="7"/>
      <c r="LZ36" s="7"/>
      <c r="MA36" s="8"/>
      <c r="MB36" s="8"/>
      <c r="MC36" s="8"/>
      <c r="MD36" s="8"/>
      <c r="ME36" s="8"/>
      <c r="MF36" s="7"/>
      <c r="MG36" s="7"/>
      <c r="MH36" s="8"/>
      <c r="MI36" s="8"/>
      <c r="MJ36" s="8"/>
      <c r="MK36" s="8"/>
      <c r="ML36" s="8"/>
      <c r="MM36" s="7"/>
      <c r="MN36" s="7"/>
      <c r="MO36" s="8"/>
      <c r="MP36" s="8"/>
      <c r="MQ36" s="8"/>
      <c r="MR36" s="8"/>
      <c r="MS36" s="8"/>
      <c r="MT36" s="7"/>
      <c r="MU36" s="7"/>
      <c r="MV36" s="27"/>
      <c r="MW36" s="27"/>
      <c r="MX36" s="27"/>
      <c r="MY36" s="27"/>
      <c r="MZ36" s="27"/>
      <c r="NA36" s="7"/>
      <c r="NB36" s="7"/>
      <c r="NC36" s="8"/>
      <c r="ND36" s="8"/>
      <c r="NE36" s="8"/>
      <c r="NF36" s="8"/>
      <c r="NG36" s="8"/>
      <c r="NH36" s="7"/>
      <c r="NI36" s="7"/>
      <c r="NJ36" s="8"/>
      <c r="NK36" s="8"/>
      <c r="NL36" s="8"/>
    </row>
    <row r="37" spans="1:376" customFormat="1" ht="15" customHeight="1">
      <c r="A37" s="1"/>
      <c r="B37" s="29" t="s">
        <v>62</v>
      </c>
      <c r="C37" s="29" t="s">
        <v>30</v>
      </c>
      <c r="D37" s="29" t="s">
        <v>58</v>
      </c>
      <c r="E37" s="29">
        <v>0</v>
      </c>
      <c r="F37" s="29">
        <v>5</v>
      </c>
      <c r="G37" s="29">
        <v>0</v>
      </c>
      <c r="H37" s="29">
        <f t="shared" si="0"/>
        <v>0</v>
      </c>
      <c r="I37" s="30">
        <f t="shared" si="1"/>
        <v>0</v>
      </c>
      <c r="J37" s="30">
        <f t="shared" si="2"/>
        <v>0</v>
      </c>
      <c r="K37" s="30">
        <f t="shared" si="3"/>
        <v>0</v>
      </c>
      <c r="L37" s="28"/>
      <c r="M37" s="8"/>
      <c r="N37" s="8"/>
      <c r="O37" s="7"/>
      <c r="P37" s="7"/>
      <c r="Q37" s="8"/>
      <c r="R37" s="8"/>
      <c r="S37" s="8"/>
      <c r="T37" s="8"/>
      <c r="U37" s="7"/>
      <c r="V37" s="7"/>
      <c r="W37" s="7"/>
      <c r="X37" s="7"/>
      <c r="Y37" s="8"/>
      <c r="Z37" s="8"/>
      <c r="AA37" s="8"/>
      <c r="AB37" s="8"/>
      <c r="AC37" s="7"/>
      <c r="AD37" s="7"/>
      <c r="AE37" s="7"/>
      <c r="AF37" s="8"/>
      <c r="AG37" s="8"/>
      <c r="AH37" s="8"/>
      <c r="AI37" s="8"/>
      <c r="AJ37" s="7"/>
      <c r="AK37" s="7"/>
      <c r="AL37" s="8"/>
      <c r="AM37" s="8"/>
      <c r="AN37" s="8"/>
      <c r="AO37" s="8"/>
      <c r="AP37" s="7"/>
      <c r="AQ37" s="7"/>
      <c r="AR37" s="7"/>
      <c r="AS37" s="8"/>
      <c r="AT37" s="8"/>
      <c r="AU37" s="8"/>
      <c r="AV37" s="8"/>
      <c r="AW37" s="8"/>
      <c r="AX37" s="7"/>
      <c r="AY37" s="7"/>
      <c r="AZ37" s="8"/>
      <c r="BA37" s="8"/>
      <c r="BB37" s="8"/>
      <c r="BC37" s="8"/>
      <c r="BD37" s="8"/>
      <c r="BE37" s="7"/>
      <c r="BF37" s="7"/>
      <c r="BG37" s="8"/>
      <c r="BH37" s="8"/>
      <c r="BI37" s="8"/>
      <c r="BJ37" s="8"/>
      <c r="BK37" s="8"/>
      <c r="BL37" s="7"/>
      <c r="BM37" s="7"/>
      <c r="BN37" s="8"/>
      <c r="BO37" s="8"/>
      <c r="BP37" s="8"/>
      <c r="BQ37" s="8"/>
      <c r="BR37" s="8"/>
      <c r="BS37" s="7"/>
      <c r="BT37" s="7"/>
      <c r="BU37" s="8"/>
      <c r="BV37" s="8"/>
      <c r="BW37" s="8"/>
      <c r="BX37" s="8"/>
      <c r="BY37" s="8"/>
      <c r="BZ37" s="7"/>
      <c r="CA37" s="7"/>
      <c r="CB37" s="8"/>
      <c r="CC37" s="8"/>
      <c r="CD37" s="8"/>
      <c r="CE37" s="8"/>
      <c r="CF37" s="8"/>
      <c r="CG37" s="7"/>
      <c r="CH37" s="7"/>
      <c r="CI37" s="8"/>
      <c r="CJ37" s="8"/>
      <c r="CK37" s="8"/>
      <c r="CL37" s="8"/>
      <c r="CM37" s="8"/>
      <c r="CN37" s="7"/>
      <c r="CO37" s="7"/>
      <c r="CP37" s="8"/>
      <c r="CQ37" s="8"/>
      <c r="CR37" s="7"/>
      <c r="CS37" s="8"/>
      <c r="CT37" s="8"/>
      <c r="CU37" s="7"/>
      <c r="CV37" s="7"/>
      <c r="CW37" s="8"/>
      <c r="CX37" s="8"/>
      <c r="CY37" s="8"/>
      <c r="CZ37" s="8"/>
      <c r="DA37" s="8"/>
      <c r="DB37" s="7"/>
      <c r="DC37" s="7"/>
      <c r="DD37" s="8"/>
      <c r="DE37" s="8"/>
      <c r="DF37" s="8"/>
      <c r="DG37" s="8"/>
      <c r="DH37" s="8"/>
      <c r="DI37" s="7"/>
      <c r="DJ37" s="7"/>
      <c r="DK37" s="8"/>
      <c r="DL37" s="8"/>
      <c r="DM37" s="8"/>
      <c r="DN37" s="8"/>
      <c r="DO37" s="8"/>
      <c r="DP37" s="7"/>
      <c r="DQ37" s="7"/>
      <c r="DR37" s="8"/>
      <c r="DS37" s="8"/>
      <c r="DT37" s="8"/>
      <c r="DU37" s="8"/>
      <c r="DV37" s="8"/>
      <c r="DW37" s="7"/>
      <c r="DX37" s="7"/>
      <c r="DY37" s="8"/>
      <c r="DZ37" s="8"/>
      <c r="EA37" s="8"/>
      <c r="EB37" s="8"/>
      <c r="EC37" s="8"/>
      <c r="ED37" s="7"/>
      <c r="EE37" s="7"/>
      <c r="EF37" s="8"/>
      <c r="EG37" s="8"/>
      <c r="EH37" s="8"/>
      <c r="EI37" s="8"/>
      <c r="EJ37" s="8"/>
      <c r="EK37" s="7"/>
      <c r="EL37" s="7"/>
      <c r="EM37" s="8"/>
      <c r="EN37" s="8"/>
      <c r="EO37" s="8"/>
      <c r="EP37" s="8"/>
      <c r="EQ37" s="8"/>
      <c r="ER37" s="7"/>
      <c r="ES37" s="7"/>
      <c r="ET37" s="8"/>
      <c r="EU37" s="8"/>
      <c r="EV37" s="8"/>
      <c r="EW37" s="8"/>
      <c r="EX37" s="8"/>
      <c r="EY37" s="7"/>
      <c r="EZ37" s="7"/>
      <c r="FA37" s="8"/>
      <c r="FB37" s="8"/>
      <c r="FC37" s="8"/>
      <c r="FD37" s="8"/>
      <c r="FE37" s="8"/>
      <c r="FF37" s="7"/>
      <c r="FG37" s="7"/>
      <c r="FH37" s="8"/>
      <c r="FI37" s="8"/>
      <c r="FJ37" s="8"/>
      <c r="FK37" s="8"/>
      <c r="FL37" s="8"/>
      <c r="FM37" s="7"/>
      <c r="FN37" s="7"/>
      <c r="FO37" s="8"/>
      <c r="FP37" s="8"/>
      <c r="FQ37" s="8"/>
      <c r="FR37" s="8"/>
      <c r="FS37" s="8"/>
      <c r="FT37" s="7"/>
      <c r="FU37" s="7"/>
      <c r="FV37" s="8"/>
      <c r="FW37" s="8"/>
      <c r="FX37" s="8"/>
      <c r="FY37" s="8"/>
      <c r="FZ37" s="8"/>
      <c r="GA37" s="7"/>
      <c r="GB37" s="7"/>
      <c r="GC37" s="8"/>
      <c r="GD37" s="8"/>
      <c r="GE37" s="8"/>
      <c r="GF37" s="8"/>
      <c r="GG37" s="8"/>
      <c r="GH37" s="7"/>
      <c r="GI37" s="7"/>
      <c r="GJ37" s="8"/>
      <c r="GK37" s="8"/>
      <c r="GL37" s="8"/>
      <c r="GM37" s="8"/>
      <c r="GN37" s="8"/>
      <c r="GO37" s="7"/>
      <c r="GP37" s="7"/>
      <c r="GQ37" s="8"/>
      <c r="GR37" s="8"/>
      <c r="GS37" s="8"/>
      <c r="GT37" s="8"/>
      <c r="GU37" s="7"/>
      <c r="GV37" s="7"/>
      <c r="GW37" s="7"/>
      <c r="GX37" s="7"/>
      <c r="GY37" s="8"/>
      <c r="GZ37" s="8"/>
      <c r="HA37" s="8"/>
      <c r="HB37" s="8"/>
      <c r="HC37" s="7"/>
      <c r="HD37" s="7"/>
      <c r="HE37" s="8"/>
      <c r="HF37" s="8"/>
      <c r="HG37" s="8"/>
      <c r="HH37" s="8"/>
      <c r="HI37" s="8"/>
      <c r="HJ37" s="7"/>
      <c r="HK37" s="7"/>
      <c r="HL37" s="8"/>
      <c r="HM37" s="8"/>
      <c r="HN37" s="8"/>
      <c r="HO37" s="8"/>
      <c r="HP37" s="8"/>
      <c r="HQ37" s="7"/>
      <c r="HR37" s="7"/>
      <c r="HS37" s="8"/>
      <c r="HT37" s="8"/>
      <c r="HU37" s="8"/>
      <c r="HV37" s="8"/>
      <c r="HW37" s="8"/>
      <c r="HX37" s="7"/>
      <c r="HY37" s="7"/>
      <c r="HZ37" s="8"/>
      <c r="IA37" s="8"/>
      <c r="IB37" s="8"/>
      <c r="IC37" s="8"/>
      <c r="ID37" s="8"/>
      <c r="IE37" s="7"/>
      <c r="IF37" s="7"/>
      <c r="IG37" s="8"/>
      <c r="IH37" s="8"/>
      <c r="II37" s="8"/>
      <c r="IJ37" s="8"/>
      <c r="IK37" s="8"/>
      <c r="IL37" s="7"/>
      <c r="IM37" s="7"/>
      <c r="IN37" s="8"/>
      <c r="IO37" s="8"/>
      <c r="IP37" s="8"/>
      <c r="IQ37" s="8"/>
      <c r="IR37" s="8"/>
      <c r="IS37" s="7"/>
      <c r="IT37" s="7"/>
      <c r="IU37" s="8"/>
      <c r="IV37" s="8"/>
      <c r="IW37" s="8"/>
      <c r="IX37" s="8"/>
      <c r="IY37" s="8"/>
      <c r="IZ37" s="7"/>
      <c r="JA37" s="7"/>
      <c r="JB37" s="8"/>
      <c r="JC37" s="25"/>
      <c r="JD37" s="8"/>
      <c r="JE37" s="8"/>
      <c r="JF37" s="8"/>
      <c r="JG37" s="7"/>
      <c r="JH37" s="7"/>
      <c r="JI37" s="8"/>
      <c r="JJ37" s="8"/>
      <c r="JK37" s="8"/>
      <c r="JL37" s="8"/>
      <c r="JM37" s="8"/>
      <c r="JN37" s="7"/>
      <c r="JO37" s="7"/>
      <c r="JP37" s="8"/>
      <c r="JQ37" s="8"/>
      <c r="JR37" s="8"/>
      <c r="JS37" s="8"/>
      <c r="JT37" s="25"/>
      <c r="JU37" s="7"/>
      <c r="JV37" s="7"/>
      <c r="JW37" s="8"/>
      <c r="JX37" s="8"/>
      <c r="JY37" s="8"/>
      <c r="JZ37" s="8"/>
      <c r="KA37" s="25"/>
      <c r="KB37" s="7"/>
      <c r="KC37" s="7"/>
      <c r="KD37" s="8"/>
      <c r="KE37" s="8"/>
      <c r="KF37" s="8"/>
      <c r="KG37" s="8"/>
      <c r="KH37" s="8"/>
      <c r="KI37" s="7"/>
      <c r="KJ37" s="7"/>
      <c r="KK37" s="8"/>
      <c r="KL37" s="8"/>
      <c r="KM37" s="8"/>
      <c r="KN37" s="8"/>
      <c r="KO37" s="8"/>
      <c r="KP37" s="7"/>
      <c r="KQ37" s="7"/>
      <c r="KR37" s="8"/>
      <c r="KS37" s="8"/>
      <c r="KT37" s="8"/>
      <c r="KU37" s="8"/>
      <c r="KV37" s="8"/>
      <c r="KW37" s="7"/>
      <c r="KX37" s="7"/>
      <c r="KY37" s="8"/>
      <c r="KZ37" s="8"/>
      <c r="LA37" s="8"/>
      <c r="LB37" s="8"/>
      <c r="LC37" s="8"/>
      <c r="LD37" s="7"/>
      <c r="LE37" s="7"/>
      <c r="LF37" s="8"/>
      <c r="LG37" s="8"/>
      <c r="LH37" s="8"/>
      <c r="LI37" s="8"/>
      <c r="LJ37" s="8"/>
      <c r="LK37" s="7"/>
      <c r="LL37" s="7"/>
      <c r="LM37" s="8"/>
      <c r="LN37" s="8"/>
      <c r="LO37" s="8"/>
      <c r="LP37" s="8"/>
      <c r="LQ37" s="8"/>
      <c r="LR37" s="7"/>
      <c r="LS37" s="7"/>
      <c r="LT37" s="8"/>
      <c r="LU37" s="8"/>
      <c r="LV37" s="8"/>
      <c r="LW37" s="8"/>
      <c r="LX37" s="8"/>
      <c r="LY37" s="7"/>
      <c r="LZ37" s="7"/>
      <c r="MA37" s="8"/>
      <c r="MB37" s="8"/>
      <c r="MC37" s="8"/>
      <c r="MD37" s="8"/>
      <c r="ME37" s="8"/>
      <c r="MF37" s="7"/>
      <c r="MG37" s="7"/>
      <c r="MH37" s="8"/>
      <c r="MI37" s="8"/>
      <c r="MJ37" s="8"/>
      <c r="MK37" s="8"/>
      <c r="ML37" s="8"/>
      <c r="MM37" s="34"/>
      <c r="MN37" s="34"/>
      <c r="MO37" s="32"/>
      <c r="MP37" s="32"/>
      <c r="MQ37" s="32"/>
      <c r="MR37" s="32"/>
      <c r="MS37" s="32"/>
      <c r="MT37" s="34"/>
      <c r="MU37" s="34"/>
      <c r="MV37" s="35" t="s">
        <v>1</v>
      </c>
      <c r="MW37" s="35" t="s">
        <v>1</v>
      </c>
      <c r="MX37" s="35" t="s">
        <v>1</v>
      </c>
      <c r="MY37" s="35" t="s">
        <v>1</v>
      </c>
      <c r="MZ37" s="35" t="s">
        <v>1</v>
      </c>
      <c r="NA37" s="34"/>
      <c r="NB37" s="34"/>
      <c r="NC37" s="32"/>
      <c r="ND37" s="32"/>
      <c r="NE37" s="32"/>
      <c r="NF37" s="32"/>
      <c r="NG37" s="32"/>
      <c r="NH37" s="34"/>
      <c r="NI37" s="34"/>
      <c r="NJ37" s="32"/>
      <c r="NK37" s="32"/>
      <c r="NL37" s="32"/>
    </row>
  </sheetData>
  <autoFilter ref="B8:D37" xr:uid="{00000000-0009-0000-0000-000001000000}"/>
  <mergeCells count="12">
    <mergeCell ref="HR6:IU6"/>
    <mergeCell ref="GM6:HQ6"/>
    <mergeCell ref="MH6:NL6"/>
    <mergeCell ref="LF6:MG6"/>
    <mergeCell ref="KA6:LE6"/>
    <mergeCell ref="IV6:JZ6"/>
    <mergeCell ref="L6:AO6"/>
    <mergeCell ref="CY6:EC6"/>
    <mergeCell ref="ED6:FH6"/>
    <mergeCell ref="FI6:GL6"/>
    <mergeCell ref="BU6:CX6"/>
    <mergeCell ref="AP6:BT6"/>
  </mergeCells>
  <pageMargins left="0.70000000000000007" right="0.70000000000000007" top="0.75" bottom="0.75" header="0.30000000000000004" footer="0.30000000000000004"/>
  <pageSetup paperSize="9" fitToWidth="0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L46"/>
  <sheetViews>
    <sheetView zoomScale="85" zoomScaleNormal="85" workbookViewId="0">
      <pane xSplit="4" ySplit="8" topLeftCell="NF26" activePane="bottomRight" state="frozen"/>
      <selection pane="bottomRight" activeCell="EL44" sqref="EL44"/>
      <selection pane="bottomLeft" activeCell="A9" sqref="A9"/>
      <selection pane="topRight" activeCell="E1" sqref="E1"/>
    </sheetView>
  </sheetViews>
  <sheetFormatPr defaultColWidth="5.42578125" defaultRowHeight="15"/>
  <cols>
    <col min="1" max="1" width="5" style="1" customWidth="1"/>
    <col min="2" max="2" width="18.28515625" style="1" bestFit="1" customWidth="1"/>
    <col min="3" max="3" width="17.42578125" style="1" bestFit="1" customWidth="1"/>
    <col min="4" max="4" width="15.5703125" style="1" customWidth="1"/>
    <col min="5" max="6" width="12.28515625" style="1" bestFit="1" customWidth="1"/>
    <col min="7" max="7" width="12.7109375" style="1" bestFit="1" customWidth="1"/>
    <col min="8" max="8" width="17.7109375" style="1" bestFit="1" customWidth="1"/>
    <col min="9" max="9" width="15.5703125" style="1" bestFit="1" customWidth="1"/>
    <col min="10" max="10" width="15.5703125" style="1" customWidth="1"/>
    <col min="11" max="11" width="16.140625" style="1" bestFit="1" customWidth="1"/>
    <col min="12" max="16384" width="5.42578125" style="2"/>
  </cols>
  <sheetData>
    <row r="1" spans="1:376" ht="15.75" thickBot="1"/>
    <row r="2" spans="1:376">
      <c r="B2" s="13" t="s">
        <v>0</v>
      </c>
      <c r="C2" s="15" t="s">
        <v>1</v>
      </c>
      <c r="D2" s="2"/>
      <c r="E2" s="2"/>
      <c r="F2" s="2"/>
      <c r="G2" s="2"/>
      <c r="I2" s="2"/>
      <c r="J2" s="2"/>
      <c r="K2" s="2"/>
    </row>
    <row r="3" spans="1:376">
      <c r="B3" s="16" t="s">
        <v>2</v>
      </c>
      <c r="C3" s="17" t="s">
        <v>3</v>
      </c>
      <c r="D3" s="2"/>
      <c r="E3" s="2"/>
      <c r="F3" s="2"/>
      <c r="G3" s="2"/>
      <c r="I3" s="2"/>
      <c r="J3" s="2"/>
      <c r="K3" s="2"/>
    </row>
    <row r="4" spans="1:376">
      <c r="B4" s="16" t="s">
        <v>4</v>
      </c>
      <c r="C4" s="18" t="s">
        <v>5</v>
      </c>
      <c r="D4" s="2"/>
      <c r="E4" s="2"/>
      <c r="F4" s="2"/>
      <c r="G4" s="2"/>
      <c r="I4" s="2"/>
      <c r="J4" s="2"/>
      <c r="K4" s="2"/>
    </row>
    <row r="5" spans="1:376" ht="15.75" thickBot="1">
      <c r="B5" s="19" t="s">
        <v>6</v>
      </c>
      <c r="C5" s="21" t="s">
        <v>7</v>
      </c>
      <c r="D5" s="2"/>
      <c r="E5" s="2"/>
      <c r="F5" s="2"/>
      <c r="G5" s="2"/>
      <c r="I5" s="2"/>
      <c r="J5" s="2"/>
      <c r="K5" s="2"/>
    </row>
    <row r="6" spans="1:376" ht="16.5" customHeight="1" thickBot="1">
      <c r="L6" s="353" t="s">
        <v>8</v>
      </c>
      <c r="M6" s="354"/>
      <c r="N6" s="354"/>
      <c r="O6" s="354"/>
      <c r="P6" s="354"/>
      <c r="Q6" s="354"/>
      <c r="R6" s="354"/>
      <c r="S6" s="354"/>
      <c r="T6" s="354"/>
      <c r="U6" s="354"/>
      <c r="V6" s="354"/>
      <c r="W6" s="354"/>
      <c r="X6" s="354"/>
      <c r="Y6" s="354"/>
      <c r="Z6" s="354"/>
      <c r="AA6" s="354"/>
      <c r="AB6" s="354"/>
      <c r="AC6" s="354"/>
      <c r="AD6" s="354"/>
      <c r="AE6" s="354"/>
      <c r="AF6" s="354"/>
      <c r="AG6" s="354"/>
      <c r="AH6" s="354"/>
      <c r="AI6" s="354"/>
      <c r="AJ6" s="354"/>
      <c r="AK6" s="354"/>
      <c r="AL6" s="354"/>
      <c r="AM6" s="354"/>
      <c r="AN6" s="354"/>
      <c r="AO6" s="354"/>
      <c r="AP6" s="353" t="s">
        <v>9</v>
      </c>
      <c r="AQ6" s="354"/>
      <c r="AR6" s="354"/>
      <c r="AS6" s="354"/>
      <c r="AT6" s="354"/>
      <c r="AU6" s="354"/>
      <c r="AV6" s="354"/>
      <c r="AW6" s="354"/>
      <c r="AX6" s="354"/>
      <c r="AY6" s="354"/>
      <c r="AZ6" s="354"/>
      <c r="BA6" s="354"/>
      <c r="BB6" s="354"/>
      <c r="BC6" s="354"/>
      <c r="BD6" s="354"/>
      <c r="BE6" s="354"/>
      <c r="BF6" s="354"/>
      <c r="BG6" s="354"/>
      <c r="BH6" s="354"/>
      <c r="BI6" s="354"/>
      <c r="BJ6" s="354"/>
      <c r="BK6" s="354"/>
      <c r="BL6" s="354"/>
      <c r="BM6" s="354"/>
      <c r="BN6" s="354"/>
      <c r="BO6" s="354"/>
      <c r="BP6" s="354"/>
      <c r="BQ6" s="354"/>
      <c r="BR6" s="354"/>
      <c r="BS6" s="354"/>
      <c r="BT6" s="354"/>
      <c r="BU6" s="355" t="s">
        <v>10</v>
      </c>
      <c r="BV6" s="356"/>
      <c r="BW6" s="356"/>
      <c r="BX6" s="356"/>
      <c r="BY6" s="356"/>
      <c r="BZ6" s="356"/>
      <c r="CA6" s="356"/>
      <c r="CB6" s="356"/>
      <c r="CC6" s="356"/>
      <c r="CD6" s="356"/>
      <c r="CE6" s="356"/>
      <c r="CF6" s="356"/>
      <c r="CG6" s="356"/>
      <c r="CH6" s="356"/>
      <c r="CI6" s="356"/>
      <c r="CJ6" s="356"/>
      <c r="CK6" s="356"/>
      <c r="CL6" s="356"/>
      <c r="CM6" s="356"/>
      <c r="CN6" s="356"/>
      <c r="CO6" s="356"/>
      <c r="CP6" s="356"/>
      <c r="CQ6" s="356"/>
      <c r="CR6" s="356"/>
      <c r="CS6" s="356"/>
      <c r="CT6" s="356"/>
      <c r="CU6" s="356"/>
      <c r="CV6" s="356"/>
      <c r="CW6" s="356"/>
      <c r="CX6" s="357"/>
      <c r="CY6" s="355" t="s">
        <v>11</v>
      </c>
      <c r="CZ6" s="356"/>
      <c r="DA6" s="356"/>
      <c r="DB6" s="356"/>
      <c r="DC6" s="356"/>
      <c r="DD6" s="356"/>
      <c r="DE6" s="356"/>
      <c r="DF6" s="356"/>
      <c r="DG6" s="356"/>
      <c r="DH6" s="356"/>
      <c r="DI6" s="356"/>
      <c r="DJ6" s="356"/>
      <c r="DK6" s="356"/>
      <c r="DL6" s="356"/>
      <c r="DM6" s="356"/>
      <c r="DN6" s="356"/>
      <c r="DO6" s="356"/>
      <c r="DP6" s="356"/>
      <c r="DQ6" s="356"/>
      <c r="DR6" s="356"/>
      <c r="DS6" s="356"/>
      <c r="DT6" s="356"/>
      <c r="DU6" s="356"/>
      <c r="DV6" s="356"/>
      <c r="DW6" s="356"/>
      <c r="DX6" s="356"/>
      <c r="DY6" s="356"/>
      <c r="DZ6" s="356"/>
      <c r="EA6" s="356"/>
      <c r="EB6" s="356"/>
      <c r="EC6" s="357"/>
      <c r="ED6" s="355" t="s">
        <v>12</v>
      </c>
      <c r="EE6" s="356"/>
      <c r="EF6" s="356"/>
      <c r="EG6" s="356"/>
      <c r="EH6" s="356"/>
      <c r="EI6" s="356"/>
      <c r="EJ6" s="356"/>
      <c r="EK6" s="356"/>
      <c r="EL6" s="356"/>
      <c r="EM6" s="356"/>
      <c r="EN6" s="356"/>
      <c r="EO6" s="356"/>
      <c r="EP6" s="356"/>
      <c r="EQ6" s="356"/>
      <c r="ER6" s="356"/>
      <c r="ES6" s="356"/>
      <c r="ET6" s="356"/>
      <c r="EU6" s="356"/>
      <c r="EV6" s="356"/>
      <c r="EW6" s="356"/>
      <c r="EX6" s="356"/>
      <c r="EY6" s="356"/>
      <c r="EZ6" s="356"/>
      <c r="FA6" s="356"/>
      <c r="FB6" s="356"/>
      <c r="FC6" s="356"/>
      <c r="FD6" s="356"/>
      <c r="FE6" s="356"/>
      <c r="FF6" s="356"/>
      <c r="FG6" s="356"/>
      <c r="FH6" s="357"/>
      <c r="FI6" s="355" t="s">
        <v>13</v>
      </c>
      <c r="FJ6" s="356"/>
      <c r="FK6" s="356"/>
      <c r="FL6" s="356"/>
      <c r="FM6" s="356"/>
      <c r="FN6" s="356"/>
      <c r="FO6" s="356"/>
      <c r="FP6" s="356"/>
      <c r="FQ6" s="356"/>
      <c r="FR6" s="356"/>
      <c r="FS6" s="356"/>
      <c r="FT6" s="356"/>
      <c r="FU6" s="356"/>
      <c r="FV6" s="356"/>
      <c r="FW6" s="356"/>
      <c r="FX6" s="356"/>
      <c r="FY6" s="356"/>
      <c r="FZ6" s="356"/>
      <c r="GA6" s="356"/>
      <c r="GB6" s="356"/>
      <c r="GC6" s="356"/>
      <c r="GD6" s="356"/>
      <c r="GE6" s="356"/>
      <c r="GF6" s="356"/>
      <c r="GG6" s="356"/>
      <c r="GH6" s="356"/>
      <c r="GI6" s="356"/>
      <c r="GJ6" s="356"/>
      <c r="GK6" s="356"/>
      <c r="GL6" s="357"/>
      <c r="GM6" s="351" t="s">
        <v>14</v>
      </c>
      <c r="GN6" s="352"/>
      <c r="GO6" s="352"/>
      <c r="GP6" s="352"/>
      <c r="GQ6" s="352"/>
      <c r="GR6" s="352"/>
      <c r="GS6" s="352"/>
      <c r="GT6" s="352"/>
      <c r="GU6" s="352"/>
      <c r="GV6" s="352"/>
      <c r="GW6" s="352"/>
      <c r="GX6" s="352"/>
      <c r="GY6" s="352"/>
      <c r="GZ6" s="352"/>
      <c r="HA6" s="352"/>
      <c r="HB6" s="352"/>
      <c r="HC6" s="352"/>
      <c r="HD6" s="352"/>
      <c r="HE6" s="352"/>
      <c r="HF6" s="352"/>
      <c r="HG6" s="352"/>
      <c r="HH6" s="352"/>
      <c r="HI6" s="352"/>
      <c r="HJ6" s="352"/>
      <c r="HK6" s="352"/>
      <c r="HL6" s="352"/>
      <c r="HM6" s="352"/>
      <c r="HN6" s="352"/>
      <c r="HO6" s="352"/>
      <c r="HP6" s="352"/>
      <c r="HQ6" s="358"/>
      <c r="HR6" s="352" t="s">
        <v>15</v>
      </c>
      <c r="HS6" s="352"/>
      <c r="HT6" s="352"/>
      <c r="HU6" s="352"/>
      <c r="HV6" s="352"/>
      <c r="HW6" s="352"/>
      <c r="HX6" s="352"/>
      <c r="HY6" s="352"/>
      <c r="HZ6" s="352"/>
      <c r="IA6" s="352"/>
      <c r="IB6" s="352"/>
      <c r="IC6" s="352"/>
      <c r="ID6" s="352"/>
      <c r="IE6" s="352"/>
      <c r="IF6" s="352"/>
      <c r="IG6" s="352"/>
      <c r="IH6" s="352"/>
      <c r="II6" s="352"/>
      <c r="IJ6" s="352"/>
      <c r="IK6" s="352"/>
      <c r="IL6" s="352"/>
      <c r="IM6" s="352"/>
      <c r="IN6" s="352"/>
      <c r="IO6" s="352"/>
      <c r="IP6" s="352"/>
      <c r="IQ6" s="352"/>
      <c r="IR6" s="352"/>
      <c r="IS6" s="352"/>
      <c r="IT6" s="352"/>
      <c r="IU6" s="358"/>
      <c r="IV6" s="351" t="s">
        <v>16</v>
      </c>
      <c r="IW6" s="352"/>
      <c r="IX6" s="352"/>
      <c r="IY6" s="352"/>
      <c r="IZ6" s="352"/>
      <c r="JA6" s="352"/>
      <c r="JB6" s="352"/>
      <c r="JC6" s="352"/>
      <c r="JD6" s="352"/>
      <c r="JE6" s="352"/>
      <c r="JF6" s="352"/>
      <c r="JG6" s="352"/>
      <c r="JH6" s="352"/>
      <c r="JI6" s="352"/>
      <c r="JJ6" s="352"/>
      <c r="JK6" s="352"/>
      <c r="JL6" s="352"/>
      <c r="JM6" s="352"/>
      <c r="JN6" s="352"/>
      <c r="JO6" s="352"/>
      <c r="JP6" s="352"/>
      <c r="JQ6" s="352"/>
      <c r="JR6" s="352"/>
      <c r="JS6" s="352"/>
      <c r="JT6" s="352"/>
      <c r="JU6" s="352"/>
      <c r="JV6" s="352"/>
      <c r="JW6" s="352"/>
      <c r="JX6" s="352"/>
      <c r="JY6" s="352"/>
      <c r="JZ6" s="358"/>
      <c r="KA6" s="352" t="s">
        <v>17</v>
      </c>
      <c r="KB6" s="352"/>
      <c r="KC6" s="352"/>
      <c r="KD6" s="352"/>
      <c r="KE6" s="352"/>
      <c r="KF6" s="352"/>
      <c r="KG6" s="352"/>
      <c r="KH6" s="352"/>
      <c r="KI6" s="352"/>
      <c r="KJ6" s="352"/>
      <c r="KK6" s="352"/>
      <c r="KL6" s="352"/>
      <c r="KM6" s="352"/>
      <c r="KN6" s="352"/>
      <c r="KO6" s="352"/>
      <c r="KP6" s="352"/>
      <c r="KQ6" s="352"/>
      <c r="KR6" s="352"/>
      <c r="KS6" s="352"/>
      <c r="KT6" s="352"/>
      <c r="KU6" s="352"/>
      <c r="KV6" s="352"/>
      <c r="KW6" s="352"/>
      <c r="KX6" s="352"/>
      <c r="KY6" s="352"/>
      <c r="KZ6" s="352"/>
      <c r="LA6" s="352"/>
      <c r="LB6" s="352"/>
      <c r="LC6" s="352"/>
      <c r="LD6" s="352"/>
      <c r="LE6" s="358"/>
      <c r="LF6" s="351" t="s">
        <v>18</v>
      </c>
      <c r="LG6" s="352"/>
      <c r="LH6" s="352"/>
      <c r="LI6" s="352"/>
      <c r="LJ6" s="352"/>
      <c r="LK6" s="352"/>
      <c r="LL6" s="352"/>
      <c r="LM6" s="352"/>
      <c r="LN6" s="352"/>
      <c r="LO6" s="352"/>
      <c r="LP6" s="352"/>
      <c r="LQ6" s="352"/>
      <c r="LR6" s="352"/>
      <c r="LS6" s="352"/>
      <c r="LT6" s="352"/>
      <c r="LU6" s="352"/>
      <c r="LV6" s="352"/>
      <c r="LW6" s="352"/>
      <c r="LX6" s="352"/>
      <c r="LY6" s="352"/>
      <c r="LZ6" s="352"/>
      <c r="MA6" s="352"/>
      <c r="MB6" s="352"/>
      <c r="MC6" s="352"/>
      <c r="MD6" s="352"/>
      <c r="ME6" s="352"/>
      <c r="MF6" s="352"/>
      <c r="MG6" s="358"/>
      <c r="MH6" s="351" t="s">
        <v>19</v>
      </c>
      <c r="MI6" s="352"/>
      <c r="MJ6" s="352"/>
      <c r="MK6" s="352"/>
      <c r="ML6" s="352"/>
      <c r="MM6" s="352"/>
      <c r="MN6" s="352"/>
      <c r="MO6" s="352"/>
      <c r="MP6" s="352"/>
      <c r="MQ6" s="352"/>
      <c r="MR6" s="352"/>
      <c r="MS6" s="352"/>
      <c r="MT6" s="352"/>
      <c r="MU6" s="352"/>
      <c r="MV6" s="352"/>
      <c r="MW6" s="352"/>
      <c r="MX6" s="352"/>
      <c r="MY6" s="352"/>
      <c r="MZ6" s="352"/>
      <c r="NA6" s="352"/>
      <c r="NB6" s="352"/>
      <c r="NC6" s="352"/>
      <c r="ND6" s="352"/>
      <c r="NE6" s="352"/>
      <c r="NF6" s="352"/>
      <c r="NG6" s="352"/>
      <c r="NH6" s="352"/>
      <c r="NI6" s="352"/>
      <c r="NJ6" s="352"/>
      <c r="NK6" s="352"/>
      <c r="NL6" s="352"/>
    </row>
    <row r="7" spans="1:376" s="3" customFormat="1">
      <c r="A7" s="1"/>
      <c r="L7" s="5">
        <v>1</v>
      </c>
      <c r="M7" s="5">
        <v>2</v>
      </c>
      <c r="N7" s="5">
        <v>3</v>
      </c>
      <c r="O7" s="5">
        <v>4</v>
      </c>
      <c r="P7" s="5">
        <v>5</v>
      </c>
      <c r="Q7" s="5">
        <v>6</v>
      </c>
      <c r="R7" s="5">
        <v>7</v>
      </c>
      <c r="S7" s="5">
        <v>8</v>
      </c>
      <c r="T7" s="5">
        <v>9</v>
      </c>
      <c r="U7" s="5">
        <v>10</v>
      </c>
      <c r="V7" s="5">
        <v>11</v>
      </c>
      <c r="W7" s="5">
        <v>12</v>
      </c>
      <c r="X7" s="5">
        <v>13</v>
      </c>
      <c r="Y7" s="5">
        <v>14</v>
      </c>
      <c r="Z7" s="5">
        <v>15</v>
      </c>
      <c r="AA7" s="5">
        <v>16</v>
      </c>
      <c r="AB7" s="5">
        <v>17</v>
      </c>
      <c r="AC7" s="5">
        <v>18</v>
      </c>
      <c r="AD7" s="5">
        <v>19</v>
      </c>
      <c r="AE7" s="5">
        <v>20</v>
      </c>
      <c r="AF7" s="5">
        <v>21</v>
      </c>
      <c r="AG7" s="5">
        <v>22</v>
      </c>
      <c r="AH7" s="5">
        <v>23</v>
      </c>
      <c r="AI7" s="5">
        <v>24</v>
      </c>
      <c r="AJ7" s="5">
        <v>25</v>
      </c>
      <c r="AK7" s="5">
        <v>26</v>
      </c>
      <c r="AL7" s="5">
        <v>27</v>
      </c>
      <c r="AM7" s="5">
        <v>28</v>
      </c>
      <c r="AN7" s="5">
        <v>29</v>
      </c>
      <c r="AO7" s="5">
        <v>30</v>
      </c>
      <c r="AP7" s="5">
        <v>1</v>
      </c>
      <c r="AQ7" s="5">
        <v>2</v>
      </c>
      <c r="AR7" s="5">
        <v>3</v>
      </c>
      <c r="AS7" s="5">
        <v>4</v>
      </c>
      <c r="AT7" s="5">
        <v>5</v>
      </c>
      <c r="AU7" s="5">
        <v>6</v>
      </c>
      <c r="AV7" s="5">
        <v>7</v>
      </c>
      <c r="AW7" s="5">
        <v>8</v>
      </c>
      <c r="AX7" s="5">
        <v>9</v>
      </c>
      <c r="AY7" s="5">
        <v>10</v>
      </c>
      <c r="AZ7" s="5">
        <v>11</v>
      </c>
      <c r="BA7" s="5">
        <v>12</v>
      </c>
      <c r="BB7" s="5">
        <v>13</v>
      </c>
      <c r="BC7" s="5">
        <v>14</v>
      </c>
      <c r="BD7" s="5">
        <v>15</v>
      </c>
      <c r="BE7" s="5">
        <v>16</v>
      </c>
      <c r="BF7" s="5">
        <v>17</v>
      </c>
      <c r="BG7" s="5">
        <v>18</v>
      </c>
      <c r="BH7" s="5">
        <v>19</v>
      </c>
      <c r="BI7" s="5">
        <v>20</v>
      </c>
      <c r="BJ7" s="5">
        <v>21</v>
      </c>
      <c r="BK7" s="5">
        <v>22</v>
      </c>
      <c r="BL7" s="5">
        <v>23</v>
      </c>
      <c r="BM7" s="5">
        <v>24</v>
      </c>
      <c r="BN7" s="5">
        <v>25</v>
      </c>
      <c r="BO7" s="5">
        <v>26</v>
      </c>
      <c r="BP7" s="5">
        <v>27</v>
      </c>
      <c r="BQ7" s="5">
        <v>28</v>
      </c>
      <c r="BR7" s="5">
        <v>29</v>
      </c>
      <c r="BS7" s="5">
        <v>30</v>
      </c>
      <c r="BT7" s="5">
        <v>31</v>
      </c>
      <c r="BU7" s="6">
        <v>1</v>
      </c>
      <c r="BV7" s="6">
        <v>2</v>
      </c>
      <c r="BW7" s="6">
        <v>3</v>
      </c>
      <c r="BX7" s="6">
        <v>4</v>
      </c>
      <c r="BY7" s="6">
        <v>5</v>
      </c>
      <c r="BZ7" s="6">
        <v>6</v>
      </c>
      <c r="CA7" s="6">
        <v>7</v>
      </c>
      <c r="CB7" s="6">
        <v>8</v>
      </c>
      <c r="CC7" s="6">
        <v>9</v>
      </c>
      <c r="CD7" s="6">
        <v>10</v>
      </c>
      <c r="CE7" s="6">
        <v>11</v>
      </c>
      <c r="CF7" s="6">
        <v>12</v>
      </c>
      <c r="CG7" s="6">
        <v>13</v>
      </c>
      <c r="CH7" s="6">
        <v>14</v>
      </c>
      <c r="CI7" s="6">
        <v>15</v>
      </c>
      <c r="CJ7" s="6">
        <v>16</v>
      </c>
      <c r="CK7" s="6">
        <v>17</v>
      </c>
      <c r="CL7" s="6">
        <v>18</v>
      </c>
      <c r="CM7" s="6">
        <v>19</v>
      </c>
      <c r="CN7" s="6">
        <v>20</v>
      </c>
      <c r="CO7" s="6">
        <v>21</v>
      </c>
      <c r="CP7" s="6">
        <v>22</v>
      </c>
      <c r="CQ7" s="6">
        <v>23</v>
      </c>
      <c r="CR7" s="6">
        <v>24</v>
      </c>
      <c r="CS7" s="6">
        <v>25</v>
      </c>
      <c r="CT7" s="6">
        <v>26</v>
      </c>
      <c r="CU7" s="6">
        <v>27</v>
      </c>
      <c r="CV7" s="6">
        <v>28</v>
      </c>
      <c r="CW7" s="6">
        <v>29</v>
      </c>
      <c r="CX7" s="6">
        <v>30</v>
      </c>
      <c r="CY7" s="6">
        <v>1</v>
      </c>
      <c r="CZ7" s="6">
        <v>2</v>
      </c>
      <c r="DA7" s="6">
        <v>3</v>
      </c>
      <c r="DB7" s="6">
        <v>4</v>
      </c>
      <c r="DC7" s="6">
        <v>5</v>
      </c>
      <c r="DD7" s="6">
        <v>6</v>
      </c>
      <c r="DE7" s="6">
        <v>7</v>
      </c>
      <c r="DF7" s="6">
        <v>8</v>
      </c>
      <c r="DG7" s="6">
        <v>9</v>
      </c>
      <c r="DH7" s="6">
        <v>10</v>
      </c>
      <c r="DI7" s="6">
        <v>11</v>
      </c>
      <c r="DJ7" s="6">
        <v>12</v>
      </c>
      <c r="DK7" s="6">
        <v>13</v>
      </c>
      <c r="DL7" s="6">
        <v>14</v>
      </c>
      <c r="DM7" s="6">
        <v>15</v>
      </c>
      <c r="DN7" s="6">
        <v>16</v>
      </c>
      <c r="DO7" s="6">
        <v>17</v>
      </c>
      <c r="DP7" s="6">
        <v>18</v>
      </c>
      <c r="DQ7" s="6">
        <v>19</v>
      </c>
      <c r="DR7" s="6">
        <v>20</v>
      </c>
      <c r="DS7" s="6">
        <v>21</v>
      </c>
      <c r="DT7" s="6">
        <v>22</v>
      </c>
      <c r="DU7" s="6">
        <v>23</v>
      </c>
      <c r="DV7" s="6">
        <v>24</v>
      </c>
      <c r="DW7" s="6">
        <v>25</v>
      </c>
      <c r="DX7" s="6">
        <v>26</v>
      </c>
      <c r="DY7" s="6">
        <v>27</v>
      </c>
      <c r="DZ7" s="6">
        <v>28</v>
      </c>
      <c r="EA7" s="6">
        <v>29</v>
      </c>
      <c r="EB7" s="6">
        <v>30</v>
      </c>
      <c r="EC7" s="6">
        <v>31</v>
      </c>
      <c r="ED7" s="6">
        <v>1</v>
      </c>
      <c r="EE7" s="6">
        <v>2</v>
      </c>
      <c r="EF7" s="6">
        <v>3</v>
      </c>
      <c r="EG7" s="6">
        <v>4</v>
      </c>
      <c r="EH7" s="6">
        <v>5</v>
      </c>
      <c r="EI7" s="6">
        <v>6</v>
      </c>
      <c r="EJ7" s="6">
        <v>7</v>
      </c>
      <c r="EK7" s="6">
        <v>8</v>
      </c>
      <c r="EL7" s="6">
        <v>9</v>
      </c>
      <c r="EM7" s="6">
        <v>10</v>
      </c>
      <c r="EN7" s="6">
        <v>11</v>
      </c>
      <c r="EO7" s="6">
        <v>12</v>
      </c>
      <c r="EP7" s="6">
        <v>13</v>
      </c>
      <c r="EQ7" s="6">
        <v>14</v>
      </c>
      <c r="ER7" s="6">
        <v>15</v>
      </c>
      <c r="ES7" s="6">
        <v>16</v>
      </c>
      <c r="ET7" s="6">
        <v>17</v>
      </c>
      <c r="EU7" s="6">
        <v>18</v>
      </c>
      <c r="EV7" s="6">
        <v>19</v>
      </c>
      <c r="EW7" s="6">
        <v>20</v>
      </c>
      <c r="EX7" s="6">
        <v>21</v>
      </c>
      <c r="EY7" s="6">
        <v>22</v>
      </c>
      <c r="EZ7" s="6">
        <v>23</v>
      </c>
      <c r="FA7" s="6">
        <v>24</v>
      </c>
      <c r="FB7" s="6">
        <v>25</v>
      </c>
      <c r="FC7" s="6">
        <v>26</v>
      </c>
      <c r="FD7" s="6">
        <v>27</v>
      </c>
      <c r="FE7" s="6">
        <v>28</v>
      </c>
      <c r="FF7" s="6">
        <v>29</v>
      </c>
      <c r="FG7" s="6">
        <v>30</v>
      </c>
      <c r="FH7" s="6">
        <v>31</v>
      </c>
      <c r="FI7" s="6">
        <v>1</v>
      </c>
      <c r="FJ7" s="6">
        <v>2</v>
      </c>
      <c r="FK7" s="6">
        <v>3</v>
      </c>
      <c r="FL7" s="6">
        <v>4</v>
      </c>
      <c r="FM7" s="6">
        <v>5</v>
      </c>
      <c r="FN7" s="6">
        <v>6</v>
      </c>
      <c r="FO7" s="6">
        <v>7</v>
      </c>
      <c r="FP7" s="6">
        <v>8</v>
      </c>
      <c r="FQ7" s="6">
        <v>9</v>
      </c>
      <c r="FR7" s="6">
        <v>10</v>
      </c>
      <c r="FS7" s="6">
        <v>11</v>
      </c>
      <c r="FT7" s="6">
        <v>12</v>
      </c>
      <c r="FU7" s="6">
        <v>13</v>
      </c>
      <c r="FV7" s="6">
        <v>14</v>
      </c>
      <c r="FW7" s="6">
        <v>15</v>
      </c>
      <c r="FX7" s="6">
        <v>16</v>
      </c>
      <c r="FY7" s="6">
        <v>17</v>
      </c>
      <c r="FZ7" s="6">
        <v>18</v>
      </c>
      <c r="GA7" s="6">
        <v>19</v>
      </c>
      <c r="GB7" s="6">
        <v>20</v>
      </c>
      <c r="GC7" s="6">
        <v>21</v>
      </c>
      <c r="GD7" s="6">
        <v>22</v>
      </c>
      <c r="GE7" s="6">
        <v>23</v>
      </c>
      <c r="GF7" s="6">
        <v>24</v>
      </c>
      <c r="GG7" s="6">
        <v>25</v>
      </c>
      <c r="GH7" s="6">
        <v>26</v>
      </c>
      <c r="GI7" s="6">
        <v>27</v>
      </c>
      <c r="GJ7" s="6">
        <v>28</v>
      </c>
      <c r="GK7" s="6">
        <v>29</v>
      </c>
      <c r="GL7" s="6">
        <v>30</v>
      </c>
      <c r="GM7" s="6">
        <v>1</v>
      </c>
      <c r="GN7" s="6">
        <v>2</v>
      </c>
      <c r="GO7" s="6">
        <v>3</v>
      </c>
      <c r="GP7" s="6">
        <v>4</v>
      </c>
      <c r="GQ7" s="6">
        <v>5</v>
      </c>
      <c r="GR7" s="6">
        <v>6</v>
      </c>
      <c r="GS7" s="6">
        <v>7</v>
      </c>
      <c r="GT7" s="6">
        <v>8</v>
      </c>
      <c r="GU7" s="6">
        <v>9</v>
      </c>
      <c r="GV7" s="6">
        <v>10</v>
      </c>
      <c r="GW7" s="6">
        <v>11</v>
      </c>
      <c r="GX7" s="6">
        <v>12</v>
      </c>
      <c r="GY7" s="6">
        <v>13</v>
      </c>
      <c r="GZ7" s="6">
        <v>14</v>
      </c>
      <c r="HA7" s="6">
        <v>15</v>
      </c>
      <c r="HB7" s="6">
        <v>16</v>
      </c>
      <c r="HC7" s="6">
        <v>17</v>
      </c>
      <c r="HD7" s="6">
        <v>18</v>
      </c>
      <c r="HE7" s="6">
        <v>19</v>
      </c>
      <c r="HF7" s="6">
        <v>20</v>
      </c>
      <c r="HG7" s="6">
        <v>21</v>
      </c>
      <c r="HH7" s="6">
        <v>22</v>
      </c>
      <c r="HI7" s="6">
        <v>23</v>
      </c>
      <c r="HJ7" s="6">
        <v>24</v>
      </c>
      <c r="HK7" s="6">
        <v>25</v>
      </c>
      <c r="HL7" s="6">
        <v>26</v>
      </c>
      <c r="HM7" s="6">
        <v>27</v>
      </c>
      <c r="HN7" s="6">
        <v>28</v>
      </c>
      <c r="HO7" s="6">
        <v>29</v>
      </c>
      <c r="HP7" s="6">
        <v>30</v>
      </c>
      <c r="HQ7" s="6">
        <v>31</v>
      </c>
      <c r="HR7" s="6">
        <v>1</v>
      </c>
      <c r="HS7" s="6">
        <v>2</v>
      </c>
      <c r="HT7" s="6">
        <v>3</v>
      </c>
      <c r="HU7" s="6">
        <v>4</v>
      </c>
      <c r="HV7" s="6">
        <v>5</v>
      </c>
      <c r="HW7" s="6">
        <v>6</v>
      </c>
      <c r="HX7" s="6">
        <v>7</v>
      </c>
      <c r="HY7" s="6">
        <v>8</v>
      </c>
      <c r="HZ7" s="6">
        <v>9</v>
      </c>
      <c r="IA7" s="6">
        <v>10</v>
      </c>
      <c r="IB7" s="6">
        <v>11</v>
      </c>
      <c r="IC7" s="6">
        <v>12</v>
      </c>
      <c r="ID7" s="6">
        <v>13</v>
      </c>
      <c r="IE7" s="6">
        <v>14</v>
      </c>
      <c r="IF7" s="6">
        <v>15</v>
      </c>
      <c r="IG7" s="6">
        <v>16</v>
      </c>
      <c r="IH7" s="6">
        <v>17</v>
      </c>
      <c r="II7" s="6">
        <v>18</v>
      </c>
      <c r="IJ7" s="6">
        <v>19</v>
      </c>
      <c r="IK7" s="6">
        <v>20</v>
      </c>
      <c r="IL7" s="6">
        <v>21</v>
      </c>
      <c r="IM7" s="6">
        <v>22</v>
      </c>
      <c r="IN7" s="6">
        <v>23</v>
      </c>
      <c r="IO7" s="6">
        <v>24</v>
      </c>
      <c r="IP7" s="6">
        <v>25</v>
      </c>
      <c r="IQ7" s="6">
        <v>26</v>
      </c>
      <c r="IR7" s="6">
        <v>27</v>
      </c>
      <c r="IS7" s="6">
        <v>28</v>
      </c>
      <c r="IT7" s="6">
        <v>29</v>
      </c>
      <c r="IU7" s="6">
        <v>30</v>
      </c>
      <c r="IV7" s="6">
        <v>1</v>
      </c>
      <c r="IW7" s="6">
        <v>2</v>
      </c>
      <c r="IX7" s="6">
        <v>3</v>
      </c>
      <c r="IY7" s="6">
        <v>4</v>
      </c>
      <c r="IZ7" s="6">
        <v>5</v>
      </c>
      <c r="JA7" s="6">
        <v>6</v>
      </c>
      <c r="JB7" s="6">
        <v>7</v>
      </c>
      <c r="JC7" s="6">
        <v>8</v>
      </c>
      <c r="JD7" s="6">
        <v>9</v>
      </c>
      <c r="JE7" s="6">
        <v>10</v>
      </c>
      <c r="JF7" s="6">
        <v>11</v>
      </c>
      <c r="JG7" s="6">
        <v>12</v>
      </c>
      <c r="JH7" s="6">
        <v>13</v>
      </c>
      <c r="JI7" s="6">
        <v>14</v>
      </c>
      <c r="JJ7" s="6">
        <v>15</v>
      </c>
      <c r="JK7" s="6">
        <v>16</v>
      </c>
      <c r="JL7" s="6">
        <v>17</v>
      </c>
      <c r="JM7" s="6">
        <v>18</v>
      </c>
      <c r="JN7" s="6">
        <v>19</v>
      </c>
      <c r="JO7" s="6">
        <v>20</v>
      </c>
      <c r="JP7" s="6">
        <v>21</v>
      </c>
      <c r="JQ7" s="6">
        <v>22</v>
      </c>
      <c r="JR7" s="6">
        <v>23</v>
      </c>
      <c r="JS7" s="6">
        <v>24</v>
      </c>
      <c r="JT7" s="6">
        <v>25</v>
      </c>
      <c r="JU7" s="6">
        <v>26</v>
      </c>
      <c r="JV7" s="6">
        <v>27</v>
      </c>
      <c r="JW7" s="6">
        <v>28</v>
      </c>
      <c r="JX7" s="6">
        <v>29</v>
      </c>
      <c r="JY7" s="6">
        <v>30</v>
      </c>
      <c r="JZ7" s="6">
        <v>31</v>
      </c>
      <c r="KA7" s="6">
        <v>1</v>
      </c>
      <c r="KB7" s="6">
        <v>2</v>
      </c>
      <c r="KC7" s="6">
        <v>3</v>
      </c>
      <c r="KD7" s="6">
        <v>4</v>
      </c>
      <c r="KE7" s="6">
        <v>5</v>
      </c>
      <c r="KF7" s="6">
        <v>6</v>
      </c>
      <c r="KG7" s="6">
        <v>7</v>
      </c>
      <c r="KH7" s="6">
        <v>8</v>
      </c>
      <c r="KI7" s="6">
        <v>9</v>
      </c>
      <c r="KJ7" s="6">
        <v>10</v>
      </c>
      <c r="KK7" s="6">
        <v>11</v>
      </c>
      <c r="KL7" s="6">
        <v>12</v>
      </c>
      <c r="KM7" s="6">
        <v>13</v>
      </c>
      <c r="KN7" s="6">
        <v>14</v>
      </c>
      <c r="KO7" s="6">
        <v>15</v>
      </c>
      <c r="KP7" s="6">
        <v>16</v>
      </c>
      <c r="KQ7" s="6">
        <v>17</v>
      </c>
      <c r="KR7" s="6">
        <v>18</v>
      </c>
      <c r="KS7" s="6">
        <v>19</v>
      </c>
      <c r="KT7" s="6">
        <v>20</v>
      </c>
      <c r="KU7" s="6">
        <v>21</v>
      </c>
      <c r="KV7" s="6">
        <v>22</v>
      </c>
      <c r="KW7" s="6">
        <v>23</v>
      </c>
      <c r="KX7" s="6">
        <v>24</v>
      </c>
      <c r="KY7" s="6">
        <v>25</v>
      </c>
      <c r="KZ7" s="6">
        <v>26</v>
      </c>
      <c r="LA7" s="6">
        <v>27</v>
      </c>
      <c r="LB7" s="6">
        <v>28</v>
      </c>
      <c r="LC7" s="6">
        <v>29</v>
      </c>
      <c r="LD7" s="6">
        <v>30</v>
      </c>
      <c r="LE7" s="6">
        <v>31</v>
      </c>
      <c r="LF7" s="6">
        <v>1</v>
      </c>
      <c r="LG7" s="6">
        <v>2</v>
      </c>
      <c r="LH7" s="6">
        <v>3</v>
      </c>
      <c r="LI7" s="6">
        <v>4</v>
      </c>
      <c r="LJ7" s="6">
        <v>5</v>
      </c>
      <c r="LK7" s="6">
        <v>6</v>
      </c>
      <c r="LL7" s="6">
        <v>7</v>
      </c>
      <c r="LM7" s="6">
        <v>8</v>
      </c>
      <c r="LN7" s="6">
        <v>9</v>
      </c>
      <c r="LO7" s="6">
        <v>10</v>
      </c>
      <c r="LP7" s="6">
        <v>11</v>
      </c>
      <c r="LQ7" s="6">
        <v>12</v>
      </c>
      <c r="LR7" s="6">
        <v>13</v>
      </c>
      <c r="LS7" s="6">
        <v>14</v>
      </c>
      <c r="LT7" s="6">
        <v>15</v>
      </c>
      <c r="LU7" s="6">
        <v>16</v>
      </c>
      <c r="LV7" s="6">
        <v>17</v>
      </c>
      <c r="LW7" s="6">
        <v>18</v>
      </c>
      <c r="LX7" s="6">
        <v>19</v>
      </c>
      <c r="LY7" s="6">
        <v>20</v>
      </c>
      <c r="LZ7" s="6">
        <v>21</v>
      </c>
      <c r="MA7" s="6">
        <v>22</v>
      </c>
      <c r="MB7" s="6">
        <v>23</v>
      </c>
      <c r="MC7" s="6">
        <v>24</v>
      </c>
      <c r="MD7" s="6">
        <v>25</v>
      </c>
      <c r="ME7" s="6">
        <v>26</v>
      </c>
      <c r="MF7" s="6">
        <v>27</v>
      </c>
      <c r="MG7" s="6">
        <v>28</v>
      </c>
      <c r="MH7" s="6">
        <v>1</v>
      </c>
      <c r="MI7" s="6">
        <v>2</v>
      </c>
      <c r="MJ7" s="6">
        <v>3</v>
      </c>
      <c r="MK7" s="6">
        <v>4</v>
      </c>
      <c r="ML7" s="6">
        <v>5</v>
      </c>
      <c r="MM7" s="6">
        <v>6</v>
      </c>
      <c r="MN7" s="6">
        <v>7</v>
      </c>
      <c r="MO7" s="6">
        <v>8</v>
      </c>
      <c r="MP7" s="6">
        <v>9</v>
      </c>
      <c r="MQ7" s="6">
        <v>10</v>
      </c>
      <c r="MR7" s="6">
        <v>11</v>
      </c>
      <c r="MS7" s="6">
        <v>12</v>
      </c>
      <c r="MT7" s="6">
        <v>13</v>
      </c>
      <c r="MU7" s="6">
        <v>14</v>
      </c>
      <c r="MV7" s="6">
        <v>15</v>
      </c>
      <c r="MW7" s="6">
        <v>16</v>
      </c>
      <c r="MX7" s="6">
        <v>17</v>
      </c>
      <c r="MY7" s="6">
        <v>18</v>
      </c>
      <c r="MZ7" s="6">
        <v>19</v>
      </c>
      <c r="NA7" s="6">
        <v>20</v>
      </c>
      <c r="NB7" s="6">
        <v>21</v>
      </c>
      <c r="NC7" s="6">
        <v>22</v>
      </c>
      <c r="ND7" s="6">
        <v>23</v>
      </c>
      <c r="NE7" s="6">
        <v>24</v>
      </c>
      <c r="NF7" s="6">
        <v>25</v>
      </c>
      <c r="NG7" s="6">
        <v>26</v>
      </c>
      <c r="NH7" s="6">
        <v>27</v>
      </c>
      <c r="NI7" s="6">
        <v>28</v>
      </c>
      <c r="NJ7" s="6">
        <v>29</v>
      </c>
      <c r="NK7" s="6">
        <v>30</v>
      </c>
      <c r="NL7" s="6">
        <v>31</v>
      </c>
    </row>
    <row r="8" spans="1:376" s="4" customFormat="1" ht="19.5" customHeight="1">
      <c r="A8" s="1"/>
      <c r="B8" s="31" t="s">
        <v>20</v>
      </c>
      <c r="C8" s="31" t="s">
        <v>21</v>
      </c>
      <c r="D8" s="31" t="s">
        <v>22</v>
      </c>
      <c r="E8" s="31" t="s">
        <v>24</v>
      </c>
      <c r="F8" s="31" t="s">
        <v>71</v>
      </c>
      <c r="G8" s="31" t="s">
        <v>25</v>
      </c>
      <c r="H8" s="31" t="s">
        <v>26</v>
      </c>
      <c r="I8" s="31" t="s">
        <v>27</v>
      </c>
      <c r="J8" s="31" t="s">
        <v>4</v>
      </c>
      <c r="K8" s="31" t="s">
        <v>28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</row>
    <row r="9" spans="1:376" ht="15.75" customHeight="1">
      <c r="A9" s="39"/>
      <c r="B9" s="29" t="s">
        <v>29</v>
      </c>
      <c r="C9" s="29" t="s">
        <v>30</v>
      </c>
      <c r="D9" s="29" t="s">
        <v>31</v>
      </c>
      <c r="E9" s="37">
        <v>0</v>
      </c>
      <c r="F9" s="29">
        <v>23</v>
      </c>
      <c r="G9" s="29">
        <v>0</v>
      </c>
      <c r="H9" s="29">
        <f t="shared" ref="H9:H42" si="0">E9+F9-COUNTIF(L9:NL9,$C$2)</f>
        <v>23</v>
      </c>
      <c r="I9" s="30">
        <f t="shared" ref="I9:I42" si="1">G9-COUNTIF(L9:NL9,$C$3)</f>
        <v>-1</v>
      </c>
      <c r="J9" s="30">
        <f t="shared" ref="J9:J42" si="2">COUNTIF(K9:NJ9,$C$4)</f>
        <v>2</v>
      </c>
      <c r="K9" s="30">
        <f t="shared" ref="K9:K42" si="3">COUNTIF(L9:NL9,$C$5)</f>
        <v>0</v>
      </c>
      <c r="L9" s="11"/>
      <c r="M9" s="40"/>
      <c r="N9" s="10"/>
      <c r="O9" s="10"/>
      <c r="P9" s="11"/>
      <c r="Q9" s="11"/>
      <c r="R9" s="11"/>
      <c r="S9" s="11"/>
      <c r="T9" s="11"/>
      <c r="U9" s="10"/>
      <c r="V9" s="10"/>
      <c r="W9" s="11"/>
      <c r="X9" s="11"/>
      <c r="Y9" s="11"/>
      <c r="Z9" s="11"/>
      <c r="AA9" s="11"/>
      <c r="AB9" s="10"/>
      <c r="AC9" s="10"/>
      <c r="AD9" s="11"/>
      <c r="AE9" s="11"/>
      <c r="AF9" s="11"/>
      <c r="AG9" s="11"/>
      <c r="AH9" s="11"/>
      <c r="AI9" s="10"/>
      <c r="AJ9" s="10"/>
      <c r="AK9" s="11"/>
      <c r="AL9" s="11"/>
      <c r="AM9" s="11"/>
      <c r="AN9" s="11"/>
      <c r="AO9" s="11"/>
      <c r="AP9" s="10"/>
      <c r="AQ9" s="10"/>
      <c r="AR9" s="11"/>
      <c r="AS9" s="11"/>
      <c r="AT9" s="11"/>
      <c r="AU9" s="11"/>
      <c r="AV9" s="11"/>
      <c r="AW9" s="10"/>
      <c r="AX9" s="10"/>
      <c r="AY9" s="11"/>
      <c r="AZ9" s="11"/>
      <c r="BA9" s="11"/>
      <c r="BB9" s="11"/>
      <c r="BC9" s="11"/>
      <c r="BD9" s="10"/>
      <c r="BE9" s="10"/>
      <c r="BF9" s="11"/>
      <c r="BG9" s="11"/>
      <c r="BH9" s="11"/>
      <c r="BI9" s="11"/>
      <c r="BJ9" s="40"/>
      <c r="BK9" s="10"/>
      <c r="BL9" s="10"/>
      <c r="BM9" s="11"/>
      <c r="BN9" s="11"/>
      <c r="BO9" s="11"/>
      <c r="BP9" s="11"/>
      <c r="BQ9" s="11"/>
      <c r="BR9" s="10"/>
      <c r="BS9" s="10"/>
      <c r="BT9" s="11"/>
      <c r="BU9" s="11"/>
      <c r="BV9" s="11"/>
      <c r="BW9" s="11"/>
      <c r="BX9" s="11"/>
      <c r="BY9" s="10"/>
      <c r="BZ9" s="10"/>
      <c r="CA9" s="11"/>
      <c r="CB9" s="11"/>
      <c r="CC9" s="11"/>
      <c r="CD9" s="11"/>
      <c r="CE9" s="11"/>
      <c r="CF9" s="10"/>
      <c r="CG9" s="10"/>
      <c r="CH9" s="11"/>
      <c r="CI9" s="11"/>
      <c r="CJ9" s="11"/>
      <c r="CK9" s="11"/>
      <c r="CL9" s="11"/>
      <c r="CM9" s="10"/>
      <c r="CN9" s="10"/>
      <c r="CO9" s="40"/>
      <c r="CP9" s="11"/>
      <c r="CQ9" s="11"/>
      <c r="CR9" s="11"/>
      <c r="CS9" s="11"/>
      <c r="CT9" s="10"/>
      <c r="CU9" s="10"/>
      <c r="CV9" s="40"/>
      <c r="CW9" s="11"/>
      <c r="CX9" s="11"/>
      <c r="CY9" s="11"/>
      <c r="CZ9" s="11"/>
      <c r="DA9" s="10"/>
      <c r="DB9" s="10"/>
      <c r="DC9" s="11"/>
      <c r="DD9" s="11"/>
      <c r="DE9" s="11"/>
      <c r="DF9" s="11"/>
      <c r="DG9" s="11"/>
      <c r="DH9" s="10"/>
      <c r="DI9" s="10"/>
      <c r="DJ9" s="11"/>
      <c r="DK9" s="11"/>
      <c r="DL9" s="11"/>
      <c r="DM9" s="18" t="s">
        <v>5</v>
      </c>
      <c r="DN9" s="40"/>
      <c r="DO9" s="10"/>
      <c r="DP9" s="10"/>
      <c r="DQ9" s="11"/>
      <c r="DR9" s="11"/>
      <c r="DS9" s="11"/>
      <c r="DT9" s="11"/>
      <c r="DU9" s="11"/>
      <c r="DV9" s="10"/>
      <c r="DW9" s="10"/>
      <c r="DX9" s="11"/>
      <c r="DY9" s="11"/>
      <c r="DZ9" s="11"/>
      <c r="EA9" s="11"/>
      <c r="EB9" s="11"/>
      <c r="EC9" s="10"/>
      <c r="ED9" s="10"/>
      <c r="EE9" s="11"/>
      <c r="EF9" s="11"/>
      <c r="EG9" s="11"/>
      <c r="EH9" s="11"/>
      <c r="EI9" s="11"/>
      <c r="EJ9" s="10"/>
      <c r="EK9" s="10"/>
      <c r="EL9" s="18" t="s">
        <v>5</v>
      </c>
      <c r="EM9" s="11"/>
      <c r="EN9" s="11"/>
      <c r="EO9" s="11"/>
      <c r="EP9" s="11"/>
      <c r="EQ9" s="10"/>
      <c r="ER9" s="10"/>
      <c r="ES9" s="11"/>
      <c r="ET9" s="11"/>
      <c r="EU9" s="11"/>
      <c r="EV9" s="11"/>
      <c r="EW9" s="11"/>
      <c r="EX9" s="10"/>
      <c r="EY9" s="10"/>
      <c r="EZ9" s="11"/>
      <c r="FA9" s="11"/>
      <c r="FB9" s="11"/>
      <c r="FC9" s="11"/>
      <c r="FD9" s="11"/>
      <c r="FE9" s="10"/>
      <c r="FF9" s="10"/>
      <c r="FG9" s="11"/>
      <c r="FH9" s="11"/>
      <c r="FI9" s="11"/>
      <c r="FJ9" s="11"/>
      <c r="FK9" s="11"/>
      <c r="FL9" s="10"/>
      <c r="FM9" s="10"/>
      <c r="FN9" s="11"/>
      <c r="FO9" s="11"/>
      <c r="FP9" s="11"/>
      <c r="FQ9" s="11"/>
      <c r="FR9" s="11"/>
      <c r="FS9" s="10"/>
      <c r="FT9" s="10"/>
      <c r="FU9" s="11"/>
      <c r="FV9" s="11"/>
      <c r="FW9" s="11"/>
      <c r="FX9" s="11"/>
      <c r="FY9" s="40"/>
      <c r="FZ9" s="10"/>
      <c r="GA9" s="10"/>
      <c r="GB9" s="11"/>
      <c r="GC9" s="11"/>
      <c r="GD9" s="11"/>
      <c r="GE9" s="11"/>
      <c r="GF9" s="11"/>
      <c r="GG9" s="10"/>
      <c r="GH9" s="10"/>
      <c r="GI9" s="11"/>
      <c r="GJ9" s="11"/>
      <c r="GK9" s="11"/>
      <c r="GL9" s="11"/>
      <c r="GM9" s="11"/>
      <c r="GN9" s="10"/>
      <c r="GO9" s="10"/>
      <c r="GP9" s="11"/>
      <c r="GQ9" s="11"/>
      <c r="GR9" s="11"/>
      <c r="GS9" s="11"/>
      <c r="GT9" s="11"/>
      <c r="GU9" s="10"/>
      <c r="GV9" s="10"/>
      <c r="GW9" s="40"/>
      <c r="GX9" s="40"/>
      <c r="GY9" s="11"/>
      <c r="GZ9" s="11"/>
      <c r="HA9" s="11"/>
      <c r="HB9" s="10"/>
      <c r="HC9" s="10"/>
      <c r="HD9" s="11"/>
      <c r="HE9" s="11"/>
      <c r="HF9" s="11"/>
      <c r="HG9" s="11"/>
      <c r="HH9" s="11"/>
      <c r="HI9" s="10"/>
      <c r="HJ9" s="10"/>
      <c r="HK9" s="11"/>
      <c r="HL9" s="11"/>
      <c r="HM9" s="11"/>
      <c r="HN9" s="11"/>
      <c r="HO9" s="11"/>
      <c r="HP9" s="10"/>
      <c r="HQ9" s="10"/>
      <c r="HR9" s="40"/>
      <c r="HS9" s="11"/>
      <c r="HT9" s="11"/>
      <c r="HU9" s="11"/>
      <c r="HV9" s="11"/>
      <c r="HW9" s="10"/>
      <c r="HX9" s="10"/>
      <c r="HY9" s="11"/>
      <c r="HZ9" s="11"/>
      <c r="IA9" s="11"/>
      <c r="IB9" s="11"/>
      <c r="IC9" s="11"/>
      <c r="ID9" s="10"/>
      <c r="IE9" s="10"/>
      <c r="IF9" s="11"/>
      <c r="IG9" s="11"/>
      <c r="IH9" s="11"/>
      <c r="II9" s="11"/>
      <c r="IJ9" s="11"/>
      <c r="IK9" s="10"/>
      <c r="IL9" s="10"/>
      <c r="IM9" s="11"/>
      <c r="IN9" s="11"/>
      <c r="IO9" s="11"/>
      <c r="IP9" s="11"/>
      <c r="IQ9" s="11"/>
      <c r="IR9" s="10"/>
      <c r="IS9" s="10"/>
      <c r="IT9" s="11"/>
      <c r="IU9" s="11"/>
      <c r="IV9" s="11"/>
      <c r="IW9" s="11"/>
      <c r="IX9" s="11"/>
      <c r="IY9" s="10"/>
      <c r="IZ9" s="10"/>
      <c r="JA9" s="11"/>
      <c r="JB9" s="11"/>
      <c r="JC9" s="40"/>
      <c r="JD9" s="11"/>
      <c r="JE9" s="11"/>
      <c r="JF9" s="10"/>
      <c r="JG9" s="10"/>
      <c r="JH9" s="11"/>
      <c r="JI9" s="11"/>
      <c r="JJ9" s="11"/>
      <c r="JK9" s="11"/>
      <c r="JL9" s="11"/>
      <c r="JM9" s="10"/>
      <c r="JN9" s="10"/>
      <c r="JO9" s="11"/>
      <c r="JP9" s="11"/>
      <c r="JQ9" s="11"/>
      <c r="JR9" s="11"/>
      <c r="JS9" s="11"/>
      <c r="JT9" s="10"/>
      <c r="JU9" s="10"/>
      <c r="JV9" s="11"/>
      <c r="JW9" s="11"/>
      <c r="JX9" s="11"/>
      <c r="JY9" s="11"/>
      <c r="JZ9" s="11"/>
      <c r="KA9" s="10"/>
      <c r="KB9" s="10"/>
      <c r="KC9" s="11"/>
      <c r="KD9" s="11"/>
      <c r="KE9" s="11"/>
      <c r="KF9" s="11"/>
      <c r="KG9" s="11"/>
      <c r="KH9" s="10"/>
      <c r="KI9" s="10"/>
      <c r="KJ9" s="11"/>
      <c r="KK9" s="11"/>
      <c r="KL9" s="11"/>
      <c r="KM9" s="11"/>
      <c r="KN9" s="11"/>
      <c r="KO9" s="10"/>
      <c r="KP9" s="10"/>
      <c r="KQ9" s="11"/>
      <c r="KR9" s="11"/>
      <c r="KS9" s="11"/>
      <c r="KT9" s="11"/>
      <c r="KU9" s="11"/>
      <c r="KV9" s="10"/>
      <c r="KW9" s="10"/>
      <c r="KX9" s="11"/>
      <c r="KY9" s="11"/>
      <c r="KZ9" s="11"/>
      <c r="LA9" s="11"/>
      <c r="LB9" s="17" t="s">
        <v>3</v>
      </c>
      <c r="LC9" s="10"/>
      <c r="LD9" s="10"/>
      <c r="LE9" s="11"/>
      <c r="LF9" s="11"/>
      <c r="LG9" s="11"/>
      <c r="LH9" s="11"/>
      <c r="LI9" s="11"/>
      <c r="LJ9" s="10"/>
      <c r="LK9" s="10"/>
      <c r="LL9" s="11"/>
      <c r="LM9" s="11"/>
      <c r="LN9" s="11"/>
      <c r="LO9" s="11"/>
      <c r="LP9" s="11"/>
      <c r="LQ9" s="10"/>
      <c r="LR9" s="10"/>
      <c r="LS9" s="11"/>
      <c r="LT9" s="11"/>
      <c r="LU9" s="11"/>
      <c r="LV9" s="11"/>
      <c r="LW9" s="11"/>
      <c r="LX9" s="10"/>
      <c r="LY9" s="10"/>
      <c r="LZ9" s="11"/>
      <c r="MA9" s="11"/>
      <c r="MB9" s="11"/>
      <c r="MC9" s="11"/>
      <c r="MD9" s="11"/>
      <c r="ME9" s="10"/>
      <c r="MF9" s="10"/>
      <c r="MG9" s="11"/>
      <c r="MH9" s="11"/>
      <c r="MI9" s="11"/>
      <c r="MJ9" s="11"/>
      <c r="MK9" s="11"/>
      <c r="ML9" s="10"/>
      <c r="MM9" s="10"/>
      <c r="MN9" s="11"/>
      <c r="MO9" s="11"/>
      <c r="MP9" s="11"/>
      <c r="MQ9" s="11"/>
      <c r="MR9" s="11"/>
      <c r="MS9" s="10"/>
      <c r="MT9" s="10"/>
      <c r="MU9" s="11"/>
      <c r="MV9" s="11"/>
      <c r="MW9" s="11"/>
      <c r="MX9" s="11"/>
      <c r="MY9" s="11"/>
      <c r="MZ9" s="10"/>
      <c r="NA9" s="10"/>
      <c r="NB9" s="11"/>
      <c r="NC9" s="11"/>
      <c r="ND9" s="11"/>
      <c r="NE9" s="11"/>
      <c r="NF9" s="11"/>
      <c r="NG9" s="10"/>
      <c r="NH9" s="10"/>
      <c r="NI9" s="11"/>
      <c r="NJ9" s="11"/>
      <c r="NK9" s="11"/>
      <c r="NL9" s="11"/>
    </row>
    <row r="10" spans="1:376" ht="15.75" customHeight="1">
      <c r="A10" s="39"/>
      <c r="B10" s="29" t="s">
        <v>32</v>
      </c>
      <c r="C10" s="29" t="s">
        <v>30</v>
      </c>
      <c r="D10" s="29" t="s">
        <v>31</v>
      </c>
      <c r="E10" s="37">
        <v>0</v>
      </c>
      <c r="F10" s="29">
        <v>23</v>
      </c>
      <c r="G10" s="29">
        <v>0</v>
      </c>
      <c r="H10" s="29">
        <f t="shared" si="0"/>
        <v>5</v>
      </c>
      <c r="I10" s="30">
        <f t="shared" si="1"/>
        <v>-1</v>
      </c>
      <c r="J10" s="30">
        <f t="shared" si="2"/>
        <v>2</v>
      </c>
      <c r="K10" s="30">
        <f t="shared" si="3"/>
        <v>0</v>
      </c>
      <c r="L10" s="11"/>
      <c r="M10" s="40"/>
      <c r="N10" s="10"/>
      <c r="O10" s="10"/>
      <c r="P10" s="11"/>
      <c r="Q10" s="11"/>
      <c r="R10" s="11"/>
      <c r="S10" s="11"/>
      <c r="T10" s="11"/>
      <c r="U10" s="10"/>
      <c r="V10" s="10"/>
      <c r="W10" s="11"/>
      <c r="X10" s="11"/>
      <c r="Y10" s="11"/>
      <c r="Z10" s="11"/>
      <c r="AA10" s="11"/>
      <c r="AB10" s="10"/>
      <c r="AC10" s="10"/>
      <c r="AD10" s="11"/>
      <c r="AE10" s="11"/>
      <c r="AF10" s="11"/>
      <c r="AG10" s="11"/>
      <c r="AH10" s="11"/>
      <c r="AI10" s="10"/>
      <c r="AJ10" s="10"/>
      <c r="AK10" s="11"/>
      <c r="AL10" s="11"/>
      <c r="AM10" s="11"/>
      <c r="AN10" s="11"/>
      <c r="AO10" s="11"/>
      <c r="AP10" s="10"/>
      <c r="AQ10" s="10"/>
      <c r="AR10" s="11"/>
      <c r="AS10" s="11"/>
      <c r="AT10" s="11"/>
      <c r="AU10" s="11"/>
      <c r="AV10" s="11"/>
      <c r="AW10" s="10"/>
      <c r="AX10" s="10"/>
      <c r="AY10" s="11"/>
      <c r="AZ10" s="11"/>
      <c r="BA10" s="11"/>
      <c r="BB10" s="11"/>
      <c r="BC10" s="11"/>
      <c r="BD10" s="10"/>
      <c r="BE10" s="10"/>
      <c r="BF10" s="11"/>
      <c r="BG10" s="11"/>
      <c r="BH10" s="11"/>
      <c r="BI10" s="11"/>
      <c r="BJ10" s="40"/>
      <c r="BK10" s="10"/>
      <c r="BL10" s="10"/>
      <c r="BM10" s="11"/>
      <c r="BN10" s="11"/>
      <c r="BO10" s="11"/>
      <c r="BP10" s="11"/>
      <c r="BQ10" s="11"/>
      <c r="BR10" s="10"/>
      <c r="BS10" s="10"/>
      <c r="BT10" s="11"/>
      <c r="BU10" s="11"/>
      <c r="BV10" s="11"/>
      <c r="BW10" s="11"/>
      <c r="BX10" s="11"/>
      <c r="BY10" s="10"/>
      <c r="BZ10" s="10"/>
      <c r="CA10" s="11"/>
      <c r="CB10" s="11"/>
      <c r="CC10" s="11"/>
      <c r="CD10" s="11"/>
      <c r="CE10" s="11"/>
      <c r="CF10" s="10"/>
      <c r="CG10" s="10"/>
      <c r="CH10" s="11"/>
      <c r="CI10" s="11"/>
      <c r="CJ10" s="11"/>
      <c r="CK10" s="11"/>
      <c r="CL10" s="11"/>
      <c r="CM10" s="10"/>
      <c r="CN10" s="10"/>
      <c r="CO10" s="40"/>
      <c r="CP10" s="11"/>
      <c r="CQ10" s="11"/>
      <c r="CR10" s="11"/>
      <c r="CS10" s="11"/>
      <c r="CT10" s="10"/>
      <c r="CU10" s="10"/>
      <c r="CV10" s="40"/>
      <c r="CW10" s="11"/>
      <c r="CX10" s="11"/>
      <c r="CY10" s="11"/>
      <c r="CZ10" s="11"/>
      <c r="DA10" s="10"/>
      <c r="DB10" s="10"/>
      <c r="DC10" s="11"/>
      <c r="DD10" s="11"/>
      <c r="DE10" s="11"/>
      <c r="DF10" s="11"/>
      <c r="DG10" s="11"/>
      <c r="DH10" s="10"/>
      <c r="DI10" s="10"/>
      <c r="DJ10" s="15" t="s">
        <v>1</v>
      </c>
      <c r="DK10" s="15" t="s">
        <v>1</v>
      </c>
      <c r="DL10" s="15" t="s">
        <v>1</v>
      </c>
      <c r="DM10" s="18" t="s">
        <v>5</v>
      </c>
      <c r="DN10" s="40"/>
      <c r="DO10" s="10"/>
      <c r="DP10" s="10"/>
      <c r="DQ10" s="11"/>
      <c r="DR10" s="11"/>
      <c r="DS10" s="11"/>
      <c r="DT10" s="11"/>
      <c r="DU10" s="11"/>
      <c r="DV10" s="10"/>
      <c r="DW10" s="10"/>
      <c r="DX10" s="11"/>
      <c r="DY10" s="11"/>
      <c r="DZ10" s="11"/>
      <c r="EA10" s="11"/>
      <c r="EB10" s="11"/>
      <c r="EC10" s="10"/>
      <c r="ED10" s="10"/>
      <c r="EE10" s="11"/>
      <c r="EF10" s="11"/>
      <c r="EG10" s="11"/>
      <c r="EH10" s="11"/>
      <c r="EI10" s="18" t="s">
        <v>5</v>
      </c>
      <c r="EJ10" s="10"/>
      <c r="EK10" s="10"/>
      <c r="EL10" s="11"/>
      <c r="EM10" s="11"/>
      <c r="EN10" s="11"/>
      <c r="EO10" s="11"/>
      <c r="EP10" s="11"/>
      <c r="EQ10" s="10"/>
      <c r="ER10" s="10"/>
      <c r="ES10" s="11"/>
      <c r="ET10" s="11"/>
      <c r="EU10" s="11"/>
      <c r="EV10" s="11"/>
      <c r="EW10" s="11"/>
      <c r="EX10" s="10"/>
      <c r="EY10" s="10"/>
      <c r="EZ10" s="11"/>
      <c r="FA10" s="11"/>
      <c r="FB10" s="11"/>
      <c r="FC10" s="11"/>
      <c r="FD10" s="11"/>
      <c r="FE10" s="10"/>
      <c r="FF10" s="10"/>
      <c r="FG10" s="11"/>
      <c r="FH10" s="11"/>
      <c r="FI10" s="11"/>
      <c r="FJ10" s="11"/>
      <c r="FK10" s="11"/>
      <c r="FL10" s="10"/>
      <c r="FM10" s="10"/>
      <c r="FN10" s="11"/>
      <c r="FO10" s="11"/>
      <c r="FP10" s="11"/>
      <c r="FQ10" s="11"/>
      <c r="FR10" s="11"/>
      <c r="FS10" s="10"/>
      <c r="FT10" s="10"/>
      <c r="FU10" s="11"/>
      <c r="FV10" s="11"/>
      <c r="FW10" s="11"/>
      <c r="FX10" s="11"/>
      <c r="FY10" s="40"/>
      <c r="FZ10" s="10"/>
      <c r="GA10" s="10"/>
      <c r="GB10" s="11"/>
      <c r="GC10" s="11"/>
      <c r="GD10" s="11"/>
      <c r="GE10" s="11"/>
      <c r="GF10" s="11"/>
      <c r="GG10" s="10"/>
      <c r="GH10" s="10"/>
      <c r="GI10" s="11"/>
      <c r="GJ10" s="11"/>
      <c r="GK10" s="11"/>
      <c r="GL10" s="11"/>
      <c r="GM10" s="11"/>
      <c r="GN10" s="10"/>
      <c r="GO10" s="10"/>
      <c r="GP10" s="11"/>
      <c r="GQ10" s="11"/>
      <c r="GR10" s="11"/>
      <c r="GS10" s="11"/>
      <c r="GT10" s="11"/>
      <c r="GU10" s="10"/>
      <c r="GV10" s="10"/>
      <c r="GW10" s="40"/>
      <c r="GX10" s="40"/>
      <c r="GY10" s="11"/>
      <c r="GZ10" s="11"/>
      <c r="HA10" s="11"/>
      <c r="HB10" s="10"/>
      <c r="HC10" s="10"/>
      <c r="HD10" s="11"/>
      <c r="HE10" s="11"/>
      <c r="HF10" s="11"/>
      <c r="HG10" s="11"/>
      <c r="HH10" s="11"/>
      <c r="HI10" s="10"/>
      <c r="HJ10" s="10"/>
      <c r="HK10" s="11"/>
      <c r="HL10" s="11"/>
      <c r="HM10" s="11"/>
      <c r="HN10" s="11"/>
      <c r="HO10" s="11"/>
      <c r="HP10" s="10"/>
      <c r="HQ10" s="10"/>
      <c r="HR10" s="40"/>
      <c r="HS10" s="11"/>
      <c r="HT10" s="11"/>
      <c r="HU10" s="11"/>
      <c r="HV10" s="11"/>
      <c r="HW10" s="10"/>
      <c r="HX10" s="10"/>
      <c r="HY10" s="11"/>
      <c r="HZ10" s="11"/>
      <c r="IA10" s="11"/>
      <c r="IB10" s="11"/>
      <c r="IC10" s="11"/>
      <c r="ID10" s="10"/>
      <c r="IE10" s="10"/>
      <c r="IF10" s="11"/>
      <c r="IG10" s="11"/>
      <c r="IH10" s="11"/>
      <c r="II10" s="11"/>
      <c r="IJ10" s="11"/>
      <c r="IK10" s="10"/>
      <c r="IL10" s="10"/>
      <c r="IM10" s="11"/>
      <c r="IN10" s="11"/>
      <c r="IO10" s="11"/>
      <c r="IP10" s="11"/>
      <c r="IQ10" s="11"/>
      <c r="IR10" s="10"/>
      <c r="IS10" s="10"/>
      <c r="IT10" s="11"/>
      <c r="IU10" s="11"/>
      <c r="IV10" s="11"/>
      <c r="IW10" s="11"/>
      <c r="IX10" s="11"/>
      <c r="IY10" s="10"/>
      <c r="IZ10" s="10"/>
      <c r="JA10" s="11"/>
      <c r="JB10" s="11"/>
      <c r="JC10" s="40"/>
      <c r="JD10" s="11"/>
      <c r="JE10" s="11"/>
      <c r="JF10" s="10"/>
      <c r="JG10" s="10"/>
      <c r="JH10" s="11"/>
      <c r="JI10" s="11"/>
      <c r="JJ10" s="11"/>
      <c r="JK10" s="11"/>
      <c r="JL10" s="11"/>
      <c r="JM10" s="10"/>
      <c r="JN10" s="10"/>
      <c r="JO10" s="11"/>
      <c r="JP10" s="11"/>
      <c r="JQ10" s="11"/>
      <c r="JR10" s="11"/>
      <c r="JS10" s="11"/>
      <c r="JT10" s="10"/>
      <c r="JU10" s="10"/>
      <c r="JV10" s="11"/>
      <c r="JW10" s="11"/>
      <c r="JX10" s="11"/>
      <c r="JY10" s="11"/>
      <c r="JZ10" s="11"/>
      <c r="KA10" s="10"/>
      <c r="KB10" s="10"/>
      <c r="KC10" s="11"/>
      <c r="KD10" s="11"/>
      <c r="KE10" s="11"/>
      <c r="KF10" s="11"/>
      <c r="KG10" s="11"/>
      <c r="KH10" s="10"/>
      <c r="KI10" s="10"/>
      <c r="KJ10" s="15" t="s">
        <v>1</v>
      </c>
      <c r="KK10" s="15" t="s">
        <v>1</v>
      </c>
      <c r="KL10" s="15" t="s">
        <v>1</v>
      </c>
      <c r="KM10" s="15" t="s">
        <v>1</v>
      </c>
      <c r="KN10" s="15" t="s">
        <v>1</v>
      </c>
      <c r="KO10" s="10"/>
      <c r="KP10" s="10"/>
      <c r="KQ10" s="15" t="s">
        <v>1</v>
      </c>
      <c r="KR10" s="15" t="s">
        <v>1</v>
      </c>
      <c r="KS10" s="15" t="s">
        <v>1</v>
      </c>
      <c r="KT10" s="15" t="s">
        <v>1</v>
      </c>
      <c r="KU10" s="15" t="s">
        <v>1</v>
      </c>
      <c r="KV10" s="10"/>
      <c r="KW10" s="10"/>
      <c r="KX10" s="15" t="s">
        <v>1</v>
      </c>
      <c r="KY10" s="15" t="s">
        <v>1</v>
      </c>
      <c r="KZ10" s="15" t="s">
        <v>1</v>
      </c>
      <c r="LA10" s="15" t="s">
        <v>1</v>
      </c>
      <c r="LB10" s="15" t="s">
        <v>1</v>
      </c>
      <c r="LC10" s="10"/>
      <c r="LD10" s="10"/>
      <c r="LE10" s="11"/>
      <c r="LF10" s="11"/>
      <c r="LG10" s="11"/>
      <c r="LH10" s="11"/>
      <c r="LI10" s="11"/>
      <c r="LJ10" s="10"/>
      <c r="LK10" s="10"/>
      <c r="LL10" s="11"/>
      <c r="LM10" s="11"/>
      <c r="LN10" s="11"/>
      <c r="LO10" s="11"/>
      <c r="LP10" s="11"/>
      <c r="LQ10" s="10"/>
      <c r="LR10" s="10"/>
      <c r="LS10" s="11"/>
      <c r="LT10" s="11"/>
      <c r="LU10" s="11"/>
      <c r="LV10" s="11"/>
      <c r="LW10" s="11"/>
      <c r="LX10" s="10"/>
      <c r="LY10" s="10"/>
      <c r="LZ10" s="11"/>
      <c r="MA10" s="11"/>
      <c r="MB10" s="11"/>
      <c r="MC10" s="11"/>
      <c r="MD10" s="11"/>
      <c r="ME10" s="10"/>
      <c r="MF10" s="10"/>
      <c r="MG10" s="11"/>
      <c r="MH10" s="11"/>
      <c r="MI10" s="11"/>
      <c r="MJ10" s="11"/>
      <c r="MK10" s="11"/>
      <c r="ML10" s="10"/>
      <c r="MM10" s="10"/>
      <c r="MN10" s="11"/>
      <c r="MO10" s="11"/>
      <c r="MP10" s="17" t="s">
        <v>3</v>
      </c>
      <c r="MQ10" s="11"/>
      <c r="MR10" s="11"/>
      <c r="MS10" s="10"/>
      <c r="MT10" s="10"/>
      <c r="MU10" s="11"/>
      <c r="MV10" s="11"/>
      <c r="MW10" s="11"/>
      <c r="MX10" s="11"/>
      <c r="MY10" s="11"/>
      <c r="MZ10" s="10"/>
      <c r="NA10" s="10"/>
      <c r="NB10" s="11"/>
      <c r="NC10" s="11"/>
      <c r="ND10" s="11"/>
      <c r="NE10" s="11"/>
      <c r="NF10" s="11"/>
      <c r="NG10" s="10"/>
      <c r="NH10" s="10"/>
      <c r="NI10" s="11"/>
      <c r="NJ10" s="11"/>
      <c r="NK10" s="11"/>
      <c r="NL10" s="11"/>
    </row>
    <row r="11" spans="1:376" ht="15.75" customHeight="1">
      <c r="A11" s="39"/>
      <c r="B11" s="29" t="s">
        <v>33</v>
      </c>
      <c r="C11" s="29" t="s">
        <v>30</v>
      </c>
      <c r="D11" s="29" t="s">
        <v>31</v>
      </c>
      <c r="E11" s="37">
        <v>0</v>
      </c>
      <c r="F11" s="29">
        <v>23</v>
      </c>
      <c r="G11" s="29">
        <v>0</v>
      </c>
      <c r="H11" s="29">
        <f t="shared" si="0"/>
        <v>8</v>
      </c>
      <c r="I11" s="30">
        <f t="shared" si="1"/>
        <v>0</v>
      </c>
      <c r="J11" s="30">
        <f t="shared" si="2"/>
        <v>3</v>
      </c>
      <c r="K11" s="30">
        <f t="shared" si="3"/>
        <v>0</v>
      </c>
      <c r="L11" s="11"/>
      <c r="M11" s="40"/>
      <c r="N11" s="10"/>
      <c r="O11" s="10"/>
      <c r="P11" s="11"/>
      <c r="Q11" s="11"/>
      <c r="R11" s="11"/>
      <c r="S11" s="11"/>
      <c r="T11" s="11"/>
      <c r="U11" s="10"/>
      <c r="V11" s="10"/>
      <c r="W11" s="11"/>
      <c r="X11" s="11"/>
      <c r="Y11" s="11"/>
      <c r="Z11" s="11"/>
      <c r="AA11" s="11"/>
      <c r="AB11" s="10"/>
      <c r="AC11" s="10"/>
      <c r="AD11" s="11"/>
      <c r="AE11" s="11"/>
      <c r="AF11" s="11"/>
      <c r="AG11" s="11"/>
      <c r="AH11" s="11"/>
      <c r="AI11" s="10"/>
      <c r="AJ11" s="10"/>
      <c r="AK11" s="11"/>
      <c r="AL11" s="11"/>
      <c r="AM11" s="11"/>
      <c r="AN11" s="11"/>
      <c r="AO11" s="11"/>
      <c r="AP11" s="10"/>
      <c r="AQ11" s="10"/>
      <c r="AR11" s="11"/>
      <c r="AS11" s="11"/>
      <c r="AT11" s="11"/>
      <c r="AU11" s="11"/>
      <c r="AV11" s="11"/>
      <c r="AW11" s="10"/>
      <c r="AX11" s="10"/>
      <c r="AY11" s="11"/>
      <c r="AZ11" s="11"/>
      <c r="BA11" s="11"/>
      <c r="BB11" s="11"/>
      <c r="BC11" s="11"/>
      <c r="BD11" s="10"/>
      <c r="BE11" s="10"/>
      <c r="BF11" s="11"/>
      <c r="BG11" s="11"/>
      <c r="BH11" s="11"/>
      <c r="BI11" s="11"/>
      <c r="BJ11" s="40"/>
      <c r="BK11" s="10"/>
      <c r="BL11" s="10"/>
      <c r="BM11" s="11"/>
      <c r="BN11" s="11"/>
      <c r="BO11" s="11"/>
      <c r="BP11" s="11"/>
      <c r="BQ11" s="11"/>
      <c r="BR11" s="10"/>
      <c r="BS11" s="10"/>
      <c r="BT11" s="11"/>
      <c r="BU11" s="11"/>
      <c r="BV11" s="11"/>
      <c r="BW11" s="11"/>
      <c r="BX11" s="11"/>
      <c r="BY11" s="10"/>
      <c r="BZ11" s="10"/>
      <c r="CA11" s="11"/>
      <c r="CB11" s="11"/>
      <c r="CC11" s="11"/>
      <c r="CD11" s="11"/>
      <c r="CE11" s="11"/>
      <c r="CF11" s="10"/>
      <c r="CG11" s="10"/>
      <c r="CH11" s="11"/>
      <c r="CI11" s="11"/>
      <c r="CJ11" s="11"/>
      <c r="CK11" s="11"/>
      <c r="CL11" s="11"/>
      <c r="CM11" s="10"/>
      <c r="CN11" s="10"/>
      <c r="CO11" s="40"/>
      <c r="CP11" s="11"/>
      <c r="CQ11" s="11"/>
      <c r="CR11" s="11"/>
      <c r="CS11" s="11"/>
      <c r="CT11" s="10"/>
      <c r="CU11" s="10"/>
      <c r="CV11" s="40"/>
      <c r="CW11" s="11"/>
      <c r="CX11" s="11"/>
      <c r="CY11" s="11"/>
      <c r="CZ11" s="11"/>
      <c r="DA11" s="10"/>
      <c r="DB11" s="10"/>
      <c r="DC11" s="11"/>
      <c r="DD11" s="11"/>
      <c r="DE11" s="11"/>
      <c r="DF11" s="11"/>
      <c r="DG11" s="11"/>
      <c r="DH11" s="10"/>
      <c r="DI11" s="10"/>
      <c r="DJ11" s="11"/>
      <c r="DK11" s="11"/>
      <c r="DL11" s="11"/>
      <c r="DM11" s="18" t="s">
        <v>5</v>
      </c>
      <c r="DN11" s="40"/>
      <c r="DO11" s="10"/>
      <c r="DP11" s="10"/>
      <c r="DQ11" s="11"/>
      <c r="DR11" s="11"/>
      <c r="DS11" s="11"/>
      <c r="DT11" s="11"/>
      <c r="DU11" s="11"/>
      <c r="DV11" s="10"/>
      <c r="DW11" s="10"/>
      <c r="DX11" s="11"/>
      <c r="DY11" s="11"/>
      <c r="DZ11" s="11"/>
      <c r="EA11" s="11"/>
      <c r="EB11" s="11"/>
      <c r="EC11" s="10"/>
      <c r="ED11" s="10"/>
      <c r="EE11" s="11"/>
      <c r="EF11" s="11"/>
      <c r="EG11" s="11"/>
      <c r="EH11" s="11"/>
      <c r="EI11" s="11"/>
      <c r="EJ11" s="10"/>
      <c r="EK11" s="10"/>
      <c r="EL11" s="11"/>
      <c r="EM11" s="11"/>
      <c r="EN11" s="11"/>
      <c r="EO11" s="11"/>
      <c r="EP11" s="11"/>
      <c r="EQ11" s="10"/>
      <c r="ER11" s="10"/>
      <c r="ES11" s="11"/>
      <c r="ET11" s="11"/>
      <c r="EU11" s="11"/>
      <c r="EV11" s="11"/>
      <c r="EW11" s="11"/>
      <c r="EX11" s="10"/>
      <c r="EY11" s="10"/>
      <c r="EZ11" s="11"/>
      <c r="FA11" s="11"/>
      <c r="FB11" s="11"/>
      <c r="FC11" s="11"/>
      <c r="FD11" s="11"/>
      <c r="FE11" s="10"/>
      <c r="FF11" s="10"/>
      <c r="FG11" s="11"/>
      <c r="FH11" s="11"/>
      <c r="FI11" s="11"/>
      <c r="FJ11" s="11"/>
      <c r="FK11" s="11"/>
      <c r="FL11" s="10"/>
      <c r="FM11" s="10"/>
      <c r="FN11" s="11"/>
      <c r="FO11" s="11"/>
      <c r="FP11" s="11"/>
      <c r="FQ11" s="11"/>
      <c r="FR11" s="11"/>
      <c r="FS11" s="10"/>
      <c r="FT11" s="10"/>
      <c r="FU11" s="11"/>
      <c r="FV11" s="11"/>
      <c r="FW11" s="18" t="s">
        <v>5</v>
      </c>
      <c r="FX11" s="18" t="s">
        <v>5</v>
      </c>
      <c r="FY11" s="40"/>
      <c r="FZ11" s="10"/>
      <c r="GA11" s="10"/>
      <c r="GB11" s="11"/>
      <c r="GC11" s="11"/>
      <c r="GD11" s="11"/>
      <c r="GE11" s="11"/>
      <c r="GF11" s="11"/>
      <c r="GG11" s="10"/>
      <c r="GH11" s="10"/>
      <c r="GI11" s="11"/>
      <c r="GJ11" s="11"/>
      <c r="GK11" s="11"/>
      <c r="GL11" s="11"/>
      <c r="GM11" s="11"/>
      <c r="GN11" s="10"/>
      <c r="GO11" s="10"/>
      <c r="GP11" s="11"/>
      <c r="GQ11" s="11"/>
      <c r="GR11" s="11"/>
      <c r="GS11" s="11"/>
      <c r="GT11" s="11"/>
      <c r="GU11" s="10"/>
      <c r="GV11" s="10"/>
      <c r="GW11" s="40"/>
      <c r="GX11" s="40"/>
      <c r="GY11" s="11"/>
      <c r="GZ11" s="11"/>
      <c r="HA11" s="11"/>
      <c r="HB11" s="10"/>
      <c r="HC11" s="10"/>
      <c r="HD11" s="11"/>
      <c r="HE11" s="11"/>
      <c r="HF11" s="11"/>
      <c r="HG11" s="11"/>
      <c r="HH11" s="11"/>
      <c r="HI11" s="10"/>
      <c r="HJ11" s="10"/>
      <c r="HK11" s="11"/>
      <c r="HL11" s="11"/>
      <c r="HM11" s="11"/>
      <c r="HN11" s="11"/>
      <c r="HO11" s="11"/>
      <c r="HP11" s="10"/>
      <c r="HQ11" s="10"/>
      <c r="HR11" s="40"/>
      <c r="HS11" s="11"/>
      <c r="HT11" s="11"/>
      <c r="HU11" s="11"/>
      <c r="HV11" s="11"/>
      <c r="HW11" s="10"/>
      <c r="HX11" s="10"/>
      <c r="HY11" s="11"/>
      <c r="HZ11" s="11"/>
      <c r="IA11" s="11"/>
      <c r="IB11" s="11"/>
      <c r="IC11" s="11"/>
      <c r="ID11" s="10"/>
      <c r="IE11" s="10"/>
      <c r="IF11" s="11"/>
      <c r="IG11" s="11"/>
      <c r="IH11" s="11"/>
      <c r="II11" s="11"/>
      <c r="IJ11" s="11"/>
      <c r="IK11" s="10"/>
      <c r="IL11" s="10"/>
      <c r="IM11" s="11"/>
      <c r="IN11" s="11"/>
      <c r="IO11" s="11"/>
      <c r="IP11" s="11"/>
      <c r="IQ11" s="11"/>
      <c r="IR11" s="10"/>
      <c r="IS11" s="10"/>
      <c r="IT11" s="11"/>
      <c r="IU11" s="11"/>
      <c r="IV11" s="11"/>
      <c r="IW11" s="11"/>
      <c r="IX11" s="11"/>
      <c r="IY11" s="10"/>
      <c r="IZ11" s="10"/>
      <c r="JA11" s="11"/>
      <c r="JB11" s="11"/>
      <c r="JC11" s="40"/>
      <c r="JD11" s="11"/>
      <c r="JE11" s="11"/>
      <c r="JF11" s="10"/>
      <c r="JG11" s="10"/>
      <c r="JH11" s="11"/>
      <c r="JI11" s="11"/>
      <c r="JJ11" s="11"/>
      <c r="JK11" s="11"/>
      <c r="JL11" s="11"/>
      <c r="JM11" s="10"/>
      <c r="JN11" s="10"/>
      <c r="JO11" s="11"/>
      <c r="JP11" s="11"/>
      <c r="JQ11" s="11"/>
      <c r="JR11" s="11"/>
      <c r="JS11" s="11"/>
      <c r="JT11" s="10"/>
      <c r="JU11" s="10"/>
      <c r="JV11" s="11"/>
      <c r="JW11" s="11"/>
      <c r="JX11" s="11"/>
      <c r="JY11" s="11"/>
      <c r="JZ11" s="11"/>
      <c r="KA11" s="10"/>
      <c r="KB11" s="10"/>
      <c r="KC11" s="11"/>
      <c r="KD11" s="11"/>
      <c r="KE11" s="11"/>
      <c r="KF11" s="11"/>
      <c r="KG11" s="11"/>
      <c r="KH11" s="10"/>
      <c r="KI11" s="10"/>
      <c r="KJ11" s="11"/>
      <c r="KK11" s="11"/>
      <c r="KL11" s="11"/>
      <c r="KM11" s="11"/>
      <c r="KN11" s="11"/>
      <c r="KO11" s="10"/>
      <c r="KP11" s="10"/>
      <c r="KQ11" s="11"/>
      <c r="KR11" s="11"/>
      <c r="KS11" s="11"/>
      <c r="KT11" s="11"/>
      <c r="KU11" s="11"/>
      <c r="KV11" s="10"/>
      <c r="KW11" s="10"/>
      <c r="KX11" s="11"/>
      <c r="KY11" s="11"/>
      <c r="KZ11" s="11"/>
      <c r="LA11" s="11"/>
      <c r="LB11" s="11"/>
      <c r="LC11" s="10"/>
      <c r="LD11" s="10"/>
      <c r="LE11" s="11"/>
      <c r="LF11" s="11"/>
      <c r="LG11" s="11"/>
      <c r="LH11" s="11"/>
      <c r="LI11" s="11"/>
      <c r="LJ11" s="10"/>
      <c r="LK11" s="10"/>
      <c r="LL11" s="11"/>
      <c r="LM11" s="11"/>
      <c r="LN11" s="11"/>
      <c r="LO11" s="11"/>
      <c r="LP11" s="11"/>
      <c r="LQ11" s="10"/>
      <c r="LR11" s="10"/>
      <c r="LS11" s="11"/>
      <c r="LT11" s="11"/>
      <c r="LU11" s="11"/>
      <c r="LV11" s="11"/>
      <c r="LW11" s="11"/>
      <c r="LX11" s="10"/>
      <c r="LY11" s="10"/>
      <c r="LZ11" s="15" t="s">
        <v>1</v>
      </c>
      <c r="MA11" s="15" t="s">
        <v>1</v>
      </c>
      <c r="MB11" s="15" t="s">
        <v>1</v>
      </c>
      <c r="MC11" s="15" t="s">
        <v>1</v>
      </c>
      <c r="MD11" s="15" t="s">
        <v>1</v>
      </c>
      <c r="ME11" s="10"/>
      <c r="MF11" s="10"/>
      <c r="MG11" s="15" t="s">
        <v>1</v>
      </c>
      <c r="MH11" s="15" t="s">
        <v>1</v>
      </c>
      <c r="MI11" s="15" t="s">
        <v>1</v>
      </c>
      <c r="MJ11" s="15" t="s">
        <v>1</v>
      </c>
      <c r="MK11" s="15" t="s">
        <v>1</v>
      </c>
      <c r="ML11" s="10"/>
      <c r="MM11" s="10"/>
      <c r="MN11" s="15" t="s">
        <v>1</v>
      </c>
      <c r="MO11" s="15" t="s">
        <v>1</v>
      </c>
      <c r="MP11" s="15" t="s">
        <v>1</v>
      </c>
      <c r="MQ11" s="15" t="s">
        <v>1</v>
      </c>
      <c r="MR11" s="15" t="s">
        <v>1</v>
      </c>
      <c r="MS11" s="10"/>
      <c r="MT11" s="10"/>
      <c r="MU11" s="11"/>
      <c r="MV11" s="11"/>
      <c r="MW11" s="11"/>
      <c r="MX11" s="11"/>
      <c r="MY11" s="11"/>
      <c r="MZ11" s="10"/>
      <c r="NA11" s="10"/>
      <c r="NB11" s="11"/>
      <c r="NC11" s="11"/>
      <c r="ND11" s="11"/>
      <c r="NE11" s="11"/>
      <c r="NF11" s="11"/>
      <c r="NG11" s="10"/>
      <c r="NH11" s="10"/>
      <c r="NI11" s="11"/>
      <c r="NJ11" s="11"/>
      <c r="NK11" s="11"/>
      <c r="NL11" s="11"/>
    </row>
    <row r="12" spans="1:376" ht="15.75" customHeight="1">
      <c r="A12" s="39"/>
      <c r="B12" s="29" t="s">
        <v>34</v>
      </c>
      <c r="C12" s="29" t="s">
        <v>30</v>
      </c>
      <c r="D12" s="29" t="s">
        <v>31</v>
      </c>
      <c r="E12" s="37">
        <v>0</v>
      </c>
      <c r="F12" s="29">
        <v>23</v>
      </c>
      <c r="G12" s="29">
        <v>0</v>
      </c>
      <c r="H12" s="29">
        <f t="shared" si="0"/>
        <v>11</v>
      </c>
      <c r="I12" s="30">
        <f t="shared" si="1"/>
        <v>0</v>
      </c>
      <c r="J12" s="30">
        <f t="shared" si="2"/>
        <v>3</v>
      </c>
      <c r="K12" s="30">
        <f t="shared" si="3"/>
        <v>5</v>
      </c>
      <c r="L12" s="11"/>
      <c r="M12" s="40"/>
      <c r="N12" s="10"/>
      <c r="O12" s="10"/>
      <c r="P12" s="11"/>
      <c r="Q12" s="11"/>
      <c r="R12" s="11"/>
      <c r="S12" s="11"/>
      <c r="T12" s="11"/>
      <c r="U12" s="10"/>
      <c r="V12" s="10"/>
      <c r="W12" s="11"/>
      <c r="X12" s="11"/>
      <c r="Y12" s="11"/>
      <c r="Z12" s="11"/>
      <c r="AA12" s="11"/>
      <c r="AB12" s="10"/>
      <c r="AC12" s="10"/>
      <c r="AD12" s="11"/>
      <c r="AE12" s="11"/>
      <c r="AF12" s="11"/>
      <c r="AG12" s="11"/>
      <c r="AH12" s="11"/>
      <c r="AI12" s="10"/>
      <c r="AJ12" s="10"/>
      <c r="AK12" s="11"/>
      <c r="AL12" s="11"/>
      <c r="AM12" s="11"/>
      <c r="AN12" s="11"/>
      <c r="AO12" s="11"/>
      <c r="AP12" s="10"/>
      <c r="AQ12" s="10"/>
      <c r="AR12" s="11"/>
      <c r="AS12" s="11"/>
      <c r="AT12" s="11"/>
      <c r="AU12" s="11"/>
      <c r="AV12" s="11"/>
      <c r="AW12" s="10"/>
      <c r="AX12" s="10"/>
      <c r="AY12" s="11"/>
      <c r="AZ12" s="11"/>
      <c r="BA12" s="11"/>
      <c r="BB12" s="11"/>
      <c r="BC12" s="11"/>
      <c r="BD12" s="10"/>
      <c r="BE12" s="10"/>
      <c r="BF12" s="11"/>
      <c r="BG12" s="11"/>
      <c r="BH12" s="11"/>
      <c r="BI12" s="11"/>
      <c r="BJ12" s="40"/>
      <c r="BK12" s="10"/>
      <c r="BL12" s="10"/>
      <c r="BM12" s="18" t="s">
        <v>5</v>
      </c>
      <c r="BN12" s="11"/>
      <c r="BO12" s="11"/>
      <c r="BP12" s="11"/>
      <c r="BQ12" s="11"/>
      <c r="BR12" s="10"/>
      <c r="BS12" s="10"/>
      <c r="BT12" s="11"/>
      <c r="BU12" s="11"/>
      <c r="BV12" s="11"/>
      <c r="BW12" s="11"/>
      <c r="BX12" s="11"/>
      <c r="BY12" s="10"/>
      <c r="BZ12" s="10"/>
      <c r="CA12" s="11"/>
      <c r="CB12" s="11"/>
      <c r="CC12" s="11"/>
      <c r="CD12" s="11"/>
      <c r="CE12" s="11"/>
      <c r="CF12" s="10"/>
      <c r="CG12" s="10"/>
      <c r="CH12" s="11"/>
      <c r="CI12" s="11"/>
      <c r="CJ12" s="11"/>
      <c r="CK12" s="11"/>
      <c r="CL12" s="11"/>
      <c r="CM12" s="10"/>
      <c r="CN12" s="10"/>
      <c r="CO12" s="40"/>
      <c r="CP12" s="11"/>
      <c r="CQ12" s="11"/>
      <c r="CR12" s="11"/>
      <c r="CS12" s="11"/>
      <c r="CT12" s="10"/>
      <c r="CU12" s="10"/>
      <c r="CV12" s="40"/>
      <c r="CW12" s="11"/>
      <c r="CX12" s="11"/>
      <c r="CY12" s="11"/>
      <c r="CZ12" s="11"/>
      <c r="DA12" s="10"/>
      <c r="DB12" s="10"/>
      <c r="DC12" s="11"/>
      <c r="DD12" s="11"/>
      <c r="DE12" s="11"/>
      <c r="DF12" s="11"/>
      <c r="DG12" s="11"/>
      <c r="DH12" s="10"/>
      <c r="DI12" s="10"/>
      <c r="DJ12" s="11"/>
      <c r="DK12" s="11"/>
      <c r="DL12" s="11"/>
      <c r="DM12" s="11"/>
      <c r="DN12" s="40"/>
      <c r="DO12" s="10"/>
      <c r="DP12" s="10"/>
      <c r="DQ12" s="11"/>
      <c r="DR12" s="11"/>
      <c r="DS12" s="11"/>
      <c r="DT12" s="11"/>
      <c r="DU12" s="11"/>
      <c r="DV12" s="10"/>
      <c r="DW12" s="10"/>
      <c r="DX12" s="11"/>
      <c r="DY12" s="11"/>
      <c r="DZ12" s="11"/>
      <c r="EA12" s="11"/>
      <c r="EB12" s="11"/>
      <c r="EC12" s="10"/>
      <c r="ED12" s="10"/>
      <c r="EE12" s="11"/>
      <c r="EF12" s="11"/>
      <c r="EG12" s="11"/>
      <c r="EH12" s="11"/>
      <c r="EI12" s="11"/>
      <c r="EJ12" s="10"/>
      <c r="EK12" s="10"/>
      <c r="EL12" s="11"/>
      <c r="EM12" s="11"/>
      <c r="EN12" s="11"/>
      <c r="EO12" s="11"/>
      <c r="EP12" s="11"/>
      <c r="EQ12" s="10"/>
      <c r="ER12" s="10"/>
      <c r="ES12" s="11"/>
      <c r="ET12" s="11"/>
      <c r="EU12" s="11"/>
      <c r="EV12" s="11"/>
      <c r="EW12" s="11"/>
      <c r="EX12" s="10"/>
      <c r="EY12" s="10"/>
      <c r="EZ12" s="11"/>
      <c r="FA12" s="11"/>
      <c r="FB12" s="11"/>
      <c r="FC12" s="11"/>
      <c r="FD12" s="11"/>
      <c r="FE12" s="10"/>
      <c r="FF12" s="10"/>
      <c r="FG12" s="11"/>
      <c r="FH12" s="11"/>
      <c r="FI12" s="11"/>
      <c r="FJ12" s="11"/>
      <c r="FK12" s="11"/>
      <c r="FL12" s="10"/>
      <c r="FM12" s="10"/>
      <c r="FN12" s="11"/>
      <c r="FO12" s="11"/>
      <c r="FP12" s="11"/>
      <c r="FQ12" s="11"/>
      <c r="FR12" s="11"/>
      <c r="FS12" s="10"/>
      <c r="FT12" s="10"/>
      <c r="FU12" s="11"/>
      <c r="FV12" s="11"/>
      <c r="FW12" s="11"/>
      <c r="FX12" s="11"/>
      <c r="FY12" s="40"/>
      <c r="FZ12" s="10"/>
      <c r="GA12" s="10"/>
      <c r="GB12" s="18" t="s">
        <v>5</v>
      </c>
      <c r="GC12" s="18" t="s">
        <v>5</v>
      </c>
      <c r="GD12" s="11"/>
      <c r="GE12" s="11"/>
      <c r="GF12" s="11"/>
      <c r="GG12" s="10"/>
      <c r="GH12" s="10"/>
      <c r="GI12" s="11"/>
      <c r="GJ12" s="11"/>
      <c r="GK12" s="11"/>
      <c r="GL12" s="11"/>
      <c r="GM12" s="11"/>
      <c r="GN12" s="10"/>
      <c r="GO12" s="10"/>
      <c r="GP12" s="11"/>
      <c r="GQ12" s="11"/>
      <c r="GR12" s="11"/>
      <c r="GS12" s="11"/>
      <c r="GT12" s="11"/>
      <c r="GU12" s="10"/>
      <c r="GV12" s="10"/>
      <c r="GW12" s="40"/>
      <c r="GX12" s="40"/>
      <c r="GY12" s="11"/>
      <c r="GZ12" s="11"/>
      <c r="HA12" s="11"/>
      <c r="HB12" s="10"/>
      <c r="HC12" s="10"/>
      <c r="HD12" s="11"/>
      <c r="HE12" s="11"/>
      <c r="HF12" s="11"/>
      <c r="HG12" s="11"/>
      <c r="HH12" s="11"/>
      <c r="HI12" s="10"/>
      <c r="HJ12" s="10"/>
      <c r="HK12" s="11"/>
      <c r="HL12" s="11"/>
      <c r="HM12" s="11"/>
      <c r="HN12" s="11"/>
      <c r="HO12" s="21" t="s">
        <v>7</v>
      </c>
      <c r="HP12" s="10"/>
      <c r="HQ12" s="10"/>
      <c r="HR12" s="40"/>
      <c r="HS12" s="21" t="s">
        <v>7</v>
      </c>
      <c r="HT12" s="21" t="s">
        <v>7</v>
      </c>
      <c r="HU12" s="21" t="s">
        <v>7</v>
      </c>
      <c r="HV12" s="21" t="s">
        <v>7</v>
      </c>
      <c r="HW12" s="10"/>
      <c r="HX12" s="10"/>
      <c r="HY12" s="11"/>
      <c r="HZ12" s="11"/>
      <c r="IA12" s="11"/>
      <c r="IB12" s="11"/>
      <c r="IC12" s="11"/>
      <c r="ID12" s="10"/>
      <c r="IE12" s="10"/>
      <c r="IF12" s="11"/>
      <c r="IG12" s="11"/>
      <c r="IH12" s="11"/>
      <c r="II12" s="11"/>
      <c r="IJ12" s="11"/>
      <c r="IK12" s="10"/>
      <c r="IL12" s="10"/>
      <c r="IM12" s="11"/>
      <c r="IN12" s="11"/>
      <c r="IO12" s="11"/>
      <c r="IP12" s="11"/>
      <c r="IQ12" s="11"/>
      <c r="IR12" s="10"/>
      <c r="IS12" s="10"/>
      <c r="IT12" s="11"/>
      <c r="IU12" s="11"/>
      <c r="IV12" s="11"/>
      <c r="IW12" s="11"/>
      <c r="IX12" s="11"/>
      <c r="IY12" s="10"/>
      <c r="IZ12" s="10"/>
      <c r="JA12" s="11"/>
      <c r="JB12" s="11"/>
      <c r="JC12" s="40"/>
      <c r="JD12" s="11"/>
      <c r="JE12" s="11"/>
      <c r="JF12" s="10"/>
      <c r="JG12" s="10"/>
      <c r="JH12" s="11"/>
      <c r="JI12" s="11"/>
      <c r="JJ12" s="11"/>
      <c r="JK12" s="11"/>
      <c r="JL12" s="11"/>
      <c r="JM12" s="10"/>
      <c r="JN12" s="10"/>
      <c r="JO12" s="11"/>
      <c r="JP12" s="11"/>
      <c r="JQ12" s="11"/>
      <c r="JR12" s="11"/>
      <c r="JS12" s="11"/>
      <c r="JT12" s="10"/>
      <c r="JU12" s="10"/>
      <c r="JV12" s="11"/>
      <c r="JW12" s="11"/>
      <c r="JX12" s="11"/>
      <c r="JY12" s="11"/>
      <c r="JZ12" s="11"/>
      <c r="KA12" s="10"/>
      <c r="KB12" s="10"/>
      <c r="KC12" s="15" t="s">
        <v>1</v>
      </c>
      <c r="KD12" s="15" t="s">
        <v>1</v>
      </c>
      <c r="KE12" s="15" t="s">
        <v>1</v>
      </c>
      <c r="KF12" s="15" t="s">
        <v>1</v>
      </c>
      <c r="KG12" s="15" t="s">
        <v>1</v>
      </c>
      <c r="KH12" s="10"/>
      <c r="KI12" s="10"/>
      <c r="KJ12" s="11"/>
      <c r="KK12" s="11"/>
      <c r="KL12" s="11"/>
      <c r="KM12" s="11"/>
      <c r="KN12" s="11"/>
      <c r="KO12" s="10"/>
      <c r="KP12" s="10"/>
      <c r="KQ12" s="11"/>
      <c r="KR12" s="11"/>
      <c r="KS12" s="11"/>
      <c r="KT12" s="11"/>
      <c r="KU12" s="11"/>
      <c r="KV12" s="10"/>
      <c r="KW12" s="10"/>
      <c r="KX12" s="11"/>
      <c r="KY12" s="11"/>
      <c r="KZ12" s="11"/>
      <c r="LA12" s="11"/>
      <c r="LB12" s="11"/>
      <c r="LC12" s="10"/>
      <c r="LD12" s="10"/>
      <c r="LE12" s="11"/>
      <c r="LF12" s="11"/>
      <c r="LG12" s="11"/>
      <c r="LH12" s="11"/>
      <c r="LI12" s="11"/>
      <c r="LJ12" s="10"/>
      <c r="LK12" s="10"/>
      <c r="LL12" s="11"/>
      <c r="LM12" s="11"/>
      <c r="LN12" s="11"/>
      <c r="LO12" s="11"/>
      <c r="LP12" s="15" t="s">
        <v>1</v>
      </c>
      <c r="LQ12" s="10"/>
      <c r="LR12" s="10"/>
      <c r="LS12" s="15" t="s">
        <v>1</v>
      </c>
      <c r="LT12" s="15" t="s">
        <v>1</v>
      </c>
      <c r="LU12" s="15" t="s">
        <v>1</v>
      </c>
      <c r="LV12" s="15" t="s">
        <v>1</v>
      </c>
      <c r="LW12" s="15" t="s">
        <v>1</v>
      </c>
      <c r="LX12" s="10"/>
      <c r="LY12" s="10"/>
      <c r="LZ12" s="15" t="s">
        <v>1</v>
      </c>
      <c r="MA12" s="11"/>
      <c r="MB12" s="11"/>
      <c r="MC12" s="11"/>
      <c r="MD12" s="11"/>
      <c r="ME12" s="10"/>
      <c r="MF12" s="10"/>
      <c r="MG12" s="11"/>
      <c r="MH12" s="11"/>
      <c r="MI12" s="11"/>
      <c r="MJ12" s="11"/>
      <c r="MK12" s="11"/>
      <c r="ML12" s="10"/>
      <c r="MM12" s="10"/>
      <c r="MN12" s="11"/>
      <c r="MO12" s="11"/>
      <c r="MP12" s="11"/>
      <c r="MQ12" s="11"/>
      <c r="MR12" s="11"/>
      <c r="MS12" s="10"/>
      <c r="MT12" s="10"/>
      <c r="MU12" s="11"/>
      <c r="MV12" s="11"/>
      <c r="MW12" s="11"/>
      <c r="MX12" s="11"/>
      <c r="MY12" s="11"/>
      <c r="MZ12" s="10"/>
      <c r="NA12" s="10"/>
      <c r="NB12" s="11"/>
      <c r="NC12" s="11"/>
      <c r="ND12" s="11"/>
      <c r="NE12" s="11"/>
      <c r="NF12" s="11"/>
      <c r="NG12" s="10"/>
      <c r="NH12" s="10"/>
      <c r="NI12" s="11"/>
      <c r="NJ12" s="11"/>
      <c r="NK12" s="11"/>
      <c r="NL12" s="11"/>
    </row>
    <row r="13" spans="1:376" customFormat="1" ht="15.75" thickBot="1">
      <c r="A13" s="39"/>
      <c r="B13" s="29" t="s">
        <v>35</v>
      </c>
      <c r="C13" s="29" t="s">
        <v>36</v>
      </c>
      <c r="D13" s="29" t="s">
        <v>31</v>
      </c>
      <c r="E13" s="37">
        <v>0</v>
      </c>
      <c r="F13" s="29">
        <v>23</v>
      </c>
      <c r="G13" s="29">
        <v>2</v>
      </c>
      <c r="H13" s="29">
        <f t="shared" si="0"/>
        <v>19</v>
      </c>
      <c r="I13" s="30">
        <f t="shared" si="1"/>
        <v>2</v>
      </c>
      <c r="J13" s="30">
        <f t="shared" si="2"/>
        <v>0</v>
      </c>
      <c r="K13" s="30">
        <f t="shared" si="3"/>
        <v>0</v>
      </c>
      <c r="L13" s="41"/>
      <c r="M13" s="40"/>
      <c r="N13" s="10"/>
      <c r="O13" s="10"/>
      <c r="P13" s="40"/>
      <c r="Q13" s="11"/>
      <c r="R13" s="11"/>
      <c r="S13" s="11"/>
      <c r="T13" s="11"/>
      <c r="U13" s="10"/>
      <c r="V13" s="10"/>
      <c r="W13" s="40"/>
      <c r="X13" s="15" t="s">
        <v>1</v>
      </c>
      <c r="Y13" s="15" t="s">
        <v>1</v>
      </c>
      <c r="Z13" s="15" t="s">
        <v>1</v>
      </c>
      <c r="AA13" s="15" t="s">
        <v>1</v>
      </c>
      <c r="AB13" s="10"/>
      <c r="AC13" s="10"/>
      <c r="AD13" s="11"/>
      <c r="AE13" s="11"/>
      <c r="AF13" s="11"/>
      <c r="AG13" s="11"/>
      <c r="AH13" s="11"/>
      <c r="AI13" s="10"/>
      <c r="AJ13" s="10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2"/>
      <c r="KB13" s="42"/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2"/>
      <c r="LL13" s="42"/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42"/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2"/>
      <c r="MV13" s="42"/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</row>
    <row r="14" spans="1:376" customFormat="1" ht="15" customHeight="1" thickBot="1">
      <c r="A14" s="39"/>
      <c r="B14" s="29" t="s">
        <v>37</v>
      </c>
      <c r="C14" s="29" t="s">
        <v>30</v>
      </c>
      <c r="D14" s="29" t="s">
        <v>38</v>
      </c>
      <c r="E14" s="37">
        <v>0</v>
      </c>
      <c r="F14" s="29">
        <v>23</v>
      </c>
      <c r="G14" s="29">
        <v>0</v>
      </c>
      <c r="H14" s="29">
        <f t="shared" si="0"/>
        <v>7</v>
      </c>
      <c r="I14" s="30">
        <f t="shared" si="1"/>
        <v>0</v>
      </c>
      <c r="J14" s="30">
        <f t="shared" si="2"/>
        <v>3</v>
      </c>
      <c r="K14" s="30">
        <f t="shared" si="3"/>
        <v>5</v>
      </c>
      <c r="L14" s="11"/>
      <c r="M14" s="40"/>
      <c r="N14" s="10"/>
      <c r="O14" s="10"/>
      <c r="P14" s="11"/>
      <c r="Q14" s="11"/>
      <c r="R14" s="11"/>
      <c r="S14" s="11"/>
      <c r="T14" s="11"/>
      <c r="U14" s="10"/>
      <c r="V14" s="10"/>
      <c r="W14" s="11"/>
      <c r="X14" s="11"/>
      <c r="Y14" s="11"/>
      <c r="Z14" s="11"/>
      <c r="AA14" s="11"/>
      <c r="AB14" s="10"/>
      <c r="AC14" s="10"/>
      <c r="AD14" s="11"/>
      <c r="AE14" s="11"/>
      <c r="AF14" s="11"/>
      <c r="AG14" s="11"/>
      <c r="AH14" s="11"/>
      <c r="AI14" s="10"/>
      <c r="AJ14" s="10"/>
      <c r="AK14" s="11"/>
      <c r="AL14" s="11"/>
      <c r="AM14" s="11"/>
      <c r="AN14" s="11"/>
      <c r="AO14" s="11"/>
      <c r="AP14" s="10"/>
      <c r="AQ14" s="10"/>
      <c r="AR14" s="11"/>
      <c r="AS14" s="11"/>
      <c r="AT14" s="11"/>
      <c r="AU14" s="11"/>
      <c r="AV14" s="11"/>
      <c r="AW14" s="10"/>
      <c r="AX14" s="10"/>
      <c r="AY14" s="11"/>
      <c r="AZ14" s="11"/>
      <c r="BA14" s="11"/>
      <c r="BB14" s="11"/>
      <c r="BC14" s="11"/>
      <c r="BD14" s="10"/>
      <c r="BE14" s="10"/>
      <c r="BF14" s="11"/>
      <c r="BG14" s="11"/>
      <c r="BH14" s="11"/>
      <c r="BI14" s="11"/>
      <c r="BJ14" s="40"/>
      <c r="BK14" s="10"/>
      <c r="BL14" s="10"/>
      <c r="BM14" s="11"/>
      <c r="BN14" s="11"/>
      <c r="BO14" s="11"/>
      <c r="BP14" s="11"/>
      <c r="BQ14" s="11"/>
      <c r="BR14" s="10"/>
      <c r="BS14" s="10"/>
      <c r="BT14" s="11"/>
      <c r="BU14" s="11"/>
      <c r="BV14" s="11"/>
      <c r="BW14" s="11"/>
      <c r="BX14" s="11"/>
      <c r="BY14" s="10"/>
      <c r="BZ14" s="10"/>
      <c r="CA14" s="11"/>
      <c r="CB14" s="11"/>
      <c r="CC14" s="11"/>
      <c r="CD14" s="11"/>
      <c r="CE14" s="11"/>
      <c r="CF14" s="10"/>
      <c r="CG14" s="10"/>
      <c r="CH14" s="11"/>
      <c r="CI14" s="11"/>
      <c r="CJ14" s="11"/>
      <c r="CK14" s="11"/>
      <c r="CL14" s="11"/>
      <c r="CM14" s="10"/>
      <c r="CN14" s="10"/>
      <c r="CO14" s="40"/>
      <c r="CP14" s="11"/>
      <c r="CQ14" s="11"/>
      <c r="CR14" s="11"/>
      <c r="CS14" s="11"/>
      <c r="CT14" s="10"/>
      <c r="CU14" s="10"/>
      <c r="CV14" s="40"/>
      <c r="CW14" s="11"/>
      <c r="CX14" s="11"/>
      <c r="CY14" s="11"/>
      <c r="CZ14" s="11"/>
      <c r="DA14" s="10"/>
      <c r="DB14" s="10"/>
      <c r="DC14" s="11"/>
      <c r="DD14" s="11"/>
      <c r="DE14" s="11"/>
      <c r="DF14" s="11"/>
      <c r="DG14" s="11"/>
      <c r="DH14" s="10"/>
      <c r="DI14" s="10"/>
      <c r="DJ14" s="11"/>
      <c r="DK14" s="11"/>
      <c r="DL14" s="11"/>
      <c r="DM14" s="11"/>
      <c r="DN14" s="40"/>
      <c r="DO14" s="10"/>
      <c r="DP14" s="10"/>
      <c r="DQ14" s="11"/>
      <c r="DR14" s="11"/>
      <c r="DS14" s="11"/>
      <c r="DT14" s="11"/>
      <c r="DU14" s="11"/>
      <c r="DV14" s="10"/>
      <c r="DW14" s="10"/>
      <c r="DX14" s="11"/>
      <c r="DY14" s="11"/>
      <c r="DZ14" s="11" t="s">
        <v>72</v>
      </c>
      <c r="EA14" s="11" t="s">
        <v>72</v>
      </c>
      <c r="EB14" s="11" t="s">
        <v>72</v>
      </c>
      <c r="EC14" s="10"/>
      <c r="ED14" s="10"/>
      <c r="EE14" s="11" t="s">
        <v>72</v>
      </c>
      <c r="EF14" s="11" t="s">
        <v>72</v>
      </c>
      <c r="EG14" s="11" t="s">
        <v>72</v>
      </c>
      <c r="EH14" s="11" t="s">
        <v>72</v>
      </c>
      <c r="EI14" s="11" t="s">
        <v>72</v>
      </c>
      <c r="EJ14" s="10"/>
      <c r="EK14" s="10"/>
      <c r="EL14" s="11" t="s">
        <v>72</v>
      </c>
      <c r="EM14" s="11" t="s">
        <v>72</v>
      </c>
      <c r="EN14" s="11" t="s">
        <v>72</v>
      </c>
      <c r="EO14" s="11" t="s">
        <v>72</v>
      </c>
      <c r="EP14" s="11" t="s">
        <v>72</v>
      </c>
      <c r="EQ14" s="10"/>
      <c r="ER14" s="10"/>
      <c r="ES14" s="11" t="s">
        <v>72</v>
      </c>
      <c r="ET14" s="11" t="s">
        <v>72</v>
      </c>
      <c r="EU14" s="11" t="s">
        <v>72</v>
      </c>
      <c r="EV14" s="11" t="s">
        <v>72</v>
      </c>
      <c r="EW14" s="11" t="s">
        <v>72</v>
      </c>
      <c r="EX14" s="10"/>
      <c r="EY14" s="10"/>
      <c r="EZ14" s="11" t="s">
        <v>72</v>
      </c>
      <c r="FA14" s="11" t="s">
        <v>72</v>
      </c>
      <c r="FB14" s="11" t="s">
        <v>72</v>
      </c>
      <c r="FC14" s="11" t="s">
        <v>72</v>
      </c>
      <c r="FD14" s="11" t="s">
        <v>72</v>
      </c>
      <c r="FE14" s="10"/>
      <c r="FF14" s="10"/>
      <c r="FG14" s="11" t="s">
        <v>72</v>
      </c>
      <c r="FH14" s="11" t="s">
        <v>72</v>
      </c>
      <c r="FI14" s="11" t="s">
        <v>72</v>
      </c>
      <c r="FJ14" s="11" t="s">
        <v>72</v>
      </c>
      <c r="FK14" s="11" t="s">
        <v>72</v>
      </c>
      <c r="FL14" s="10"/>
      <c r="FM14" s="10"/>
      <c r="FN14" s="11" t="s">
        <v>72</v>
      </c>
      <c r="FO14" s="11" t="s">
        <v>72</v>
      </c>
      <c r="FP14" s="11" t="s">
        <v>72</v>
      </c>
      <c r="FQ14" s="11" t="s">
        <v>72</v>
      </c>
      <c r="FR14" s="11" t="s">
        <v>72</v>
      </c>
      <c r="FS14" s="10"/>
      <c r="FT14" s="10"/>
      <c r="FU14" s="11" t="s">
        <v>72</v>
      </c>
      <c r="FV14" s="11" t="s">
        <v>72</v>
      </c>
      <c r="FW14" s="11" t="s">
        <v>72</v>
      </c>
      <c r="FX14" s="11" t="s">
        <v>72</v>
      </c>
      <c r="FY14" s="40"/>
      <c r="FZ14" s="10"/>
      <c r="GA14" s="10"/>
      <c r="GB14" s="11" t="s">
        <v>72</v>
      </c>
      <c r="GC14" s="11" t="s">
        <v>72</v>
      </c>
      <c r="GD14" s="11"/>
      <c r="GE14" s="11"/>
      <c r="GF14" s="11"/>
      <c r="GG14" s="10"/>
      <c r="GH14" s="10"/>
      <c r="GI14" s="11"/>
      <c r="GJ14" s="11"/>
      <c r="GK14" s="11"/>
      <c r="GL14" s="11"/>
      <c r="GM14" s="11"/>
      <c r="GN14" s="10"/>
      <c r="GO14" s="10"/>
      <c r="GP14" s="18" t="s">
        <v>5</v>
      </c>
      <c r="GQ14" s="18" t="s">
        <v>5</v>
      </c>
      <c r="GR14" s="18" t="s">
        <v>5</v>
      </c>
      <c r="GS14" s="11"/>
      <c r="GT14" s="11"/>
      <c r="GU14" s="10"/>
      <c r="GV14" s="10"/>
      <c r="GW14" s="40"/>
      <c r="GX14" s="40"/>
      <c r="GY14" s="11"/>
      <c r="GZ14" s="11"/>
      <c r="HA14" s="11"/>
      <c r="HB14" s="10"/>
      <c r="HC14" s="10"/>
      <c r="HD14" s="11"/>
      <c r="HE14" s="11"/>
      <c r="HF14" s="11"/>
      <c r="HG14" s="11"/>
      <c r="HH14" s="11"/>
      <c r="HI14" s="10"/>
      <c r="HJ14" s="10"/>
      <c r="HK14" s="11"/>
      <c r="HL14" s="11"/>
      <c r="HM14" s="11"/>
      <c r="HN14" s="11"/>
      <c r="HO14" s="11"/>
      <c r="HP14" s="10"/>
      <c r="HQ14" s="10"/>
      <c r="HR14" s="40"/>
      <c r="HS14" s="11"/>
      <c r="HT14" s="11"/>
      <c r="HU14" s="11"/>
      <c r="HV14" s="11"/>
      <c r="HW14" s="10"/>
      <c r="HX14" s="10"/>
      <c r="HY14" s="11"/>
      <c r="HZ14" s="11"/>
      <c r="IA14" s="11"/>
      <c r="IB14" s="11"/>
      <c r="IC14" s="11"/>
      <c r="ID14" s="10"/>
      <c r="IE14" s="10"/>
      <c r="IF14" s="11"/>
      <c r="IG14" s="11"/>
      <c r="IH14" s="11"/>
      <c r="II14" s="11"/>
      <c r="IJ14" s="11"/>
      <c r="IK14" s="10"/>
      <c r="IL14" s="10"/>
      <c r="IM14" s="11"/>
      <c r="IN14" s="11"/>
      <c r="IO14" s="11"/>
      <c r="IP14" s="11"/>
      <c r="IQ14" s="11"/>
      <c r="IR14" s="10"/>
      <c r="IS14" s="10"/>
      <c r="IT14" s="11"/>
      <c r="IU14" s="11"/>
      <c r="IV14" s="11"/>
      <c r="IW14" s="11"/>
      <c r="IX14" s="11"/>
      <c r="IY14" s="10"/>
      <c r="IZ14" s="10"/>
      <c r="JA14" s="11"/>
      <c r="JB14" s="11"/>
      <c r="JC14" s="40"/>
      <c r="JD14" s="11"/>
      <c r="JE14" s="11"/>
      <c r="JF14" s="10"/>
      <c r="JG14" s="10"/>
      <c r="JH14" s="11"/>
      <c r="JI14" s="11"/>
      <c r="JJ14" s="11"/>
      <c r="JK14" s="11"/>
      <c r="JL14" s="11"/>
      <c r="JM14" s="10"/>
      <c r="JN14" s="10"/>
      <c r="JO14" s="11"/>
      <c r="JP14" s="11"/>
      <c r="JQ14" s="11"/>
      <c r="JR14" s="11"/>
      <c r="JS14" s="11"/>
      <c r="JT14" s="10"/>
      <c r="JU14" s="10"/>
      <c r="JV14" s="11"/>
      <c r="JW14" s="11"/>
      <c r="JX14" s="11"/>
      <c r="JY14" s="11"/>
      <c r="JZ14" s="11"/>
      <c r="KA14" s="10"/>
      <c r="KB14" s="10"/>
      <c r="KC14" s="11"/>
      <c r="KD14" s="11"/>
      <c r="KE14" s="11"/>
      <c r="KF14" s="11"/>
      <c r="KG14" s="11"/>
      <c r="KH14" s="10"/>
      <c r="KI14" s="10"/>
      <c r="KJ14" s="11"/>
      <c r="KK14" s="11"/>
      <c r="KL14" s="11"/>
      <c r="KM14" s="11"/>
      <c r="KN14" s="11"/>
      <c r="KO14" s="10"/>
      <c r="KP14" s="10"/>
      <c r="KQ14" s="11"/>
      <c r="KR14" s="11"/>
      <c r="KS14" s="11"/>
      <c r="KT14" s="11"/>
      <c r="KU14" s="11"/>
      <c r="KV14" s="10"/>
      <c r="KW14" s="10"/>
      <c r="KX14" s="11"/>
      <c r="KY14" s="11"/>
      <c r="KZ14" s="11"/>
      <c r="LA14" s="11"/>
      <c r="LB14" s="11"/>
      <c r="LC14" s="10"/>
      <c r="LD14" s="10"/>
      <c r="LE14" s="11"/>
      <c r="LF14" s="11"/>
      <c r="LG14" s="11"/>
      <c r="LH14" s="11"/>
      <c r="LI14" s="11"/>
      <c r="LJ14" s="10"/>
      <c r="LK14" s="10"/>
      <c r="LL14" s="11"/>
      <c r="LM14" s="11"/>
      <c r="LN14" s="11"/>
      <c r="LO14" s="11"/>
      <c r="LP14" s="11"/>
      <c r="LQ14" s="10"/>
      <c r="LR14" s="10"/>
      <c r="LS14" s="11"/>
      <c r="LT14" s="11"/>
      <c r="LU14" s="11"/>
      <c r="LV14" s="11"/>
      <c r="LW14" s="11"/>
      <c r="LX14" s="10"/>
      <c r="LY14" s="10"/>
      <c r="LZ14" s="21" t="s">
        <v>7</v>
      </c>
      <c r="MA14" s="21" t="s">
        <v>7</v>
      </c>
      <c r="MB14" s="21" t="s">
        <v>7</v>
      </c>
      <c r="MC14" s="21" t="s">
        <v>7</v>
      </c>
      <c r="MD14" s="21" t="s">
        <v>7</v>
      </c>
      <c r="ME14" s="10"/>
      <c r="MF14" s="10"/>
      <c r="MG14" s="15" t="s">
        <v>1</v>
      </c>
      <c r="MH14" s="15" t="s">
        <v>1</v>
      </c>
      <c r="MI14" s="15" t="s">
        <v>1</v>
      </c>
      <c r="MJ14" s="15" t="s">
        <v>1</v>
      </c>
      <c r="MK14" s="15" t="s">
        <v>1</v>
      </c>
      <c r="ML14" s="10"/>
      <c r="MM14" s="10"/>
      <c r="MN14" s="15" t="s">
        <v>1</v>
      </c>
      <c r="MO14" s="15" t="s">
        <v>1</v>
      </c>
      <c r="MP14" s="15" t="s">
        <v>1</v>
      </c>
      <c r="MQ14" s="15" t="s">
        <v>1</v>
      </c>
      <c r="MR14" s="15" t="s">
        <v>1</v>
      </c>
      <c r="MS14" s="10"/>
      <c r="MT14" s="10"/>
      <c r="MU14" s="15" t="s">
        <v>1</v>
      </c>
      <c r="MV14" s="15" t="s">
        <v>1</v>
      </c>
      <c r="MW14" s="15" t="s">
        <v>1</v>
      </c>
      <c r="MX14" s="15" t="s">
        <v>1</v>
      </c>
      <c r="MY14" s="15" t="s">
        <v>1</v>
      </c>
      <c r="MZ14" s="10"/>
      <c r="NA14" s="10"/>
      <c r="NB14" s="15" t="s">
        <v>1</v>
      </c>
      <c r="NC14" s="11"/>
      <c r="ND14" s="11"/>
      <c r="NE14" s="11"/>
      <c r="NF14" s="11"/>
      <c r="NG14" s="10"/>
      <c r="NH14" s="10"/>
      <c r="NI14" s="11"/>
      <c r="NJ14" s="11"/>
      <c r="NK14" s="11"/>
      <c r="NL14" s="11"/>
    </row>
    <row r="15" spans="1:376" customFormat="1" ht="15.75" thickBot="1">
      <c r="A15" s="39"/>
      <c r="B15" s="29" t="s">
        <v>39</v>
      </c>
      <c r="C15" s="29" t="s">
        <v>36</v>
      </c>
      <c r="D15" s="29" t="s">
        <v>31</v>
      </c>
      <c r="E15" s="37">
        <v>0</v>
      </c>
      <c r="F15" s="29">
        <v>23</v>
      </c>
      <c r="G15" s="29">
        <v>2</v>
      </c>
      <c r="H15" s="29">
        <f t="shared" si="0"/>
        <v>0</v>
      </c>
      <c r="I15" s="30">
        <f t="shared" si="1"/>
        <v>0</v>
      </c>
      <c r="J15" s="30">
        <f t="shared" si="2"/>
        <v>4</v>
      </c>
      <c r="K15" s="30">
        <f t="shared" si="3"/>
        <v>0</v>
      </c>
      <c r="L15" s="41"/>
      <c r="M15" s="40"/>
      <c r="N15" s="10"/>
      <c r="O15" s="10"/>
      <c r="P15" s="40"/>
      <c r="Q15" s="11"/>
      <c r="R15" s="11"/>
      <c r="S15" s="11"/>
      <c r="T15" s="11"/>
      <c r="U15" s="10"/>
      <c r="V15" s="10"/>
      <c r="W15" s="40"/>
      <c r="X15" s="11"/>
      <c r="Y15" s="11"/>
      <c r="Z15" s="11"/>
      <c r="AA15" s="11"/>
      <c r="AB15" s="10"/>
      <c r="AC15" s="10"/>
      <c r="AD15" s="11"/>
      <c r="AE15" s="11"/>
      <c r="AF15" s="11"/>
      <c r="AG15" s="11"/>
      <c r="AH15" s="11"/>
      <c r="AI15" s="10"/>
      <c r="AJ15" s="10"/>
      <c r="AK15" s="11"/>
      <c r="AL15" s="11"/>
      <c r="AM15" s="11"/>
      <c r="AN15" s="11"/>
      <c r="AO15" s="11"/>
      <c r="AP15" s="10"/>
      <c r="AQ15" s="10"/>
      <c r="AR15" s="11"/>
      <c r="AS15" s="11"/>
      <c r="AT15" s="11"/>
      <c r="AU15" s="11"/>
      <c r="AV15" s="11"/>
      <c r="AW15" s="10"/>
      <c r="AX15" s="10"/>
      <c r="AY15" s="11"/>
      <c r="AZ15" s="11"/>
      <c r="BA15" s="11"/>
      <c r="BB15" s="11"/>
      <c r="BC15" s="11"/>
      <c r="BD15" s="10"/>
      <c r="BE15" s="10"/>
      <c r="BF15" s="11"/>
      <c r="BG15" s="11"/>
      <c r="BH15" s="11"/>
      <c r="BI15" s="11"/>
      <c r="BJ15" s="11"/>
      <c r="BK15" s="10"/>
      <c r="BL15" s="10"/>
      <c r="BM15" s="11"/>
      <c r="BN15" s="11"/>
      <c r="BO15" s="11"/>
      <c r="BP15" s="11"/>
      <c r="BQ15" s="11"/>
      <c r="BR15" s="10"/>
      <c r="BS15" s="10"/>
      <c r="BT15" s="11"/>
      <c r="BU15" s="11"/>
      <c r="BV15" s="11"/>
      <c r="BW15" s="11"/>
      <c r="BX15" s="11"/>
      <c r="BY15" s="10"/>
      <c r="BZ15" s="10"/>
      <c r="CA15" s="11"/>
      <c r="CB15" s="11"/>
      <c r="CC15" s="11"/>
      <c r="CD15" s="11"/>
      <c r="CE15" s="11"/>
      <c r="CF15" s="10"/>
      <c r="CG15" s="10"/>
      <c r="CH15" s="11"/>
      <c r="CI15" s="11"/>
      <c r="CJ15" s="11"/>
      <c r="CK15" s="11"/>
      <c r="CL15" s="11"/>
      <c r="CM15" s="10"/>
      <c r="CN15" s="10"/>
      <c r="CO15" s="11"/>
      <c r="CP15" s="11"/>
      <c r="CQ15" s="11"/>
      <c r="CR15" s="11"/>
      <c r="CS15" s="11"/>
      <c r="CT15" s="10"/>
      <c r="CU15" s="10"/>
      <c r="CV15" s="11"/>
      <c r="CW15" s="11"/>
      <c r="CX15" s="11"/>
      <c r="CY15" s="11"/>
      <c r="CZ15" s="11"/>
      <c r="DA15" s="10"/>
      <c r="DB15" s="10"/>
      <c r="DC15" s="11"/>
      <c r="DD15" s="11"/>
      <c r="DE15" s="11"/>
      <c r="DF15" s="11"/>
      <c r="DG15" s="11"/>
      <c r="DH15" s="10"/>
      <c r="DI15" s="10"/>
      <c r="DJ15" s="11"/>
      <c r="DK15" s="11"/>
      <c r="DL15" s="11"/>
      <c r="DM15" s="11"/>
      <c r="DN15" s="11"/>
      <c r="DO15" s="10"/>
      <c r="DP15" s="10"/>
      <c r="DQ15" s="11"/>
      <c r="DR15" s="11"/>
      <c r="DS15" s="11"/>
      <c r="DT15" s="11"/>
      <c r="DU15" s="11"/>
      <c r="DV15" s="10"/>
      <c r="DW15" s="10"/>
      <c r="DX15" s="11"/>
      <c r="DY15" s="11"/>
      <c r="DZ15" s="11"/>
      <c r="EA15" s="11"/>
      <c r="EB15" s="11"/>
      <c r="EC15" s="10"/>
      <c r="ED15" s="10"/>
      <c r="EE15" s="17" t="s">
        <v>3</v>
      </c>
      <c r="EF15" s="15" t="s">
        <v>1</v>
      </c>
      <c r="EG15" s="15" t="s">
        <v>1</v>
      </c>
      <c r="EH15" s="15" t="s">
        <v>1</v>
      </c>
      <c r="EI15" s="15" t="s">
        <v>1</v>
      </c>
      <c r="EJ15" s="10"/>
      <c r="EK15" s="10"/>
      <c r="EL15" s="15" t="s">
        <v>1</v>
      </c>
      <c r="EM15" s="15" t="s">
        <v>1</v>
      </c>
      <c r="EN15" s="15" t="s">
        <v>1</v>
      </c>
      <c r="EO15" s="15" t="s">
        <v>1</v>
      </c>
      <c r="EP15" s="15" t="s">
        <v>1</v>
      </c>
      <c r="EQ15" s="10"/>
      <c r="ER15" s="10"/>
      <c r="ES15" s="15" t="s">
        <v>1</v>
      </c>
      <c r="ET15" s="15" t="s">
        <v>1</v>
      </c>
      <c r="EU15" s="15" t="s">
        <v>1</v>
      </c>
      <c r="EV15" s="15" t="s">
        <v>1</v>
      </c>
      <c r="EW15" s="15" t="s">
        <v>1</v>
      </c>
      <c r="EX15" s="10"/>
      <c r="EY15" s="10"/>
      <c r="EZ15" s="11"/>
      <c r="FA15" s="11"/>
      <c r="FB15" s="11"/>
      <c r="FC15" s="11"/>
      <c r="FD15" s="11"/>
      <c r="FE15" s="10"/>
      <c r="FF15" s="10"/>
      <c r="FG15" s="11"/>
      <c r="FH15" s="11"/>
      <c r="FI15" s="11"/>
      <c r="FJ15" s="11"/>
      <c r="FK15" s="11"/>
      <c r="FL15" s="10"/>
      <c r="FM15" s="10"/>
      <c r="FN15" s="11"/>
      <c r="FO15" s="17" t="s">
        <v>3</v>
      </c>
      <c r="FP15" s="11"/>
      <c r="FQ15" s="11"/>
      <c r="FR15" s="11"/>
      <c r="FS15" s="10"/>
      <c r="FT15" s="10"/>
      <c r="FU15" s="11"/>
      <c r="FV15" s="11"/>
      <c r="FW15" s="11"/>
      <c r="FX15" s="11"/>
      <c r="FY15" s="11"/>
      <c r="FZ15" s="10"/>
      <c r="GA15" s="10"/>
      <c r="GB15" s="11"/>
      <c r="GC15" s="11"/>
      <c r="GD15" s="11"/>
      <c r="GE15" s="11"/>
      <c r="GF15" s="11"/>
      <c r="GG15" s="10"/>
      <c r="GH15" s="10"/>
      <c r="GI15" s="18" t="s">
        <v>5</v>
      </c>
      <c r="GJ15" s="18" t="s">
        <v>5</v>
      </c>
      <c r="GK15" s="18" t="s">
        <v>5</v>
      </c>
      <c r="GL15" s="18" t="s">
        <v>5</v>
      </c>
      <c r="GM15" s="11"/>
      <c r="GN15" s="10"/>
      <c r="GO15" s="10"/>
      <c r="GP15" s="11"/>
      <c r="GQ15" s="11"/>
      <c r="GR15" s="11"/>
      <c r="GS15" s="11"/>
      <c r="GT15" s="11"/>
      <c r="GU15" s="10"/>
      <c r="GV15" s="10"/>
      <c r="GW15" s="15" t="s">
        <v>1</v>
      </c>
      <c r="GX15" s="40"/>
      <c r="GY15" s="11"/>
      <c r="GZ15" s="11"/>
      <c r="HA15" s="11"/>
      <c r="HB15" s="10"/>
      <c r="HC15" s="10"/>
      <c r="HD15" s="11"/>
      <c r="HE15" s="11"/>
      <c r="HF15" s="11"/>
      <c r="HG15" s="11"/>
      <c r="HH15" s="11"/>
      <c r="HI15" s="10"/>
      <c r="HJ15" s="10"/>
      <c r="HK15" s="11"/>
      <c r="HL15" s="11"/>
      <c r="HM15" s="11"/>
      <c r="HN15" s="11"/>
      <c r="HO15" s="11"/>
      <c r="HP15" s="10"/>
      <c r="HQ15" s="10"/>
      <c r="HR15" s="40"/>
      <c r="HS15" s="11"/>
      <c r="HT15" s="11"/>
      <c r="HU15" s="11"/>
      <c r="HV15" s="11"/>
      <c r="HW15" s="10"/>
      <c r="HX15" s="10"/>
      <c r="HY15" s="11"/>
      <c r="HZ15" s="11"/>
      <c r="IA15" s="11"/>
      <c r="IB15" s="11"/>
      <c r="IC15" s="11"/>
      <c r="ID15" s="10"/>
      <c r="IE15" s="10"/>
      <c r="IF15" s="11"/>
      <c r="IG15" s="11"/>
      <c r="IH15" s="11"/>
      <c r="II15" s="11"/>
      <c r="IJ15" s="11"/>
      <c r="IK15" s="10"/>
      <c r="IL15" s="10"/>
      <c r="IM15" s="11"/>
      <c r="IN15" s="11"/>
      <c r="IO15" s="11"/>
      <c r="IP15" s="11"/>
      <c r="IQ15" s="11"/>
      <c r="IR15" s="10"/>
      <c r="IS15" s="10"/>
      <c r="IT15" s="11"/>
      <c r="IU15" s="11"/>
      <c r="IV15" s="11"/>
      <c r="IW15" s="11"/>
      <c r="IX15" s="11"/>
      <c r="IY15" s="10"/>
      <c r="IZ15" s="10"/>
      <c r="JA15" s="40"/>
      <c r="JB15" s="15" t="s">
        <v>1</v>
      </c>
      <c r="JC15" s="40"/>
      <c r="JD15" s="15" t="s">
        <v>1</v>
      </c>
      <c r="JE15" s="15" t="s">
        <v>1</v>
      </c>
      <c r="JF15" s="10"/>
      <c r="JG15" s="10"/>
      <c r="JH15" s="11"/>
      <c r="JI15" s="11"/>
      <c r="JJ15" s="11"/>
      <c r="JK15" s="11"/>
      <c r="JL15" s="11"/>
      <c r="JM15" s="10"/>
      <c r="JN15" s="10"/>
      <c r="JO15" s="11"/>
      <c r="JP15" s="11"/>
      <c r="JQ15" s="11"/>
      <c r="JR15" s="11"/>
      <c r="JS15" s="40"/>
      <c r="JT15" s="10"/>
      <c r="JU15" s="10"/>
      <c r="JV15" s="11"/>
      <c r="JW15" s="15" t="s">
        <v>1</v>
      </c>
      <c r="JX15" s="15" t="s">
        <v>1</v>
      </c>
      <c r="JY15" s="15" t="s">
        <v>1</v>
      </c>
      <c r="JZ15" s="40"/>
      <c r="KA15" s="10"/>
      <c r="KB15" s="10"/>
      <c r="KC15" s="11"/>
      <c r="KD15" s="11"/>
      <c r="KE15" s="11"/>
      <c r="KF15" s="40"/>
      <c r="KG15" s="15" t="s">
        <v>1</v>
      </c>
      <c r="KH15" s="10"/>
      <c r="KI15" s="10"/>
      <c r="KJ15" s="15" t="s">
        <v>1</v>
      </c>
      <c r="KK15" s="11"/>
      <c r="KL15" s="11"/>
      <c r="KM15" s="11"/>
      <c r="KN15" s="11"/>
      <c r="KO15" s="10"/>
      <c r="KP15" s="10"/>
      <c r="KQ15" s="11"/>
      <c r="KR15" s="11"/>
      <c r="KS15" s="11"/>
      <c r="KT15" s="11"/>
      <c r="KU15" s="11"/>
      <c r="KV15" s="10"/>
      <c r="KW15" s="10"/>
      <c r="KX15" s="11"/>
      <c r="KY15" s="11"/>
      <c r="KZ15" s="11"/>
      <c r="LA15" s="11"/>
      <c r="LB15" s="11"/>
      <c r="LC15" s="10"/>
      <c r="LD15" s="10"/>
      <c r="LE15" s="11"/>
      <c r="LF15" s="11"/>
      <c r="LG15" s="11"/>
      <c r="LH15" s="11"/>
      <c r="LI15" s="11"/>
      <c r="LJ15" s="10"/>
      <c r="LK15" s="10"/>
      <c r="LL15" s="11"/>
      <c r="LM15" s="11"/>
      <c r="LN15" s="11"/>
      <c r="LO15" s="11"/>
      <c r="LP15" s="11"/>
      <c r="LQ15" s="10"/>
      <c r="LR15" s="10"/>
      <c r="LS15" s="11"/>
      <c r="LT15" s="11"/>
      <c r="LU15" s="11"/>
      <c r="LV15" s="11"/>
      <c r="LW15" s="11"/>
      <c r="LX15" s="10"/>
      <c r="LY15" s="10"/>
      <c r="LZ15" s="11"/>
      <c r="MA15" s="11"/>
      <c r="MB15" s="11"/>
      <c r="MC15" s="11"/>
      <c r="MD15" s="11"/>
      <c r="ME15" s="10"/>
      <c r="MF15" s="10"/>
      <c r="MG15" s="11"/>
      <c r="MH15" s="11"/>
      <c r="MI15" s="11"/>
      <c r="MJ15" s="11"/>
      <c r="MK15" s="11"/>
      <c r="ML15" s="10"/>
      <c r="MM15" s="10"/>
      <c r="MN15" s="11"/>
      <c r="MO15" s="11"/>
      <c r="MP15" s="11"/>
      <c r="MQ15" s="11"/>
      <c r="MR15" s="11"/>
      <c r="MS15" s="10"/>
      <c r="MT15" s="10"/>
      <c r="MU15" s="11"/>
      <c r="MV15" s="11"/>
      <c r="MW15" s="11"/>
      <c r="MX15" s="11"/>
      <c r="MY15" s="11"/>
      <c r="MZ15" s="10"/>
      <c r="NA15" s="10"/>
      <c r="NB15" s="11"/>
      <c r="NC15" s="11"/>
      <c r="ND15" s="11"/>
      <c r="NE15" s="11"/>
      <c r="NF15" s="11"/>
      <c r="NG15" s="10"/>
      <c r="NH15" s="10"/>
      <c r="NI15" s="11"/>
      <c r="NJ15" s="11"/>
      <c r="NK15" s="11"/>
      <c r="NL15" s="11"/>
    </row>
    <row r="16" spans="1:376" customFormat="1" ht="15" customHeight="1">
      <c r="A16" s="39"/>
      <c r="B16" s="29" t="s">
        <v>40</v>
      </c>
      <c r="C16" s="29" t="s">
        <v>30</v>
      </c>
      <c r="D16" s="29" t="s">
        <v>31</v>
      </c>
      <c r="E16" s="37">
        <v>0</v>
      </c>
      <c r="F16" s="29">
        <v>23</v>
      </c>
      <c r="G16" s="29">
        <v>0</v>
      </c>
      <c r="H16" s="29">
        <f t="shared" si="0"/>
        <v>6</v>
      </c>
      <c r="I16" s="30">
        <f t="shared" si="1"/>
        <v>-1</v>
      </c>
      <c r="J16" s="30">
        <f t="shared" si="2"/>
        <v>1</v>
      </c>
      <c r="K16" s="30">
        <f t="shared" si="3"/>
        <v>2</v>
      </c>
      <c r="L16" s="11"/>
      <c r="M16" s="40"/>
      <c r="N16" s="10"/>
      <c r="O16" s="10"/>
      <c r="P16" s="11"/>
      <c r="Q16" s="11"/>
      <c r="R16" s="11"/>
      <c r="S16" s="11"/>
      <c r="T16" s="11"/>
      <c r="U16" s="10"/>
      <c r="V16" s="10"/>
      <c r="W16" s="11"/>
      <c r="X16" s="11"/>
      <c r="Y16" s="11"/>
      <c r="Z16" s="11"/>
      <c r="AA16" s="11"/>
      <c r="AB16" s="10"/>
      <c r="AC16" s="10"/>
      <c r="AD16" s="11"/>
      <c r="AE16" s="11"/>
      <c r="AF16" s="11"/>
      <c r="AG16" s="11"/>
      <c r="AH16" s="11"/>
      <c r="AI16" s="10"/>
      <c r="AJ16" s="10"/>
      <c r="AK16" s="11"/>
      <c r="AL16" s="11"/>
      <c r="AM16" s="11"/>
      <c r="AN16" s="11"/>
      <c r="AO16" s="11"/>
      <c r="AP16" s="10"/>
      <c r="AQ16" s="10"/>
      <c r="AR16" s="11"/>
      <c r="AS16" s="11"/>
      <c r="AT16" s="11"/>
      <c r="AU16" s="11"/>
      <c r="AV16" s="11"/>
      <c r="AW16" s="10"/>
      <c r="AX16" s="10"/>
      <c r="AY16" s="11"/>
      <c r="AZ16" s="11"/>
      <c r="BA16" s="11"/>
      <c r="BB16" s="11"/>
      <c r="BC16" s="11"/>
      <c r="BD16" s="10"/>
      <c r="BE16" s="10"/>
      <c r="BF16" s="11"/>
      <c r="BG16" s="11"/>
      <c r="BH16" s="11"/>
      <c r="BI16" s="11"/>
      <c r="BJ16" s="40"/>
      <c r="BK16" s="10"/>
      <c r="BL16" s="10"/>
      <c r="BM16" s="11"/>
      <c r="BN16" s="11"/>
      <c r="BO16" s="15" t="s">
        <v>1</v>
      </c>
      <c r="BP16" s="11"/>
      <c r="BQ16" s="11"/>
      <c r="BR16" s="10"/>
      <c r="BS16" s="10"/>
      <c r="BT16" s="11"/>
      <c r="BU16" s="11"/>
      <c r="BV16" s="11"/>
      <c r="BW16" s="11"/>
      <c r="BX16" s="11"/>
      <c r="BY16" s="10"/>
      <c r="BZ16" s="10"/>
      <c r="CA16" s="15" t="s">
        <v>1</v>
      </c>
      <c r="CB16" s="15" t="s">
        <v>1</v>
      </c>
      <c r="CC16" s="15" t="s">
        <v>1</v>
      </c>
      <c r="CD16" s="15" t="s">
        <v>1</v>
      </c>
      <c r="CE16" s="15" t="s">
        <v>1</v>
      </c>
      <c r="CF16" s="10"/>
      <c r="CG16" s="10"/>
      <c r="CH16" s="11"/>
      <c r="CI16" s="11"/>
      <c r="CJ16" s="11"/>
      <c r="CK16" s="11"/>
      <c r="CL16" s="11"/>
      <c r="CM16" s="10"/>
      <c r="CN16" s="10"/>
      <c r="CO16" s="40"/>
      <c r="CP16" s="11"/>
      <c r="CQ16" s="11"/>
      <c r="CR16" s="11"/>
      <c r="CS16" s="11"/>
      <c r="CT16" s="10"/>
      <c r="CU16" s="10"/>
      <c r="CV16" s="40"/>
      <c r="CW16" s="11"/>
      <c r="CX16" s="11"/>
      <c r="CY16" s="11"/>
      <c r="CZ16" s="11"/>
      <c r="DA16" s="10"/>
      <c r="DB16" s="10"/>
      <c r="DC16" s="11"/>
      <c r="DD16" s="11"/>
      <c r="DE16" s="11"/>
      <c r="DF16" s="11"/>
      <c r="DG16" s="11"/>
      <c r="DH16" s="10"/>
      <c r="DI16" s="10"/>
      <c r="DJ16" s="11"/>
      <c r="DK16" s="11"/>
      <c r="DL16" s="11"/>
      <c r="DM16" s="11"/>
      <c r="DN16" s="40"/>
      <c r="DO16" s="10"/>
      <c r="DP16" s="10"/>
      <c r="DQ16" s="11"/>
      <c r="DR16" s="11"/>
      <c r="DS16" s="11"/>
      <c r="DT16" s="11"/>
      <c r="DU16" s="11"/>
      <c r="DV16" s="10"/>
      <c r="DW16" s="10"/>
      <c r="DX16" s="11"/>
      <c r="DY16" s="11"/>
      <c r="DZ16" s="11"/>
      <c r="EA16" s="11"/>
      <c r="EB16" s="11"/>
      <c r="EC16" s="10"/>
      <c r="ED16" s="10"/>
      <c r="EE16" s="11"/>
      <c r="EF16" s="11"/>
      <c r="EG16" s="11"/>
      <c r="EH16" s="11"/>
      <c r="EI16" s="11"/>
      <c r="EJ16" s="10"/>
      <c r="EK16" s="10"/>
      <c r="EL16" s="11"/>
      <c r="EM16" s="11"/>
      <c r="EN16" s="11"/>
      <c r="EO16" s="11"/>
      <c r="EP16" s="11"/>
      <c r="EQ16" s="10"/>
      <c r="ER16" s="10"/>
      <c r="ES16" s="11"/>
      <c r="ET16" s="11"/>
      <c r="EU16" s="11"/>
      <c r="EV16" s="11"/>
      <c r="EW16" s="11"/>
      <c r="EX16" s="10"/>
      <c r="EY16" s="10"/>
      <c r="EZ16" s="11"/>
      <c r="FA16" s="11"/>
      <c r="FB16" s="11"/>
      <c r="FC16" s="11"/>
      <c r="FD16" s="11"/>
      <c r="FE16" s="10"/>
      <c r="FF16" s="10"/>
      <c r="FG16" s="11"/>
      <c r="FH16" s="11"/>
      <c r="FI16" s="11"/>
      <c r="FJ16" s="11"/>
      <c r="FK16" s="11"/>
      <c r="FL16" s="10"/>
      <c r="FM16" s="10"/>
      <c r="FN16" s="11"/>
      <c r="FO16" s="11"/>
      <c r="FP16" s="11"/>
      <c r="FQ16" s="11"/>
      <c r="FR16" s="11"/>
      <c r="FS16" s="10"/>
      <c r="FT16" s="10"/>
      <c r="FU16" s="11"/>
      <c r="FV16" s="11"/>
      <c r="FW16" s="11"/>
      <c r="FX16" s="11"/>
      <c r="FY16" s="40"/>
      <c r="FZ16" s="10"/>
      <c r="GA16" s="10"/>
      <c r="GB16" s="11"/>
      <c r="GC16" s="11"/>
      <c r="GD16" s="11"/>
      <c r="GE16" s="11"/>
      <c r="GF16" s="11"/>
      <c r="GG16" s="10"/>
      <c r="GH16" s="10"/>
      <c r="GI16" s="11"/>
      <c r="GJ16" s="11"/>
      <c r="GK16" s="11"/>
      <c r="GL16" s="11"/>
      <c r="GM16" s="11"/>
      <c r="GN16" s="10"/>
      <c r="GO16" s="10"/>
      <c r="GP16" s="11"/>
      <c r="GQ16" s="11"/>
      <c r="GR16" s="11"/>
      <c r="GS16" s="11"/>
      <c r="GT16" s="18" t="s">
        <v>5</v>
      </c>
      <c r="GU16" s="10"/>
      <c r="GV16" s="10"/>
      <c r="GW16" s="40"/>
      <c r="GX16" s="40"/>
      <c r="GY16" s="11"/>
      <c r="GZ16" s="11"/>
      <c r="HA16" s="11"/>
      <c r="HB16" s="10"/>
      <c r="HC16" s="10"/>
      <c r="HD16" s="11"/>
      <c r="HE16" s="11"/>
      <c r="HF16" s="11"/>
      <c r="HG16" s="21" t="s">
        <v>7</v>
      </c>
      <c r="HH16" s="21" t="s">
        <v>7</v>
      </c>
      <c r="HI16" s="10"/>
      <c r="HJ16" s="10"/>
      <c r="HK16" s="11"/>
      <c r="HL16" s="11"/>
      <c r="HM16" s="11"/>
      <c r="HN16" s="11"/>
      <c r="HO16" s="11"/>
      <c r="HP16" s="10"/>
      <c r="HQ16" s="10"/>
      <c r="HR16" s="40"/>
      <c r="HS16" s="11"/>
      <c r="HT16" s="11"/>
      <c r="HU16" s="11"/>
      <c r="HV16" s="11"/>
      <c r="HW16" s="10"/>
      <c r="HX16" s="10"/>
      <c r="HY16" s="11"/>
      <c r="HZ16" s="11"/>
      <c r="IA16" s="11"/>
      <c r="IB16" s="11"/>
      <c r="IC16" s="11"/>
      <c r="ID16" s="10"/>
      <c r="IE16" s="10"/>
      <c r="IF16" s="11"/>
      <c r="IG16" s="11"/>
      <c r="IH16" s="11"/>
      <c r="II16" s="11"/>
      <c r="IJ16" s="11"/>
      <c r="IK16" s="10"/>
      <c r="IL16" s="10"/>
      <c r="IM16" s="11"/>
      <c r="IN16" s="11"/>
      <c r="IO16" s="11"/>
      <c r="IP16" s="11"/>
      <c r="IQ16" s="11"/>
      <c r="IR16" s="10"/>
      <c r="IS16" s="10"/>
      <c r="IT16" s="11"/>
      <c r="IU16" s="11"/>
      <c r="IV16" s="11"/>
      <c r="IW16" s="11"/>
      <c r="IX16" s="11"/>
      <c r="IY16" s="10"/>
      <c r="IZ16" s="10"/>
      <c r="JA16" s="11"/>
      <c r="JB16" s="11"/>
      <c r="JC16" s="40"/>
      <c r="JD16" s="11"/>
      <c r="JE16" s="11"/>
      <c r="JF16" s="10"/>
      <c r="JG16" s="10"/>
      <c r="JH16" s="11"/>
      <c r="JI16" s="11"/>
      <c r="JJ16" s="11"/>
      <c r="JK16" s="11"/>
      <c r="JL16" s="11"/>
      <c r="JM16" s="10"/>
      <c r="JN16" s="10"/>
      <c r="JO16" s="11"/>
      <c r="JP16" s="11"/>
      <c r="JQ16" s="11"/>
      <c r="JR16" s="11"/>
      <c r="JS16" s="11"/>
      <c r="JT16" s="10"/>
      <c r="JU16" s="10"/>
      <c r="JV16" s="11"/>
      <c r="JW16" s="11"/>
      <c r="JX16" s="11"/>
      <c r="JY16" s="11"/>
      <c r="JZ16" s="11"/>
      <c r="KA16" s="10"/>
      <c r="KB16" s="10"/>
      <c r="KC16" s="11"/>
      <c r="KD16" s="11"/>
      <c r="KE16" s="11"/>
      <c r="KF16" s="11"/>
      <c r="KG16" s="11"/>
      <c r="KH16" s="10"/>
      <c r="KI16" s="10"/>
      <c r="KJ16" s="11"/>
      <c r="KK16" s="11"/>
      <c r="KL16" s="11"/>
      <c r="KM16" s="11"/>
      <c r="KN16" s="11"/>
      <c r="KO16" s="10"/>
      <c r="KP16" s="10"/>
      <c r="KQ16" s="11"/>
      <c r="KR16" s="11"/>
      <c r="KS16" s="11"/>
      <c r="KT16" s="11"/>
      <c r="KU16" s="11"/>
      <c r="KV16" s="10"/>
      <c r="KW16" s="10"/>
      <c r="KX16" s="11"/>
      <c r="KY16" s="11"/>
      <c r="KZ16" s="11"/>
      <c r="LA16" s="11"/>
      <c r="LB16" s="11"/>
      <c r="LC16" s="10"/>
      <c r="LD16" s="10"/>
      <c r="LE16" s="11"/>
      <c r="LF16" s="15" t="s">
        <v>1</v>
      </c>
      <c r="LG16" s="15" t="s">
        <v>1</v>
      </c>
      <c r="LH16" s="15" t="s">
        <v>1</v>
      </c>
      <c r="LI16" s="15" t="s">
        <v>1</v>
      </c>
      <c r="LJ16" s="10"/>
      <c r="LK16" s="10"/>
      <c r="LL16" s="15" t="s">
        <v>1</v>
      </c>
      <c r="LM16" s="15" t="s">
        <v>1</v>
      </c>
      <c r="LN16" s="15" t="s">
        <v>1</v>
      </c>
      <c r="LO16" s="15" t="s">
        <v>1</v>
      </c>
      <c r="LP16" s="15" t="s">
        <v>1</v>
      </c>
      <c r="LQ16" s="10"/>
      <c r="LR16" s="10"/>
      <c r="LS16" s="15" t="s">
        <v>1</v>
      </c>
      <c r="LT16" s="15" t="s">
        <v>1</v>
      </c>
      <c r="LU16" s="11"/>
      <c r="LV16" s="11"/>
      <c r="LW16" s="11"/>
      <c r="LX16" s="10"/>
      <c r="LY16" s="10"/>
      <c r="LZ16" s="11"/>
      <c r="MA16" s="11"/>
      <c r="MB16" s="11"/>
      <c r="MC16" s="11"/>
      <c r="MD16" s="11"/>
      <c r="ME16" s="10"/>
      <c r="MF16" s="10"/>
      <c r="MG16" s="11"/>
      <c r="MH16" s="11"/>
      <c r="MI16" s="11"/>
      <c r="MJ16" s="11"/>
      <c r="MK16" s="11"/>
      <c r="ML16" s="10"/>
      <c r="MM16" s="10"/>
      <c r="MN16" s="11"/>
      <c r="MO16" s="11"/>
      <c r="MP16" s="11"/>
      <c r="MQ16" s="11"/>
      <c r="MR16" s="11"/>
      <c r="MS16" s="10"/>
      <c r="MT16" s="10"/>
      <c r="MU16" s="11"/>
      <c r="MV16" s="11"/>
      <c r="MW16" s="11"/>
      <c r="MX16" s="11"/>
      <c r="MY16" s="11"/>
      <c r="MZ16" s="10"/>
      <c r="NA16" s="10"/>
      <c r="NB16" s="11"/>
      <c r="NC16" s="11"/>
      <c r="ND16" s="11"/>
      <c r="NE16" s="11"/>
      <c r="NF16" s="11"/>
      <c r="NG16" s="10"/>
      <c r="NH16" s="10"/>
      <c r="NI16" s="11"/>
      <c r="NJ16" s="11"/>
      <c r="NK16" s="11"/>
      <c r="NL16" s="17" t="s">
        <v>3</v>
      </c>
    </row>
    <row r="17" spans="1:376" customFormat="1" ht="15" customHeight="1">
      <c r="A17" s="39"/>
      <c r="B17" s="29" t="s">
        <v>41</v>
      </c>
      <c r="C17" s="29" t="s">
        <v>30</v>
      </c>
      <c r="D17" s="29" t="s">
        <v>31</v>
      </c>
      <c r="E17" s="37">
        <v>0</v>
      </c>
      <c r="F17" s="29">
        <v>23</v>
      </c>
      <c r="G17" s="29">
        <v>0</v>
      </c>
      <c r="H17" s="29">
        <f t="shared" si="0"/>
        <v>19</v>
      </c>
      <c r="I17" s="30">
        <f t="shared" si="1"/>
        <v>0</v>
      </c>
      <c r="J17" s="30">
        <f t="shared" si="2"/>
        <v>0</v>
      </c>
      <c r="K17" s="30">
        <f t="shared" si="3"/>
        <v>0</v>
      </c>
      <c r="L17" s="11"/>
      <c r="M17" s="40"/>
      <c r="N17" s="10"/>
      <c r="O17" s="10"/>
      <c r="P17" s="11"/>
      <c r="Q17" s="11"/>
      <c r="R17" s="11"/>
      <c r="S17" s="11"/>
      <c r="T17" s="11"/>
      <c r="U17" s="10"/>
      <c r="V17" s="10"/>
      <c r="W17" s="11"/>
      <c r="X17" s="11"/>
      <c r="Y17" s="11"/>
      <c r="Z17" s="11"/>
      <c r="AA17" s="11"/>
      <c r="AB17" s="10"/>
      <c r="AC17" s="10"/>
      <c r="AD17" s="11"/>
      <c r="AE17" s="11"/>
      <c r="AF17" s="11"/>
      <c r="AG17" s="11"/>
      <c r="AH17" s="11"/>
      <c r="AI17" s="10"/>
      <c r="AJ17" s="10"/>
      <c r="AK17" s="11"/>
      <c r="AL17" s="11"/>
      <c r="AM17" s="11"/>
      <c r="AN17" s="11"/>
      <c r="AO17" s="11"/>
      <c r="AP17" s="10"/>
      <c r="AQ17" s="10"/>
      <c r="AR17" s="11"/>
      <c r="AS17" s="11"/>
      <c r="AT17" s="11"/>
      <c r="AU17" s="11"/>
      <c r="AV17" s="11"/>
      <c r="AW17" s="10"/>
      <c r="AX17" s="10"/>
      <c r="AY17" s="11"/>
      <c r="AZ17" s="11"/>
      <c r="BA17" s="11"/>
      <c r="BB17" s="11"/>
      <c r="BC17" s="11"/>
      <c r="BD17" s="10"/>
      <c r="BE17" s="10"/>
      <c r="BF17" s="11"/>
      <c r="BG17" s="11"/>
      <c r="BH17" s="11"/>
      <c r="BI17" s="11"/>
      <c r="BJ17" s="40"/>
      <c r="BK17" s="10"/>
      <c r="BL17" s="10"/>
      <c r="BM17" s="11"/>
      <c r="BN17" s="11"/>
      <c r="BO17" s="11"/>
      <c r="BP17" s="11"/>
      <c r="BQ17" s="11"/>
      <c r="BR17" s="10"/>
      <c r="BS17" s="10"/>
      <c r="BT17" s="11"/>
      <c r="BU17" s="11"/>
      <c r="BV17" s="11"/>
      <c r="BW17" s="11"/>
      <c r="BX17" s="11"/>
      <c r="BY17" s="10"/>
      <c r="BZ17" s="10"/>
      <c r="CA17" s="11"/>
      <c r="CB17" s="11"/>
      <c r="CC17" s="11"/>
      <c r="CD17" s="11"/>
      <c r="CE17" s="11"/>
      <c r="CF17" s="10"/>
      <c r="CG17" s="10"/>
      <c r="CH17" s="11"/>
      <c r="CI17" s="11"/>
      <c r="CJ17" s="11"/>
      <c r="CK17" s="11"/>
      <c r="CL17" s="11"/>
      <c r="CM17" s="10"/>
      <c r="CN17" s="10"/>
      <c r="CO17" s="33"/>
      <c r="CP17" s="33"/>
      <c r="CQ17" s="33"/>
      <c r="CR17" s="33"/>
      <c r="CS17" s="33"/>
      <c r="CT17" s="42"/>
      <c r="CU17" s="42"/>
      <c r="CV17" s="33"/>
      <c r="CW17" s="35" t="s">
        <v>1</v>
      </c>
      <c r="CX17" s="35" t="s">
        <v>1</v>
      </c>
      <c r="CY17" s="35" t="s">
        <v>1</v>
      </c>
      <c r="CZ17" s="35" t="s">
        <v>1</v>
      </c>
      <c r="DA17" s="42"/>
      <c r="DB17" s="42"/>
      <c r="DC17" s="33"/>
      <c r="DD17" s="33"/>
      <c r="DE17" s="33"/>
      <c r="DF17" s="33"/>
      <c r="DG17" s="33"/>
      <c r="DH17" s="42"/>
      <c r="DI17" s="42"/>
      <c r="DJ17" s="33"/>
      <c r="DK17" s="33"/>
      <c r="DL17" s="33"/>
      <c r="DM17" s="33"/>
      <c r="DN17" s="33"/>
      <c r="DO17" s="42"/>
      <c r="DP17" s="42"/>
      <c r="DQ17" s="33"/>
      <c r="DR17" s="33"/>
      <c r="DS17" s="33"/>
      <c r="DT17" s="33"/>
      <c r="DU17" s="33"/>
      <c r="DV17" s="42"/>
      <c r="DW17" s="42"/>
      <c r="DX17" s="33"/>
      <c r="DY17" s="33"/>
      <c r="DZ17" s="33"/>
      <c r="EA17" s="33"/>
      <c r="EB17" s="33"/>
      <c r="EC17" s="42"/>
      <c r="ED17" s="42"/>
      <c r="EE17" s="33"/>
      <c r="EF17" s="33"/>
      <c r="EG17" s="33"/>
      <c r="EH17" s="33"/>
      <c r="EI17" s="33"/>
      <c r="EJ17" s="42"/>
      <c r="EK17" s="42"/>
      <c r="EL17" s="33"/>
      <c r="EM17" s="33"/>
      <c r="EN17" s="33"/>
      <c r="EO17" s="33"/>
      <c r="EP17" s="33"/>
      <c r="EQ17" s="42"/>
      <c r="ER17" s="42"/>
      <c r="ES17" s="33"/>
      <c r="ET17" s="33"/>
      <c r="EU17" s="33"/>
      <c r="EV17" s="33"/>
      <c r="EW17" s="33"/>
      <c r="EX17" s="42"/>
      <c r="EY17" s="42"/>
      <c r="EZ17" s="33"/>
      <c r="FA17" s="33"/>
      <c r="FB17" s="33"/>
      <c r="FC17" s="33"/>
      <c r="FD17" s="33"/>
      <c r="FE17" s="42"/>
      <c r="FF17" s="42"/>
      <c r="FG17" s="33"/>
      <c r="FH17" s="33"/>
      <c r="FI17" s="33"/>
      <c r="FJ17" s="33"/>
      <c r="FK17" s="33"/>
      <c r="FL17" s="42"/>
      <c r="FM17" s="42"/>
      <c r="FN17" s="33"/>
      <c r="FO17" s="33"/>
      <c r="FP17" s="33"/>
      <c r="FQ17" s="33"/>
      <c r="FR17" s="33"/>
      <c r="FS17" s="42"/>
      <c r="FT17" s="42"/>
      <c r="FU17" s="33"/>
      <c r="FV17" s="33"/>
      <c r="FW17" s="33"/>
      <c r="FX17" s="33"/>
      <c r="FY17" s="33"/>
      <c r="FZ17" s="42"/>
      <c r="GA17" s="42"/>
      <c r="GB17" s="33"/>
      <c r="GC17" s="33"/>
      <c r="GD17" s="33"/>
      <c r="GE17" s="33"/>
      <c r="GF17" s="33"/>
      <c r="GG17" s="42"/>
      <c r="GH17" s="42"/>
      <c r="GI17" s="33"/>
      <c r="GJ17" s="33"/>
      <c r="GK17" s="33"/>
      <c r="GL17" s="33"/>
      <c r="GM17" s="33"/>
      <c r="GN17" s="42"/>
      <c r="GO17" s="42"/>
      <c r="GP17" s="33"/>
      <c r="GQ17" s="33"/>
      <c r="GR17" s="33"/>
      <c r="GS17" s="33"/>
      <c r="GT17" s="33"/>
      <c r="GU17" s="42"/>
      <c r="GV17" s="42"/>
      <c r="GW17" s="33"/>
      <c r="GX17" s="33"/>
      <c r="GY17" s="33"/>
      <c r="GZ17" s="33"/>
      <c r="HA17" s="33"/>
      <c r="HB17" s="42"/>
      <c r="HC17" s="42"/>
      <c r="HD17" s="33"/>
      <c r="HE17" s="33"/>
      <c r="HF17" s="33"/>
      <c r="HG17" s="33"/>
      <c r="HH17" s="33"/>
      <c r="HI17" s="42"/>
      <c r="HJ17" s="42"/>
      <c r="HK17" s="33"/>
      <c r="HL17" s="33"/>
      <c r="HM17" s="33"/>
      <c r="HN17" s="33"/>
      <c r="HO17" s="33"/>
      <c r="HP17" s="42"/>
      <c r="HQ17" s="42"/>
      <c r="HR17" s="33"/>
      <c r="HS17" s="33"/>
      <c r="HT17" s="33"/>
      <c r="HU17" s="33"/>
      <c r="HV17" s="33"/>
      <c r="HW17" s="42"/>
      <c r="HX17" s="42"/>
      <c r="HY17" s="33"/>
      <c r="HZ17" s="33"/>
      <c r="IA17" s="33"/>
      <c r="IB17" s="33"/>
      <c r="IC17" s="33"/>
      <c r="ID17" s="42"/>
      <c r="IE17" s="42"/>
      <c r="IF17" s="33"/>
      <c r="IG17" s="33"/>
      <c r="IH17" s="33"/>
      <c r="II17" s="33"/>
      <c r="IJ17" s="33"/>
      <c r="IK17" s="42"/>
      <c r="IL17" s="42"/>
      <c r="IM17" s="33"/>
      <c r="IN17" s="33"/>
      <c r="IO17" s="33"/>
      <c r="IP17" s="33"/>
      <c r="IQ17" s="33"/>
      <c r="IR17" s="42"/>
      <c r="IS17" s="42"/>
      <c r="IT17" s="33"/>
      <c r="IU17" s="33"/>
      <c r="IV17" s="33"/>
      <c r="IW17" s="33"/>
      <c r="IX17" s="33"/>
      <c r="IY17" s="42"/>
      <c r="IZ17" s="42"/>
      <c r="JA17" s="33"/>
      <c r="JB17" s="33"/>
      <c r="JC17" s="33"/>
      <c r="JD17" s="33"/>
      <c r="JE17" s="33"/>
      <c r="JF17" s="42"/>
      <c r="JG17" s="42"/>
      <c r="JH17" s="33"/>
      <c r="JI17" s="33"/>
      <c r="JJ17" s="33"/>
      <c r="JK17" s="33"/>
      <c r="JL17" s="33"/>
      <c r="JM17" s="42"/>
      <c r="JN17" s="42"/>
      <c r="JO17" s="33"/>
      <c r="JP17" s="33"/>
      <c r="JQ17" s="33"/>
      <c r="JR17" s="33"/>
      <c r="JS17" s="33"/>
      <c r="JT17" s="42"/>
      <c r="JU17" s="42"/>
      <c r="JV17" s="33"/>
      <c r="JW17" s="33"/>
      <c r="JX17" s="33"/>
      <c r="JY17" s="33"/>
      <c r="JZ17" s="33"/>
      <c r="KA17" s="42"/>
      <c r="KB17" s="42"/>
      <c r="KC17" s="33"/>
      <c r="KD17" s="33"/>
      <c r="KE17" s="33"/>
      <c r="KF17" s="33"/>
      <c r="KG17" s="33"/>
      <c r="KH17" s="42"/>
      <c r="KI17" s="42"/>
      <c r="KJ17" s="33"/>
      <c r="KK17" s="33"/>
      <c r="KL17" s="33"/>
      <c r="KM17" s="33"/>
      <c r="KN17" s="33"/>
      <c r="KO17" s="42"/>
      <c r="KP17" s="42"/>
      <c r="KQ17" s="33"/>
      <c r="KR17" s="33"/>
      <c r="KS17" s="33"/>
      <c r="KT17" s="33"/>
      <c r="KU17" s="33"/>
      <c r="KV17" s="42"/>
      <c r="KW17" s="42"/>
      <c r="KX17" s="33"/>
      <c r="KY17" s="33"/>
      <c r="KZ17" s="33"/>
      <c r="LA17" s="33"/>
      <c r="LB17" s="33"/>
      <c r="LC17" s="42"/>
      <c r="LD17" s="42"/>
      <c r="LE17" s="33"/>
      <c r="LF17" s="33"/>
      <c r="LG17" s="33"/>
      <c r="LH17" s="33"/>
      <c r="LI17" s="33"/>
      <c r="LJ17" s="42"/>
      <c r="LK17" s="42"/>
      <c r="LL17" s="33"/>
      <c r="LM17" s="33"/>
      <c r="LN17" s="33"/>
      <c r="LO17" s="33"/>
      <c r="LP17" s="33"/>
      <c r="LQ17" s="42"/>
      <c r="LR17" s="42"/>
      <c r="LS17" s="33"/>
      <c r="LT17" s="33"/>
      <c r="LU17" s="33"/>
      <c r="LV17" s="33"/>
      <c r="LW17" s="33"/>
      <c r="LX17" s="42"/>
      <c r="LY17" s="42"/>
      <c r="LZ17" s="33"/>
      <c r="MA17" s="33"/>
      <c r="MB17" s="33"/>
      <c r="MC17" s="33"/>
      <c r="MD17" s="33"/>
      <c r="ME17" s="42"/>
      <c r="MF17" s="42"/>
      <c r="MG17" s="33"/>
      <c r="MH17" s="33"/>
      <c r="MI17" s="33"/>
      <c r="MJ17" s="33"/>
      <c r="MK17" s="33"/>
      <c r="ML17" s="42"/>
      <c r="MM17" s="42"/>
      <c r="MN17" s="33"/>
      <c r="MO17" s="33"/>
      <c r="MP17" s="33"/>
      <c r="MQ17" s="33"/>
      <c r="MR17" s="33"/>
      <c r="MS17" s="42"/>
      <c r="MT17" s="42"/>
      <c r="MU17" s="33"/>
      <c r="MV17" s="33"/>
      <c r="MW17" s="33"/>
      <c r="MX17" s="33"/>
      <c r="MY17" s="33"/>
      <c r="MZ17" s="42"/>
      <c r="NA17" s="42"/>
      <c r="NB17" s="33"/>
      <c r="NC17" s="33"/>
      <c r="ND17" s="33"/>
      <c r="NE17" s="33"/>
      <c r="NF17" s="33"/>
      <c r="NG17" s="42"/>
      <c r="NH17" s="42"/>
      <c r="NI17" s="33"/>
      <c r="NJ17" s="33"/>
      <c r="NK17" s="33"/>
      <c r="NL17" s="33"/>
    </row>
    <row r="18" spans="1:376" customFormat="1" ht="15" customHeight="1">
      <c r="A18" s="39"/>
      <c r="B18" s="29" t="s">
        <v>42</v>
      </c>
      <c r="C18" s="29" t="s">
        <v>36</v>
      </c>
      <c r="D18" s="29" t="s">
        <v>43</v>
      </c>
      <c r="E18" s="37">
        <v>0</v>
      </c>
      <c r="F18" s="29">
        <v>23</v>
      </c>
      <c r="G18" s="29">
        <v>2</v>
      </c>
      <c r="H18" s="29">
        <f t="shared" si="0"/>
        <v>0</v>
      </c>
      <c r="I18" s="30">
        <f t="shared" si="1"/>
        <v>2</v>
      </c>
      <c r="J18" s="30">
        <f t="shared" si="2"/>
        <v>0</v>
      </c>
      <c r="K18" s="30">
        <f t="shared" si="3"/>
        <v>87</v>
      </c>
      <c r="L18" s="21" t="s">
        <v>7</v>
      </c>
      <c r="M18" s="21" t="s">
        <v>7</v>
      </c>
      <c r="N18" s="10"/>
      <c r="O18" s="10"/>
      <c r="P18" s="21" t="s">
        <v>7</v>
      </c>
      <c r="Q18" s="21" t="s">
        <v>7</v>
      </c>
      <c r="R18" s="21" t="s">
        <v>7</v>
      </c>
      <c r="S18" s="21" t="s">
        <v>7</v>
      </c>
      <c r="T18" s="21" t="s">
        <v>7</v>
      </c>
      <c r="U18" s="10"/>
      <c r="V18" s="10"/>
      <c r="W18" s="21" t="s">
        <v>7</v>
      </c>
      <c r="X18" s="21" t="s">
        <v>7</v>
      </c>
      <c r="Y18" s="21" t="s">
        <v>7</v>
      </c>
      <c r="Z18" s="21" t="s">
        <v>7</v>
      </c>
      <c r="AA18" s="21" t="s">
        <v>7</v>
      </c>
      <c r="AB18" s="10"/>
      <c r="AC18" s="10"/>
      <c r="AD18" s="21" t="s">
        <v>7</v>
      </c>
      <c r="AE18" s="21" t="s">
        <v>7</v>
      </c>
      <c r="AF18" s="21" t="s">
        <v>7</v>
      </c>
      <c r="AG18" s="21" t="s">
        <v>7</v>
      </c>
      <c r="AH18" s="21" t="s">
        <v>7</v>
      </c>
      <c r="AI18" s="10"/>
      <c r="AJ18" s="10"/>
      <c r="AK18" s="21" t="s">
        <v>7</v>
      </c>
      <c r="AL18" s="21" t="s">
        <v>7</v>
      </c>
      <c r="AM18" s="21" t="s">
        <v>7</v>
      </c>
      <c r="AN18" s="21" t="s">
        <v>7</v>
      </c>
      <c r="AO18" s="21" t="s">
        <v>7</v>
      </c>
      <c r="AP18" s="10"/>
      <c r="AQ18" s="10"/>
      <c r="AR18" s="21" t="s">
        <v>7</v>
      </c>
      <c r="AS18" s="21" t="s">
        <v>7</v>
      </c>
      <c r="AT18" s="21" t="s">
        <v>7</v>
      </c>
      <c r="AU18" s="21" t="s">
        <v>7</v>
      </c>
      <c r="AV18" s="21" t="s">
        <v>7</v>
      </c>
      <c r="AW18" s="10"/>
      <c r="AX18" s="10"/>
      <c r="AY18" s="21" t="s">
        <v>7</v>
      </c>
      <c r="AZ18" s="21" t="s">
        <v>7</v>
      </c>
      <c r="BA18" s="21" t="s">
        <v>7</v>
      </c>
      <c r="BB18" s="21" t="s">
        <v>7</v>
      </c>
      <c r="BC18" s="21" t="s">
        <v>7</v>
      </c>
      <c r="BD18" s="10"/>
      <c r="BE18" s="10"/>
      <c r="BF18" s="11"/>
      <c r="BG18" s="11"/>
      <c r="BH18" s="11"/>
      <c r="BI18" s="11"/>
      <c r="BJ18" s="11"/>
      <c r="BK18" s="10"/>
      <c r="BL18" s="10"/>
      <c r="BM18" s="11"/>
      <c r="BN18" s="11"/>
      <c r="BO18" s="11"/>
      <c r="BP18" s="11"/>
      <c r="BQ18" s="11"/>
      <c r="BR18" s="10"/>
      <c r="BS18" s="10"/>
      <c r="BT18" s="11"/>
      <c r="BU18" s="11"/>
      <c r="BV18" s="11"/>
      <c r="BW18" s="11"/>
      <c r="BX18" s="11"/>
      <c r="BY18" s="10"/>
      <c r="BZ18" s="10"/>
      <c r="CA18" s="11"/>
      <c r="CB18" s="11"/>
      <c r="CC18" s="11"/>
      <c r="CD18" s="11"/>
      <c r="CE18" s="11"/>
      <c r="CF18" s="10"/>
      <c r="CG18" s="10"/>
      <c r="CH18" s="11"/>
      <c r="CI18" s="11"/>
      <c r="CJ18" s="11"/>
      <c r="CK18" s="11"/>
      <c r="CL18" s="11"/>
      <c r="CM18" s="10"/>
      <c r="CN18" s="10"/>
      <c r="CO18" s="11"/>
      <c r="CP18" s="11"/>
      <c r="CQ18" s="11"/>
      <c r="CR18" s="11"/>
      <c r="CS18" s="11"/>
      <c r="CT18" s="10"/>
      <c r="CU18" s="10"/>
      <c r="CV18" s="11"/>
      <c r="CW18" s="11"/>
      <c r="CX18" s="11"/>
      <c r="CY18" s="11"/>
      <c r="CZ18" s="11"/>
      <c r="DA18" s="10"/>
      <c r="DB18" s="10"/>
      <c r="DC18" s="11"/>
      <c r="DD18" s="11"/>
      <c r="DE18" s="11"/>
      <c r="DF18" s="11"/>
      <c r="DG18" s="11"/>
      <c r="DH18" s="10"/>
      <c r="DI18" s="10"/>
      <c r="DJ18" s="11"/>
      <c r="DK18" s="11"/>
      <c r="DL18" s="11"/>
      <c r="DM18" s="11"/>
      <c r="DN18" s="11"/>
      <c r="DO18" s="10"/>
      <c r="DP18" s="10"/>
      <c r="DQ18" s="11"/>
      <c r="DR18" s="11"/>
      <c r="DS18" s="11"/>
      <c r="DT18" s="11"/>
      <c r="DU18" s="11"/>
      <c r="DV18" s="10"/>
      <c r="DW18" s="10"/>
      <c r="DX18" s="11"/>
      <c r="DY18" s="11"/>
      <c r="DZ18" s="11"/>
      <c r="EA18" s="11"/>
      <c r="EB18" s="11"/>
      <c r="EC18" s="10"/>
      <c r="ED18" s="10"/>
      <c r="EE18" s="11"/>
      <c r="EF18" s="11"/>
      <c r="EG18" s="11"/>
      <c r="EH18" s="11"/>
      <c r="EI18" s="11"/>
      <c r="EJ18" s="10"/>
      <c r="EK18" s="10"/>
      <c r="EL18" s="11"/>
      <c r="EM18" s="11"/>
      <c r="EN18" s="11"/>
      <c r="EO18" s="11"/>
      <c r="EP18" s="11"/>
      <c r="EQ18" s="10"/>
      <c r="ER18" s="10"/>
      <c r="ES18" s="15" t="s">
        <v>1</v>
      </c>
      <c r="ET18" s="15" t="s">
        <v>1</v>
      </c>
      <c r="EU18" s="15" t="s">
        <v>1</v>
      </c>
      <c r="EV18" s="15" t="s">
        <v>1</v>
      </c>
      <c r="EW18" s="15" t="s">
        <v>1</v>
      </c>
      <c r="EX18" s="10"/>
      <c r="EY18" s="10"/>
      <c r="EZ18" s="11"/>
      <c r="FA18" s="11"/>
      <c r="FB18" s="11"/>
      <c r="FC18" s="11"/>
      <c r="FD18" s="11"/>
      <c r="FE18" s="10"/>
      <c r="FF18" s="10"/>
      <c r="FG18" s="11"/>
      <c r="FH18" s="11"/>
      <c r="FI18" s="11"/>
      <c r="FJ18" s="11"/>
      <c r="FK18" s="11"/>
      <c r="FL18" s="10"/>
      <c r="FM18" s="10"/>
      <c r="FN18" s="11"/>
      <c r="FO18" s="11"/>
      <c r="FP18" s="11"/>
      <c r="FQ18" s="11"/>
      <c r="FR18" s="11"/>
      <c r="FS18" s="10"/>
      <c r="FT18" s="10"/>
      <c r="FU18" s="11"/>
      <c r="FV18" s="11"/>
      <c r="FW18" s="11"/>
      <c r="FX18" s="11"/>
      <c r="FY18" s="11"/>
      <c r="FZ18" s="10"/>
      <c r="GA18" s="10"/>
      <c r="GB18" s="11"/>
      <c r="GC18" s="11"/>
      <c r="GD18" s="11"/>
      <c r="GE18" s="11"/>
      <c r="GF18" s="11"/>
      <c r="GG18" s="10"/>
      <c r="GH18" s="10"/>
      <c r="GI18" s="11"/>
      <c r="GJ18" s="11"/>
      <c r="GK18" s="11"/>
      <c r="GL18" s="11"/>
      <c r="GM18" s="11"/>
      <c r="GN18" s="10"/>
      <c r="GO18" s="10"/>
      <c r="GP18" s="21" t="s">
        <v>7</v>
      </c>
      <c r="GQ18" s="21" t="s">
        <v>7</v>
      </c>
      <c r="GR18" s="21" t="s">
        <v>7</v>
      </c>
      <c r="GS18" s="21" t="s">
        <v>7</v>
      </c>
      <c r="GT18" s="21" t="s">
        <v>7</v>
      </c>
      <c r="GU18" s="10"/>
      <c r="GV18" s="10"/>
      <c r="GW18" s="21" t="s">
        <v>7</v>
      </c>
      <c r="GX18" s="21" t="s">
        <v>7</v>
      </c>
      <c r="GY18" s="21" t="s">
        <v>7</v>
      </c>
      <c r="GZ18" s="21" t="s">
        <v>7</v>
      </c>
      <c r="HA18" s="21" t="s">
        <v>7</v>
      </c>
      <c r="HB18" s="10"/>
      <c r="HC18" s="10"/>
      <c r="HD18" s="21" t="s">
        <v>7</v>
      </c>
      <c r="HE18" s="21" t="s">
        <v>7</v>
      </c>
      <c r="HF18" s="21" t="s">
        <v>7</v>
      </c>
      <c r="HG18" s="21" t="s">
        <v>7</v>
      </c>
      <c r="HH18" s="21" t="s">
        <v>7</v>
      </c>
      <c r="HI18" s="10"/>
      <c r="HJ18" s="10"/>
      <c r="HK18" s="21" t="s">
        <v>7</v>
      </c>
      <c r="HL18" s="21" t="s">
        <v>7</v>
      </c>
      <c r="HM18" s="21" t="s">
        <v>7</v>
      </c>
      <c r="HN18" s="21" t="s">
        <v>7</v>
      </c>
      <c r="HO18" s="21" t="s">
        <v>7</v>
      </c>
      <c r="HP18" s="10"/>
      <c r="HQ18" s="10"/>
      <c r="HR18" s="21" t="s">
        <v>7</v>
      </c>
      <c r="HS18" s="21" t="s">
        <v>7</v>
      </c>
      <c r="HT18" s="21" t="s">
        <v>7</v>
      </c>
      <c r="HU18" s="21" t="s">
        <v>7</v>
      </c>
      <c r="HV18" s="21" t="s">
        <v>7</v>
      </c>
      <c r="HW18" s="10"/>
      <c r="HX18" s="10"/>
      <c r="HY18" s="21" t="s">
        <v>7</v>
      </c>
      <c r="HZ18" s="21" t="s">
        <v>7</v>
      </c>
      <c r="IA18" s="21" t="s">
        <v>7</v>
      </c>
      <c r="IB18" s="21" t="s">
        <v>7</v>
      </c>
      <c r="IC18" s="21" t="s">
        <v>7</v>
      </c>
      <c r="ID18" s="10"/>
      <c r="IE18" s="10"/>
      <c r="IF18" s="21" t="s">
        <v>7</v>
      </c>
      <c r="IG18" s="21" t="s">
        <v>7</v>
      </c>
      <c r="IH18" s="21" t="s">
        <v>7</v>
      </c>
      <c r="II18" s="21" t="s">
        <v>7</v>
      </c>
      <c r="IJ18" s="21" t="s">
        <v>7</v>
      </c>
      <c r="IK18" s="10"/>
      <c r="IL18" s="10"/>
      <c r="IM18" s="21" t="s">
        <v>7</v>
      </c>
      <c r="IN18" s="21" t="s">
        <v>7</v>
      </c>
      <c r="IO18" s="21" t="s">
        <v>7</v>
      </c>
      <c r="IP18" s="21" t="s">
        <v>7</v>
      </c>
      <c r="IQ18" s="21" t="s">
        <v>7</v>
      </c>
      <c r="IR18" s="10"/>
      <c r="IS18" s="10"/>
      <c r="IT18" s="21" t="s">
        <v>7</v>
      </c>
      <c r="IU18" s="21" t="s">
        <v>7</v>
      </c>
      <c r="IV18" s="21" t="s">
        <v>7</v>
      </c>
      <c r="IW18" s="21" t="s">
        <v>7</v>
      </c>
      <c r="IX18" s="21" t="s">
        <v>7</v>
      </c>
      <c r="IY18" s="10"/>
      <c r="IZ18" s="10"/>
      <c r="JA18" s="21" t="s">
        <v>7</v>
      </c>
      <c r="JB18" s="21" t="s">
        <v>7</v>
      </c>
      <c r="JC18" s="21" t="s">
        <v>7</v>
      </c>
      <c r="JD18" s="21" t="s">
        <v>7</v>
      </c>
      <c r="JE18" s="21" t="s">
        <v>7</v>
      </c>
      <c r="JF18" s="10"/>
      <c r="JG18" s="10"/>
      <c r="JH18" s="21" t="s">
        <v>7</v>
      </c>
      <c r="JI18" s="21" t="s">
        <v>7</v>
      </c>
      <c r="JJ18" s="21" t="s">
        <v>7</v>
      </c>
      <c r="JK18" s="21" t="s">
        <v>7</v>
      </c>
      <c r="JL18" s="21" t="s">
        <v>7</v>
      </c>
      <c r="JM18" s="10"/>
      <c r="JN18" s="10"/>
      <c r="JO18" s="15" t="s">
        <v>1</v>
      </c>
      <c r="JP18" s="15" t="s">
        <v>1</v>
      </c>
      <c r="JQ18" s="15" t="s">
        <v>1</v>
      </c>
      <c r="JR18" s="15" t="s">
        <v>1</v>
      </c>
      <c r="JS18" s="40"/>
      <c r="JT18" s="10"/>
      <c r="JU18" s="10"/>
      <c r="JV18" s="15" t="s">
        <v>1</v>
      </c>
      <c r="JW18" s="15" t="s">
        <v>1</v>
      </c>
      <c r="JX18" s="15" t="s">
        <v>1</v>
      </c>
      <c r="JY18" s="15" t="s">
        <v>1</v>
      </c>
      <c r="JZ18" s="40"/>
      <c r="KA18" s="10"/>
      <c r="KB18" s="10"/>
      <c r="KC18" s="15" t="s">
        <v>1</v>
      </c>
      <c r="KD18" s="15" t="s">
        <v>1</v>
      </c>
      <c r="KE18" s="15" t="s">
        <v>1</v>
      </c>
      <c r="KF18" s="40"/>
      <c r="KG18" s="15" t="s">
        <v>1</v>
      </c>
      <c r="KH18" s="10"/>
      <c r="KI18" s="10"/>
      <c r="KJ18" s="15" t="s">
        <v>1</v>
      </c>
      <c r="KK18" s="15" t="s">
        <v>1</v>
      </c>
      <c r="KL18" s="15" t="s">
        <v>1</v>
      </c>
      <c r="KM18" s="11"/>
      <c r="KN18" s="11"/>
      <c r="KO18" s="10"/>
      <c r="KP18" s="10"/>
      <c r="KQ18" s="11"/>
      <c r="KR18" s="11"/>
      <c r="KS18" s="11"/>
      <c r="KT18" s="11"/>
      <c r="KU18" s="11"/>
      <c r="KV18" s="10"/>
      <c r="KW18" s="10"/>
      <c r="KX18" s="11"/>
      <c r="KY18" s="11"/>
      <c r="KZ18" s="11"/>
      <c r="LA18" s="11"/>
      <c r="LB18" s="11"/>
      <c r="LC18" s="10"/>
      <c r="LD18" s="10"/>
      <c r="LE18" s="11"/>
      <c r="LF18" s="11"/>
      <c r="LG18" s="11"/>
      <c r="LH18" s="11"/>
      <c r="LI18" s="11"/>
      <c r="LJ18" s="10"/>
      <c r="LK18" s="10"/>
      <c r="LL18" s="11"/>
      <c r="LM18" s="11"/>
      <c r="LN18" s="11"/>
      <c r="LO18" s="11"/>
      <c r="LP18" s="11"/>
      <c r="LQ18" s="10"/>
      <c r="LR18" s="10"/>
      <c r="LS18" s="11"/>
      <c r="LT18" s="11"/>
      <c r="LU18" s="11"/>
      <c r="LV18" s="11"/>
      <c r="LW18" s="11"/>
      <c r="LX18" s="10"/>
      <c r="LY18" s="10"/>
      <c r="LZ18" s="11"/>
      <c r="MA18" s="11"/>
      <c r="MB18" s="11"/>
      <c r="MC18" s="11"/>
      <c r="MD18" s="11"/>
      <c r="ME18" s="10"/>
      <c r="MF18" s="10"/>
      <c r="MG18" s="11"/>
      <c r="MH18" s="11"/>
      <c r="MI18" s="11"/>
      <c r="MJ18" s="11"/>
      <c r="MK18" s="11"/>
      <c r="ML18" s="10"/>
      <c r="MM18" s="10"/>
      <c r="MN18" s="11"/>
      <c r="MO18" s="11"/>
      <c r="MP18" s="11"/>
      <c r="MQ18" s="11"/>
      <c r="MR18" s="11"/>
      <c r="MS18" s="10"/>
      <c r="MT18" s="10"/>
      <c r="MU18" s="11"/>
      <c r="MV18" s="11"/>
      <c r="MW18" s="11"/>
      <c r="MX18" s="15" t="s">
        <v>1</v>
      </c>
      <c r="MY18" s="15" t="s">
        <v>1</v>
      </c>
      <c r="MZ18" s="10"/>
      <c r="NA18" s="10"/>
      <c r="NB18" s="15" t="s">
        <v>1</v>
      </c>
      <c r="NC18" s="11"/>
      <c r="ND18" s="11"/>
      <c r="NE18" s="11"/>
      <c r="NF18" s="11"/>
      <c r="NG18" s="10"/>
      <c r="NH18" s="10"/>
      <c r="NI18" s="11"/>
      <c r="NJ18" s="11"/>
      <c r="NK18" s="11"/>
      <c r="NL18" s="11"/>
    </row>
    <row r="19" spans="1:376" customFormat="1">
      <c r="A19" s="39"/>
      <c r="B19" s="29" t="s">
        <v>44</v>
      </c>
      <c r="C19" s="29" t="s">
        <v>36</v>
      </c>
      <c r="D19" s="29" t="s">
        <v>31</v>
      </c>
      <c r="E19" s="37">
        <v>0</v>
      </c>
      <c r="F19" s="29">
        <v>23</v>
      </c>
      <c r="G19" s="29">
        <v>2</v>
      </c>
      <c r="H19" s="29">
        <f t="shared" si="0"/>
        <v>-1</v>
      </c>
      <c r="I19" s="30">
        <f t="shared" si="1"/>
        <v>1</v>
      </c>
      <c r="J19" s="30">
        <f t="shared" si="2"/>
        <v>2</v>
      </c>
      <c r="K19" s="30">
        <f t="shared" si="3"/>
        <v>0</v>
      </c>
      <c r="L19" s="41"/>
      <c r="M19" s="40"/>
      <c r="N19" s="10"/>
      <c r="O19" s="10"/>
      <c r="P19" s="40"/>
      <c r="Q19" s="11"/>
      <c r="R19" s="11"/>
      <c r="S19" s="11"/>
      <c r="T19" s="11"/>
      <c r="U19" s="10"/>
      <c r="V19" s="10"/>
      <c r="W19" s="40"/>
      <c r="X19" s="11"/>
      <c r="Y19" s="11"/>
      <c r="Z19" s="11"/>
      <c r="AA19" s="11"/>
      <c r="AB19" s="10"/>
      <c r="AC19" s="10"/>
      <c r="AD19" s="11"/>
      <c r="AE19" s="11"/>
      <c r="AF19" s="11"/>
      <c r="AG19" s="11"/>
      <c r="AH19" s="11"/>
      <c r="AI19" s="10"/>
      <c r="AJ19" s="10"/>
      <c r="AK19" s="11"/>
      <c r="AL19" s="11"/>
      <c r="AM19" s="11"/>
      <c r="AN19" s="11"/>
      <c r="AO19" s="11"/>
      <c r="AP19" s="10"/>
      <c r="AQ19" s="10"/>
      <c r="AR19" s="11"/>
      <c r="AS19" s="11"/>
      <c r="AT19" s="11"/>
      <c r="AU19" s="11"/>
      <c r="AV19" s="11"/>
      <c r="AW19" s="10"/>
      <c r="AX19" s="10"/>
      <c r="AY19" s="11"/>
      <c r="AZ19" s="11"/>
      <c r="BA19" s="11"/>
      <c r="BB19" s="11"/>
      <c r="BC19" s="11"/>
      <c r="BD19" s="10"/>
      <c r="BE19" s="10"/>
      <c r="BF19" s="11"/>
      <c r="BG19" s="11"/>
      <c r="BH19" s="11"/>
      <c r="BI19" s="11"/>
      <c r="BJ19" s="11"/>
      <c r="BK19" s="10"/>
      <c r="BL19" s="10"/>
      <c r="BM19" s="11"/>
      <c r="BN19" s="11"/>
      <c r="BO19" s="11"/>
      <c r="BP19" s="11"/>
      <c r="BQ19" s="11"/>
      <c r="BR19" s="10"/>
      <c r="BS19" s="10"/>
      <c r="BT19" s="11"/>
      <c r="BU19" s="11"/>
      <c r="BV19" s="11"/>
      <c r="BW19" s="11"/>
      <c r="BX19" s="11"/>
      <c r="BY19" s="10"/>
      <c r="BZ19" s="10"/>
      <c r="CA19" s="11"/>
      <c r="CB19" s="11"/>
      <c r="CC19" s="11"/>
      <c r="CD19" s="11"/>
      <c r="CE19" s="11"/>
      <c r="CF19" s="10"/>
      <c r="CG19" s="10"/>
      <c r="CH19" s="11"/>
      <c r="CI19" s="11"/>
      <c r="CJ19" s="11"/>
      <c r="CK19" s="11"/>
      <c r="CL19" s="11"/>
      <c r="CM19" s="10"/>
      <c r="CN19" s="10"/>
      <c r="CO19" s="11"/>
      <c r="CP19" s="11"/>
      <c r="CQ19" s="11"/>
      <c r="CR19" s="17" t="s">
        <v>3</v>
      </c>
      <c r="CS19" s="11"/>
      <c r="CT19" s="10"/>
      <c r="CU19" s="10"/>
      <c r="CV19" s="11"/>
      <c r="CW19" s="11"/>
      <c r="CX19" s="11"/>
      <c r="CY19" s="11"/>
      <c r="CZ19" s="11"/>
      <c r="DA19" s="10"/>
      <c r="DB19" s="10"/>
      <c r="DC19" s="11"/>
      <c r="DD19" s="11"/>
      <c r="DE19" s="11"/>
      <c r="DF19" s="11"/>
      <c r="DG19" s="11"/>
      <c r="DH19" s="10"/>
      <c r="DI19" s="10"/>
      <c r="DJ19" s="11"/>
      <c r="DK19" s="11"/>
      <c r="DL19" s="11"/>
      <c r="DM19" s="11"/>
      <c r="DN19" s="11"/>
      <c r="DO19" s="10"/>
      <c r="DP19" s="10"/>
      <c r="DQ19" s="11"/>
      <c r="DR19" s="11"/>
      <c r="DS19" s="11"/>
      <c r="DT19" s="11"/>
      <c r="DU19" s="15" t="s">
        <v>1</v>
      </c>
      <c r="DV19" s="10"/>
      <c r="DW19" s="10"/>
      <c r="DX19" s="15" t="s">
        <v>1</v>
      </c>
      <c r="DY19" s="15" t="s">
        <v>1</v>
      </c>
      <c r="DZ19" s="15" t="s">
        <v>1</v>
      </c>
      <c r="EA19" s="15" t="s">
        <v>1</v>
      </c>
      <c r="EB19" s="15" t="s">
        <v>1</v>
      </c>
      <c r="EC19" s="10"/>
      <c r="ED19" s="10"/>
      <c r="EE19" s="15" t="s">
        <v>1</v>
      </c>
      <c r="EF19" s="15" t="s">
        <v>1</v>
      </c>
      <c r="EG19" s="15" t="s">
        <v>1</v>
      </c>
      <c r="EH19" s="15" t="s">
        <v>1</v>
      </c>
      <c r="EI19" s="15" t="s">
        <v>1</v>
      </c>
      <c r="EJ19" s="10"/>
      <c r="EK19" s="10"/>
      <c r="EL19" s="11"/>
      <c r="EM19" s="11"/>
      <c r="EN19" s="11"/>
      <c r="EO19" s="11"/>
      <c r="EP19" s="11"/>
      <c r="EQ19" s="10"/>
      <c r="ER19" s="10"/>
      <c r="ES19" s="11"/>
      <c r="ET19" s="11"/>
      <c r="EU19" s="11"/>
      <c r="EV19" s="11"/>
      <c r="EW19" s="11"/>
      <c r="EX19" s="10"/>
      <c r="EY19" s="10"/>
      <c r="EZ19" s="11"/>
      <c r="FA19" s="11"/>
      <c r="FB19" s="11"/>
      <c r="FC19" s="11"/>
      <c r="FD19" s="11"/>
      <c r="FE19" s="10"/>
      <c r="FF19" s="10"/>
      <c r="FG19" s="11"/>
      <c r="FH19" s="11"/>
      <c r="FI19" s="11"/>
      <c r="FJ19" s="11"/>
      <c r="FK19" s="11"/>
      <c r="FL19" s="10"/>
      <c r="FM19" s="10"/>
      <c r="FN19" s="11"/>
      <c r="FO19" s="11"/>
      <c r="FP19" s="11"/>
      <c r="FQ19" s="11"/>
      <c r="FR19" s="11"/>
      <c r="FS19" s="10"/>
      <c r="FT19" s="10"/>
      <c r="FU19" s="11"/>
      <c r="FV19" s="11"/>
      <c r="FW19" s="11"/>
      <c r="FX19" s="11"/>
      <c r="FY19" s="11"/>
      <c r="FZ19" s="10"/>
      <c r="GA19" s="10"/>
      <c r="GB19" s="11"/>
      <c r="GC19" s="11"/>
      <c r="GD19" s="11"/>
      <c r="GE19" s="11"/>
      <c r="GF19" s="11"/>
      <c r="GG19" s="10"/>
      <c r="GH19" s="10"/>
      <c r="GI19" s="11"/>
      <c r="GJ19" s="11"/>
      <c r="GK19" s="11"/>
      <c r="GL19" s="11"/>
      <c r="GM19" s="11"/>
      <c r="GN19" s="10"/>
      <c r="GO19" s="10"/>
      <c r="GP19" s="11"/>
      <c r="GQ19" s="11"/>
      <c r="GR19" s="11"/>
      <c r="GS19" s="11"/>
      <c r="GT19" s="11"/>
      <c r="GU19" s="10"/>
      <c r="GV19" s="10"/>
      <c r="GW19" s="11"/>
      <c r="GX19" s="40"/>
      <c r="GY19" s="11"/>
      <c r="GZ19" s="15" t="s">
        <v>1</v>
      </c>
      <c r="HA19" s="11"/>
      <c r="HB19" s="10"/>
      <c r="HC19" s="10"/>
      <c r="HD19" s="11"/>
      <c r="HE19" s="11"/>
      <c r="HF19" s="11"/>
      <c r="HG19" s="11"/>
      <c r="HH19" s="11"/>
      <c r="HI19" s="10"/>
      <c r="HJ19" s="10"/>
      <c r="HK19" s="11"/>
      <c r="HL19" s="11"/>
      <c r="HM19" s="11"/>
      <c r="HN19" s="11"/>
      <c r="HO19" s="11"/>
      <c r="HP19" s="10"/>
      <c r="HQ19" s="10"/>
      <c r="HR19" s="40"/>
      <c r="HS19" s="15" t="s">
        <v>1</v>
      </c>
      <c r="HT19" s="15" t="s">
        <v>1</v>
      </c>
      <c r="HU19" s="15" t="s">
        <v>1</v>
      </c>
      <c r="HV19" s="15" t="s">
        <v>1</v>
      </c>
      <c r="HW19" s="10"/>
      <c r="HX19" s="10"/>
      <c r="HY19" s="11"/>
      <c r="HZ19" s="11"/>
      <c r="IA19" s="11"/>
      <c r="IB19" s="11"/>
      <c r="IC19" s="11"/>
      <c r="ID19" s="10"/>
      <c r="IE19" s="10"/>
      <c r="IF19" s="11"/>
      <c r="IG19" s="11"/>
      <c r="IH19" s="11"/>
      <c r="II19" s="11"/>
      <c r="IJ19" s="11"/>
      <c r="IK19" s="10"/>
      <c r="IL19" s="10"/>
      <c r="IM19" s="11"/>
      <c r="IN19" s="11"/>
      <c r="IO19" s="11"/>
      <c r="IP19" s="11"/>
      <c r="IQ19" s="11"/>
      <c r="IR19" s="10"/>
      <c r="IS19" s="10"/>
      <c r="IT19" s="11"/>
      <c r="IU19" s="11"/>
      <c r="IV19" s="11"/>
      <c r="IW19" s="11"/>
      <c r="IX19" s="11"/>
      <c r="IY19" s="10"/>
      <c r="IZ19" s="10"/>
      <c r="JA19" s="40"/>
      <c r="JB19" s="11"/>
      <c r="JC19" s="40"/>
      <c r="JD19" s="11"/>
      <c r="JE19" s="11"/>
      <c r="JF19" s="10"/>
      <c r="JG19" s="10"/>
      <c r="JH19" s="11"/>
      <c r="JI19" s="11"/>
      <c r="JJ19" s="11"/>
      <c r="JK19" s="11"/>
      <c r="JL19" s="11"/>
      <c r="JM19" s="10"/>
      <c r="JN19" s="10"/>
      <c r="JO19" s="11"/>
      <c r="JP19" s="11"/>
      <c r="JQ19" s="11"/>
      <c r="JR19" s="11"/>
      <c r="JS19" s="40"/>
      <c r="JT19" s="10"/>
      <c r="JU19" s="10"/>
      <c r="JV19" s="15" t="s">
        <v>1</v>
      </c>
      <c r="JW19" s="15" t="s">
        <v>1</v>
      </c>
      <c r="JX19" s="15" t="s">
        <v>1</v>
      </c>
      <c r="JY19" s="15" t="s">
        <v>1</v>
      </c>
      <c r="JZ19" s="40"/>
      <c r="KA19" s="10"/>
      <c r="KB19" s="10"/>
      <c r="KC19" s="15" t="s">
        <v>1</v>
      </c>
      <c r="KD19" s="15" t="s">
        <v>1</v>
      </c>
      <c r="KE19" s="15" t="s">
        <v>1</v>
      </c>
      <c r="KF19" s="40"/>
      <c r="KG19" s="15" t="s">
        <v>1</v>
      </c>
      <c r="KH19" s="10"/>
      <c r="KI19" s="10"/>
      <c r="KJ19" s="11"/>
      <c r="KK19" s="11"/>
      <c r="KL19" s="11"/>
      <c r="KM19" s="11"/>
      <c r="KN19" s="11"/>
      <c r="KO19" s="10"/>
      <c r="KP19" s="10"/>
      <c r="KQ19" s="11"/>
      <c r="KR19" s="11"/>
      <c r="KS19" s="11"/>
      <c r="KT19" s="11"/>
      <c r="KU19" s="11"/>
      <c r="KV19" s="10"/>
      <c r="KW19" s="10"/>
      <c r="KX19" s="11"/>
      <c r="KY19" s="11"/>
      <c r="KZ19" s="11"/>
      <c r="LA19" s="11"/>
      <c r="LB19" s="11"/>
      <c r="LC19" s="10"/>
      <c r="LD19" s="10"/>
      <c r="LE19" s="11"/>
      <c r="LF19" s="11"/>
      <c r="LG19" s="11"/>
      <c r="LH19" s="11"/>
      <c r="LI19" s="11"/>
      <c r="LJ19" s="10"/>
      <c r="LK19" s="10"/>
      <c r="LL19" s="11"/>
      <c r="LM19" s="11"/>
      <c r="LN19" s="11"/>
      <c r="LO19" s="11"/>
      <c r="LP19" s="11"/>
      <c r="LQ19" s="10"/>
      <c r="LR19" s="10"/>
      <c r="LS19" s="11"/>
      <c r="LT19" s="11"/>
      <c r="LU19" s="11"/>
      <c r="LV19" s="11"/>
      <c r="LW19" s="11"/>
      <c r="LX19" s="10"/>
      <c r="LY19" s="10"/>
      <c r="LZ19" s="11"/>
      <c r="MA19" s="11"/>
      <c r="MB19" s="11"/>
      <c r="MC19" s="11"/>
      <c r="MD19" s="11"/>
      <c r="ME19" s="10"/>
      <c r="MF19" s="10"/>
      <c r="MG19" s="11"/>
      <c r="MH19" s="11"/>
      <c r="MI19" s="11"/>
      <c r="MJ19" s="11"/>
      <c r="MK19" s="11"/>
      <c r="ML19" s="10"/>
      <c r="MM19" s="10"/>
      <c r="MN19" s="11"/>
      <c r="MO19" s="11"/>
      <c r="MP19" s="11"/>
      <c r="MQ19" s="11"/>
      <c r="MR19" s="11"/>
      <c r="MS19" s="10"/>
      <c r="MT19" s="10"/>
      <c r="MU19" s="11"/>
      <c r="MV19" s="11"/>
      <c r="MW19" s="11"/>
      <c r="MX19" s="11"/>
      <c r="MY19" s="18" t="s">
        <v>5</v>
      </c>
      <c r="MZ19" s="10"/>
      <c r="NA19" s="10"/>
      <c r="NB19" s="18" t="s">
        <v>5</v>
      </c>
      <c r="NC19" s="11"/>
      <c r="ND19" s="11"/>
      <c r="NE19" s="11"/>
      <c r="NF19" s="11"/>
      <c r="NG19" s="10"/>
      <c r="NH19" s="10"/>
      <c r="NI19" s="11"/>
      <c r="NJ19" s="11"/>
      <c r="NK19" s="11"/>
      <c r="NL19" s="11"/>
    </row>
    <row r="20" spans="1:376" customFormat="1" ht="15" customHeight="1">
      <c r="A20" s="39"/>
      <c r="B20" s="29" t="s">
        <v>45</v>
      </c>
      <c r="C20" s="29" t="s">
        <v>36</v>
      </c>
      <c r="D20" s="29" t="s">
        <v>46</v>
      </c>
      <c r="E20" s="37">
        <v>0</v>
      </c>
      <c r="F20" s="29">
        <v>23</v>
      </c>
      <c r="G20" s="29">
        <v>2</v>
      </c>
      <c r="H20" s="29">
        <f t="shared" si="0"/>
        <v>21</v>
      </c>
      <c r="I20" s="30">
        <f t="shared" si="1"/>
        <v>2</v>
      </c>
      <c r="J20" s="30">
        <f t="shared" si="2"/>
        <v>20</v>
      </c>
      <c r="K20" s="30">
        <f t="shared" si="3"/>
        <v>0</v>
      </c>
      <c r="L20" s="41"/>
      <c r="M20" s="40"/>
      <c r="N20" s="10"/>
      <c r="O20" s="10"/>
      <c r="P20" s="40"/>
      <c r="Q20" s="11"/>
      <c r="R20" s="11"/>
      <c r="S20" s="11"/>
      <c r="T20" s="11"/>
      <c r="U20" s="10"/>
      <c r="V20" s="10"/>
      <c r="W20" s="18" t="s">
        <v>5</v>
      </c>
      <c r="X20" s="18" t="s">
        <v>5</v>
      </c>
      <c r="Y20" s="18" t="s">
        <v>5</v>
      </c>
      <c r="Z20" s="18" t="s">
        <v>5</v>
      </c>
      <c r="AA20" s="18" t="s">
        <v>5</v>
      </c>
      <c r="AB20" s="10"/>
      <c r="AC20" s="10"/>
      <c r="AD20" s="18" t="s">
        <v>5</v>
      </c>
      <c r="AE20" s="18" t="s">
        <v>5</v>
      </c>
      <c r="AF20" s="18" t="s">
        <v>5</v>
      </c>
      <c r="AG20" s="18" t="s">
        <v>5</v>
      </c>
      <c r="AH20" s="18" t="s">
        <v>5</v>
      </c>
      <c r="AI20" s="10"/>
      <c r="AJ20" s="10"/>
      <c r="AK20" s="18" t="s">
        <v>5</v>
      </c>
      <c r="AL20" s="18" t="s">
        <v>5</v>
      </c>
      <c r="AM20" s="18" t="s">
        <v>5</v>
      </c>
      <c r="AN20" s="18" t="s">
        <v>5</v>
      </c>
      <c r="AO20" s="18" t="s">
        <v>5</v>
      </c>
      <c r="AP20" s="10"/>
      <c r="AQ20" s="10"/>
      <c r="AR20" s="18" t="s">
        <v>5</v>
      </c>
      <c r="AS20" s="18" t="s">
        <v>5</v>
      </c>
      <c r="AT20" s="18" t="s">
        <v>5</v>
      </c>
      <c r="AU20" s="18" t="s">
        <v>5</v>
      </c>
      <c r="AV20" s="18" t="s">
        <v>5</v>
      </c>
      <c r="AW20" s="10"/>
      <c r="AX20" s="10"/>
      <c r="AY20" s="11"/>
      <c r="AZ20" s="11"/>
      <c r="BA20" s="11"/>
      <c r="BB20" s="11"/>
      <c r="BC20" s="11"/>
      <c r="BD20" s="10"/>
      <c r="BE20" s="10"/>
      <c r="BF20" s="11"/>
      <c r="BG20" s="11"/>
      <c r="BH20" s="11"/>
      <c r="BI20" s="11"/>
      <c r="BJ20" s="11"/>
      <c r="BK20" s="10"/>
      <c r="BL20" s="10"/>
      <c r="BM20" s="15" t="s">
        <v>1</v>
      </c>
      <c r="BN20" s="15" t="s">
        <v>1</v>
      </c>
      <c r="BO20" s="11"/>
      <c r="BP20" s="11"/>
      <c r="BQ20" s="11"/>
      <c r="BR20" s="10"/>
      <c r="BS20" s="10"/>
      <c r="BT20" s="11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2"/>
      <c r="JK20" s="42"/>
      <c r="JL20" s="42"/>
      <c r="JM20" s="42"/>
      <c r="JN20" s="42"/>
      <c r="JO20" s="42"/>
      <c r="JP20" s="42"/>
      <c r="JQ20" s="42"/>
      <c r="JR20" s="42"/>
      <c r="JS20" s="42"/>
      <c r="JT20" s="42"/>
      <c r="JU20" s="42"/>
      <c r="JV20" s="42"/>
      <c r="JW20" s="42"/>
      <c r="JX20" s="42"/>
      <c r="JY20" s="42"/>
      <c r="JZ20" s="42"/>
      <c r="KA20" s="42"/>
      <c r="KB20" s="42"/>
      <c r="KC20" s="42"/>
      <c r="KD20" s="42"/>
      <c r="KE20" s="42"/>
      <c r="KF20" s="42"/>
      <c r="KG20" s="42"/>
      <c r="KH20" s="42"/>
      <c r="KI20" s="42"/>
      <c r="KJ20" s="42"/>
      <c r="KK20" s="42"/>
      <c r="KL20" s="42"/>
      <c r="KM20" s="42"/>
      <c r="KN20" s="42"/>
      <c r="KO20" s="42"/>
      <c r="KP20" s="42"/>
      <c r="KQ20" s="42"/>
      <c r="KR20" s="42"/>
      <c r="KS20" s="42"/>
      <c r="KT20" s="42"/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2"/>
      <c r="LL20" s="42"/>
      <c r="LM20" s="42"/>
      <c r="LN20" s="42"/>
      <c r="LO20" s="42"/>
      <c r="LP20" s="42"/>
      <c r="LQ20" s="42"/>
      <c r="LR20" s="42"/>
      <c r="LS20" s="42"/>
      <c r="LT20" s="42"/>
      <c r="LU20" s="42"/>
      <c r="LV20" s="42"/>
      <c r="LW20" s="42"/>
      <c r="LX20" s="42"/>
      <c r="LY20" s="42"/>
      <c r="LZ20" s="42"/>
      <c r="MA20" s="42"/>
      <c r="MB20" s="42"/>
      <c r="MC20" s="42"/>
      <c r="MD20" s="42"/>
      <c r="ME20" s="42"/>
      <c r="MF20" s="42"/>
      <c r="MG20" s="42"/>
      <c r="MH20" s="42"/>
      <c r="MI20" s="42"/>
      <c r="MJ20" s="42"/>
      <c r="MK20" s="42"/>
      <c r="ML20" s="42"/>
      <c r="MM20" s="42"/>
      <c r="MN20" s="42"/>
      <c r="MO20" s="42"/>
      <c r="MP20" s="42"/>
      <c r="MQ20" s="42"/>
      <c r="MR20" s="42"/>
      <c r="MS20" s="42"/>
      <c r="MT20" s="42"/>
      <c r="MU20" s="42"/>
      <c r="MV20" s="42"/>
      <c r="MW20" s="42"/>
      <c r="MX20" s="42"/>
      <c r="MY20" s="42"/>
      <c r="MZ20" s="42"/>
      <c r="NA20" s="42"/>
      <c r="NB20" s="42"/>
      <c r="NC20" s="42"/>
      <c r="ND20" s="42"/>
      <c r="NE20" s="42"/>
      <c r="NF20" s="42"/>
      <c r="NG20" s="42"/>
      <c r="NH20" s="42"/>
      <c r="NI20" s="42"/>
      <c r="NJ20" s="42"/>
      <c r="NK20" s="42"/>
      <c r="NL20" s="42"/>
    </row>
    <row r="21" spans="1:376" customFormat="1" ht="15" customHeight="1">
      <c r="A21" s="39"/>
      <c r="B21" s="29" t="s">
        <v>47</v>
      </c>
      <c r="C21" s="29" t="s">
        <v>48</v>
      </c>
      <c r="D21" s="29" t="s">
        <v>49</v>
      </c>
      <c r="E21" s="37">
        <v>0</v>
      </c>
      <c r="F21" s="29">
        <v>23</v>
      </c>
      <c r="G21" s="29">
        <v>2</v>
      </c>
      <c r="H21" s="29">
        <f t="shared" si="0"/>
        <v>2</v>
      </c>
      <c r="I21" s="30">
        <f t="shared" si="1"/>
        <v>2</v>
      </c>
      <c r="J21" s="30">
        <f t="shared" si="2"/>
        <v>6</v>
      </c>
      <c r="K21" s="30">
        <f t="shared" si="3"/>
        <v>0</v>
      </c>
      <c r="L21" s="40"/>
      <c r="M21" s="40"/>
      <c r="N21" s="10"/>
      <c r="O21" s="10"/>
      <c r="P21" s="11"/>
      <c r="Q21" s="11"/>
      <c r="R21" s="11"/>
      <c r="S21" s="11"/>
      <c r="T21" s="11"/>
      <c r="U21" s="10"/>
      <c r="V21" s="10"/>
      <c r="W21" s="11"/>
      <c r="X21" s="11"/>
      <c r="Y21" s="11"/>
      <c r="Z21" s="11"/>
      <c r="AA21" s="11"/>
      <c r="AB21" s="10"/>
      <c r="AC21" s="10"/>
      <c r="AD21" s="11"/>
      <c r="AE21" s="11"/>
      <c r="AF21" s="11"/>
      <c r="AG21" s="11"/>
      <c r="AH21" s="18" t="s">
        <v>5</v>
      </c>
      <c r="AI21" s="10"/>
      <c r="AJ21" s="10"/>
      <c r="AK21" s="11"/>
      <c r="AL21" s="11"/>
      <c r="AM21" s="11"/>
      <c r="AN21" s="18" t="s">
        <v>5</v>
      </c>
      <c r="AO21" s="18" t="s">
        <v>5</v>
      </c>
      <c r="AP21" s="10"/>
      <c r="AQ21" s="10"/>
      <c r="AR21" s="11"/>
      <c r="AS21" s="11"/>
      <c r="AT21" s="11"/>
      <c r="AU21" s="11"/>
      <c r="AV21" s="11"/>
      <c r="AW21" s="10"/>
      <c r="AX21" s="10"/>
      <c r="AY21" s="11"/>
      <c r="AZ21" s="11"/>
      <c r="BA21" s="11"/>
      <c r="BB21" s="11"/>
      <c r="BC21" s="11"/>
      <c r="BD21" s="10"/>
      <c r="BE21" s="10"/>
      <c r="BF21" s="11"/>
      <c r="BG21" s="11"/>
      <c r="BH21" s="11"/>
      <c r="BI21" s="11"/>
      <c r="BJ21" s="11"/>
      <c r="BK21" s="10"/>
      <c r="BL21" s="10"/>
      <c r="BM21" s="11"/>
      <c r="BN21" s="11"/>
      <c r="BO21" s="11"/>
      <c r="BP21" s="11"/>
      <c r="BQ21" s="11"/>
      <c r="BR21" s="10"/>
      <c r="BS21" s="10"/>
      <c r="BT21" s="11"/>
      <c r="BU21" s="11"/>
      <c r="BV21" s="11"/>
      <c r="BW21" s="11"/>
      <c r="BX21" s="18" t="s">
        <v>5</v>
      </c>
      <c r="BY21" s="10"/>
      <c r="BZ21" s="10"/>
      <c r="CA21" s="11"/>
      <c r="CB21" s="11"/>
      <c r="CC21" s="11"/>
      <c r="CD21" s="11"/>
      <c r="CE21" s="11"/>
      <c r="CF21" s="10"/>
      <c r="CG21" s="10"/>
      <c r="CH21" s="11"/>
      <c r="CI21" s="11"/>
      <c r="CJ21" s="11"/>
      <c r="CK21" s="11"/>
      <c r="CL21" s="11"/>
      <c r="CM21" s="10"/>
      <c r="CN21" s="10"/>
      <c r="CO21" s="11"/>
      <c r="CP21" s="11"/>
      <c r="CQ21" s="11"/>
      <c r="CR21" s="11"/>
      <c r="CS21" s="11"/>
      <c r="CT21" s="10"/>
      <c r="CU21" s="10"/>
      <c r="CV21" s="11"/>
      <c r="CW21" s="11"/>
      <c r="CX21" s="11"/>
      <c r="CY21" s="11"/>
      <c r="CZ21" s="11"/>
      <c r="DA21" s="10"/>
      <c r="DB21" s="10"/>
      <c r="DC21" s="11"/>
      <c r="DD21" s="11"/>
      <c r="DE21" s="11"/>
      <c r="DF21" s="11"/>
      <c r="DG21" s="15" t="s">
        <v>1</v>
      </c>
      <c r="DH21" s="10"/>
      <c r="DI21" s="10"/>
      <c r="DJ21" s="11"/>
      <c r="DK21" s="11"/>
      <c r="DL21" s="11"/>
      <c r="DM21" s="11"/>
      <c r="DN21" s="15" t="s">
        <v>1</v>
      </c>
      <c r="DO21" s="10"/>
      <c r="DP21" s="10"/>
      <c r="DQ21" s="15" t="s">
        <v>1</v>
      </c>
      <c r="DR21" s="18" t="s">
        <v>5</v>
      </c>
      <c r="DS21" s="18" t="s">
        <v>5</v>
      </c>
      <c r="DT21" s="11"/>
      <c r="DU21" s="11"/>
      <c r="DV21" s="10"/>
      <c r="DW21" s="10"/>
      <c r="DX21" s="11"/>
      <c r="DY21" s="11"/>
      <c r="DZ21" s="11"/>
      <c r="EA21" s="11"/>
      <c r="EB21" s="11"/>
      <c r="EC21" s="10"/>
      <c r="ED21" s="10"/>
      <c r="EE21" s="11"/>
      <c r="EF21" s="11"/>
      <c r="EG21" s="11"/>
      <c r="EH21" s="11"/>
      <c r="EI21" s="11"/>
      <c r="EJ21" s="10"/>
      <c r="EK21" s="10"/>
      <c r="EL21" s="11"/>
      <c r="EM21" s="11"/>
      <c r="EN21" s="11"/>
      <c r="EO21" s="11"/>
      <c r="EP21" s="11"/>
      <c r="EQ21" s="10"/>
      <c r="ER21" s="10"/>
      <c r="ES21" s="40"/>
      <c r="ET21" s="11"/>
      <c r="EU21" s="11"/>
      <c r="EV21" s="11"/>
      <c r="EW21" s="11"/>
      <c r="EX21" s="10"/>
      <c r="EY21" s="10"/>
      <c r="EZ21" s="11"/>
      <c r="FA21" s="11"/>
      <c r="FB21" s="11"/>
      <c r="FC21" s="11"/>
      <c r="FD21" s="11"/>
      <c r="FE21" s="10"/>
      <c r="FF21" s="10"/>
      <c r="FG21" s="11"/>
      <c r="FH21" s="11"/>
      <c r="FI21" s="11"/>
      <c r="FJ21" s="11"/>
      <c r="FK21" s="40"/>
      <c r="FL21" s="10"/>
      <c r="FM21" s="10"/>
      <c r="FN21" s="15" t="s">
        <v>1</v>
      </c>
      <c r="FO21" s="15" t="s">
        <v>1</v>
      </c>
      <c r="FP21" s="15" t="s">
        <v>1</v>
      </c>
      <c r="FQ21" s="15" t="s">
        <v>1</v>
      </c>
      <c r="FR21" s="15" t="s">
        <v>1</v>
      </c>
      <c r="FS21" s="10"/>
      <c r="FT21" s="10"/>
      <c r="FU21" s="11"/>
      <c r="FV21" s="11"/>
      <c r="FW21" s="11"/>
      <c r="FX21" s="11"/>
      <c r="FY21" s="11"/>
      <c r="FZ21" s="10"/>
      <c r="GA21" s="10"/>
      <c r="GB21" s="11"/>
      <c r="GC21" s="11"/>
      <c r="GD21" s="11"/>
      <c r="GE21" s="11"/>
      <c r="GF21" s="11"/>
      <c r="GG21" s="10"/>
      <c r="GH21" s="10"/>
      <c r="GI21" s="11"/>
      <c r="GJ21" s="11"/>
      <c r="GK21" s="11"/>
      <c r="GL21" s="11"/>
      <c r="GM21" s="11"/>
      <c r="GN21" s="10"/>
      <c r="GO21" s="10"/>
      <c r="GP21" s="11"/>
      <c r="GQ21" s="11"/>
      <c r="GR21" s="11"/>
      <c r="GS21" s="11"/>
      <c r="GT21" s="15" t="s">
        <v>1</v>
      </c>
      <c r="GU21" s="10"/>
      <c r="GV21" s="10"/>
      <c r="GW21" s="15" t="s">
        <v>1</v>
      </c>
      <c r="GX21" s="40"/>
      <c r="GY21" s="15" t="s">
        <v>1</v>
      </c>
      <c r="GZ21" s="15" t="s">
        <v>1</v>
      </c>
      <c r="HA21" s="15" t="s">
        <v>1</v>
      </c>
      <c r="HB21" s="10"/>
      <c r="HC21" s="10"/>
      <c r="HD21" s="11"/>
      <c r="HE21" s="11"/>
      <c r="HF21" s="11"/>
      <c r="HG21" s="11"/>
      <c r="HH21" s="11"/>
      <c r="HI21" s="10"/>
      <c r="HJ21" s="10"/>
      <c r="HK21" s="11"/>
      <c r="HL21" s="11"/>
      <c r="HM21" s="11"/>
      <c r="HN21" s="11"/>
      <c r="HO21" s="11"/>
      <c r="HP21" s="10"/>
      <c r="HQ21" s="10"/>
      <c r="HR21" s="40"/>
      <c r="HS21" s="11"/>
      <c r="HT21" s="11"/>
      <c r="HU21" s="11"/>
      <c r="HV21" s="11"/>
      <c r="HW21" s="10"/>
      <c r="HX21" s="10"/>
      <c r="HY21" s="11"/>
      <c r="HZ21" s="11"/>
      <c r="IA21" s="11"/>
      <c r="IB21" s="11"/>
      <c r="IC21" s="11"/>
      <c r="ID21" s="10"/>
      <c r="IE21" s="10"/>
      <c r="IF21" s="11"/>
      <c r="IG21" s="11"/>
      <c r="IH21" s="11"/>
      <c r="II21" s="11"/>
      <c r="IJ21" s="11"/>
      <c r="IK21" s="10"/>
      <c r="IL21" s="10"/>
      <c r="IM21" s="11"/>
      <c r="IN21" s="11"/>
      <c r="IO21" s="11"/>
      <c r="IP21" s="11"/>
      <c r="IQ21" s="11"/>
      <c r="IR21" s="10"/>
      <c r="IS21" s="10"/>
      <c r="IT21" s="11"/>
      <c r="IU21" s="11"/>
      <c r="IV21" s="11"/>
      <c r="IW21" s="11"/>
      <c r="IX21" s="11"/>
      <c r="IY21" s="10"/>
      <c r="IZ21" s="10"/>
      <c r="JA21" s="40"/>
      <c r="JB21" s="11"/>
      <c r="JC21" s="40"/>
      <c r="JD21" s="11"/>
      <c r="JE21" s="11"/>
      <c r="JF21" s="10"/>
      <c r="JG21" s="10"/>
      <c r="JH21" s="11"/>
      <c r="JI21" s="11"/>
      <c r="JJ21" s="11"/>
      <c r="JK21" s="11"/>
      <c r="JL21" s="11"/>
      <c r="JM21" s="10"/>
      <c r="JN21" s="10"/>
      <c r="JO21" s="11"/>
      <c r="JP21" s="11"/>
      <c r="JQ21" s="11"/>
      <c r="JR21" s="11"/>
      <c r="JS21" s="40"/>
      <c r="JT21" s="10"/>
      <c r="JU21" s="10"/>
      <c r="JV21" s="15" t="s">
        <v>1</v>
      </c>
      <c r="JW21" s="15" t="s">
        <v>1</v>
      </c>
      <c r="JX21" s="15" t="s">
        <v>1</v>
      </c>
      <c r="JY21" s="15" t="s">
        <v>1</v>
      </c>
      <c r="JZ21" s="40"/>
      <c r="KA21" s="10"/>
      <c r="KB21" s="10"/>
      <c r="KC21" s="11"/>
      <c r="KD21" s="11"/>
      <c r="KE21" s="11"/>
      <c r="KF21" s="40"/>
      <c r="KG21" s="11"/>
      <c r="KH21" s="10"/>
      <c r="KI21" s="10"/>
      <c r="KJ21" s="11"/>
      <c r="KK21" s="11"/>
      <c r="KL21" s="11"/>
      <c r="KM21" s="11"/>
      <c r="KN21" s="11"/>
      <c r="KO21" s="10"/>
      <c r="KP21" s="10"/>
      <c r="KQ21" s="11"/>
      <c r="KR21" s="11"/>
      <c r="KS21" s="11"/>
      <c r="KT21" s="11"/>
      <c r="KU21" s="11"/>
      <c r="KV21" s="10"/>
      <c r="KW21" s="10"/>
      <c r="KX21" s="11"/>
      <c r="KY21" s="11"/>
      <c r="KZ21" s="11"/>
      <c r="LA21" s="11"/>
      <c r="LB21" s="11"/>
      <c r="LC21" s="10"/>
      <c r="LD21" s="10"/>
      <c r="LE21" s="40"/>
      <c r="LF21" s="15" t="s">
        <v>1</v>
      </c>
      <c r="LG21" s="15" t="s">
        <v>1</v>
      </c>
      <c r="LH21" s="15" t="s">
        <v>1</v>
      </c>
      <c r="LI21" s="15" t="s">
        <v>1</v>
      </c>
      <c r="LJ21" s="10"/>
      <c r="LK21" s="10"/>
      <c r="LL21" s="11"/>
      <c r="LM21" s="11"/>
      <c r="LN21" s="11"/>
      <c r="LO21" s="11"/>
      <c r="LP21" s="11"/>
      <c r="LQ21" s="10"/>
      <c r="LR21" s="10"/>
      <c r="LS21" s="11"/>
      <c r="LT21" s="11"/>
      <c r="LU21" s="11"/>
      <c r="LV21" s="11"/>
      <c r="LW21" s="11"/>
      <c r="LX21" s="10"/>
      <c r="LY21" s="10"/>
      <c r="LZ21" s="11"/>
      <c r="MA21" s="11"/>
      <c r="MB21" s="11"/>
      <c r="MC21" s="11"/>
      <c r="MD21" s="11"/>
      <c r="ME21" s="10"/>
      <c r="MF21" s="10"/>
      <c r="MG21" s="11"/>
      <c r="MH21" s="11"/>
      <c r="MI21" s="11"/>
      <c r="MJ21" s="11"/>
      <c r="MK21" s="11"/>
      <c r="ML21" s="10"/>
      <c r="MM21" s="10"/>
      <c r="MN21" s="40"/>
      <c r="MO21" s="11"/>
      <c r="MP21" s="11"/>
      <c r="MQ21" s="11"/>
      <c r="MR21" s="11"/>
      <c r="MS21" s="10"/>
      <c r="MT21" s="10"/>
      <c r="MU21" s="11"/>
      <c r="MV21" s="11"/>
      <c r="MW21" s="11"/>
      <c r="MX21" s="11"/>
      <c r="MY21" s="11"/>
      <c r="MZ21" s="10"/>
      <c r="NA21" s="10"/>
      <c r="NB21" s="11"/>
      <c r="NC21" s="11"/>
      <c r="ND21" s="11"/>
      <c r="NE21" s="11"/>
      <c r="NF21" s="11"/>
      <c r="NG21" s="10"/>
      <c r="NH21" s="10"/>
      <c r="NI21" s="11"/>
      <c r="NJ21" s="11"/>
      <c r="NK21" s="11"/>
      <c r="NL21" s="11"/>
    </row>
    <row r="22" spans="1:376" customFormat="1" ht="15" customHeight="1">
      <c r="A22" s="39"/>
      <c r="B22" s="29" t="s">
        <v>50</v>
      </c>
      <c r="C22" s="29" t="s">
        <v>36</v>
      </c>
      <c r="D22" s="29" t="s">
        <v>49</v>
      </c>
      <c r="E22" s="37">
        <v>0</v>
      </c>
      <c r="F22" s="29">
        <v>23</v>
      </c>
      <c r="G22" s="29">
        <v>2</v>
      </c>
      <c r="H22" s="29">
        <f t="shared" si="0"/>
        <v>23</v>
      </c>
      <c r="I22" s="30">
        <f t="shared" si="1"/>
        <v>2</v>
      </c>
      <c r="J22" s="30">
        <f t="shared" si="2"/>
        <v>1</v>
      </c>
      <c r="K22" s="30">
        <f t="shared" si="3"/>
        <v>4</v>
      </c>
      <c r="L22" s="18" t="s">
        <v>5</v>
      </c>
      <c r="M22" s="40"/>
      <c r="N22" s="10"/>
      <c r="O22" s="10"/>
      <c r="P22" s="40"/>
      <c r="Q22" s="11"/>
      <c r="R22" s="11"/>
      <c r="S22" s="11"/>
      <c r="T22" s="11"/>
      <c r="U22" s="10"/>
      <c r="V22" s="10"/>
      <c r="W22" s="40"/>
      <c r="X22" s="11"/>
      <c r="Y22" s="11"/>
      <c r="Z22" s="11"/>
      <c r="AA22" s="11"/>
      <c r="AB22" s="10"/>
      <c r="AC22" s="10"/>
      <c r="AD22" s="11"/>
      <c r="AE22" s="11"/>
      <c r="AF22" s="21" t="s">
        <v>7</v>
      </c>
      <c r="AG22" s="21" t="s">
        <v>7</v>
      </c>
      <c r="AH22" s="21" t="s">
        <v>7</v>
      </c>
      <c r="AI22" s="10"/>
      <c r="AJ22" s="10"/>
      <c r="AK22" s="21" t="s">
        <v>7</v>
      </c>
      <c r="AL22" s="11"/>
      <c r="AM22" s="11"/>
      <c r="AN22" s="11"/>
      <c r="AO22" s="11"/>
      <c r="AP22" s="10"/>
      <c r="AQ22" s="10"/>
      <c r="AR22" s="11"/>
      <c r="AS22" s="11"/>
      <c r="AT22" s="11"/>
      <c r="AU22" s="11"/>
      <c r="AV22" s="11"/>
      <c r="AW22" s="10"/>
      <c r="AX22" s="10"/>
      <c r="AY22" s="11"/>
      <c r="AZ22" s="11"/>
      <c r="BA22" s="11"/>
      <c r="BB22" s="11"/>
      <c r="BC22" s="11"/>
      <c r="BD22" s="10"/>
      <c r="BE22" s="10"/>
      <c r="BF22" s="11"/>
      <c r="BG22" s="11"/>
      <c r="BH22" s="11"/>
      <c r="BI22" s="11"/>
      <c r="BJ22" s="11"/>
      <c r="BK22" s="10"/>
      <c r="BL22" s="10"/>
      <c r="BM22" s="11"/>
      <c r="BN22" s="11"/>
      <c r="BO22" s="11"/>
      <c r="BP22" s="33"/>
      <c r="BQ22" s="33"/>
      <c r="BR22" s="42"/>
      <c r="BS22" s="42"/>
      <c r="BT22" s="33"/>
      <c r="BU22" s="33"/>
      <c r="BV22" s="33"/>
      <c r="BW22" s="33"/>
      <c r="BX22" s="33"/>
      <c r="BY22" s="42"/>
      <c r="BZ22" s="42"/>
      <c r="CA22" s="33"/>
      <c r="CB22" s="33"/>
      <c r="CC22" s="33"/>
      <c r="CD22" s="33"/>
      <c r="CE22" s="33"/>
      <c r="CF22" s="42"/>
      <c r="CG22" s="42"/>
      <c r="CH22" s="33"/>
      <c r="CI22" s="33"/>
      <c r="CJ22" s="33"/>
      <c r="CK22" s="33"/>
      <c r="CL22" s="33"/>
      <c r="CM22" s="42"/>
      <c r="CN22" s="42"/>
      <c r="CO22" s="33"/>
      <c r="CP22" s="33"/>
      <c r="CQ22" s="33"/>
      <c r="CR22" s="33"/>
      <c r="CS22" s="33"/>
      <c r="CT22" s="42"/>
      <c r="CU22" s="42"/>
      <c r="CV22" s="33"/>
      <c r="CW22" s="33"/>
      <c r="CX22" s="33"/>
      <c r="CY22" s="33"/>
      <c r="CZ22" s="33"/>
      <c r="DA22" s="42"/>
      <c r="DB22" s="42"/>
      <c r="DC22" s="33"/>
      <c r="DD22" s="33"/>
      <c r="DE22" s="33"/>
      <c r="DF22" s="33"/>
      <c r="DG22" s="33"/>
      <c r="DH22" s="42"/>
      <c r="DI22" s="42"/>
      <c r="DJ22" s="33"/>
      <c r="DK22" s="33"/>
      <c r="DL22" s="33"/>
      <c r="DM22" s="33"/>
      <c r="DN22" s="33"/>
      <c r="DO22" s="42"/>
      <c r="DP22" s="42"/>
      <c r="DQ22" s="33"/>
      <c r="DR22" s="33"/>
      <c r="DS22" s="33"/>
      <c r="DT22" s="33"/>
      <c r="DU22" s="33"/>
      <c r="DV22" s="42"/>
      <c r="DW22" s="42"/>
      <c r="DX22" s="33"/>
      <c r="DY22" s="33"/>
      <c r="DZ22" s="33"/>
      <c r="EA22" s="33"/>
      <c r="EB22" s="33"/>
      <c r="EC22" s="42"/>
      <c r="ED22" s="42"/>
      <c r="EE22" s="33"/>
      <c r="EF22" s="33"/>
      <c r="EG22" s="33"/>
      <c r="EH22" s="33"/>
      <c r="EI22" s="33"/>
      <c r="EJ22" s="42"/>
      <c r="EK22" s="42"/>
      <c r="EL22" s="33"/>
      <c r="EM22" s="33"/>
      <c r="EN22" s="33"/>
      <c r="EO22" s="33"/>
      <c r="EP22" s="33"/>
      <c r="EQ22" s="42"/>
      <c r="ER22" s="42"/>
      <c r="ES22" s="33"/>
      <c r="ET22" s="33"/>
      <c r="EU22" s="33"/>
      <c r="EV22" s="33"/>
      <c r="EW22" s="33"/>
      <c r="EX22" s="42"/>
      <c r="EY22" s="42"/>
      <c r="EZ22" s="33"/>
      <c r="FA22" s="33"/>
      <c r="FB22" s="33"/>
      <c r="FC22" s="33"/>
      <c r="FD22" s="33"/>
      <c r="FE22" s="42"/>
      <c r="FF22" s="42"/>
      <c r="FG22" s="33"/>
      <c r="FH22" s="33"/>
      <c r="FI22" s="33"/>
      <c r="FJ22" s="33"/>
      <c r="FK22" s="33"/>
      <c r="FL22" s="42"/>
      <c r="FM22" s="42"/>
      <c r="FN22" s="33"/>
      <c r="FO22" s="33"/>
      <c r="FP22" s="33"/>
      <c r="FQ22" s="33"/>
      <c r="FR22" s="33"/>
      <c r="FS22" s="42"/>
      <c r="FT22" s="42"/>
      <c r="FU22" s="33"/>
      <c r="FV22" s="33"/>
      <c r="FW22" s="33"/>
      <c r="FX22" s="33"/>
      <c r="FY22" s="33"/>
      <c r="FZ22" s="42"/>
      <c r="GA22" s="42"/>
      <c r="GB22" s="33"/>
      <c r="GC22" s="33"/>
      <c r="GD22" s="33"/>
      <c r="GE22" s="33"/>
      <c r="GF22" s="33"/>
      <c r="GG22" s="42"/>
      <c r="GH22" s="42"/>
      <c r="GI22" s="33"/>
      <c r="GJ22" s="33"/>
      <c r="GK22" s="33"/>
      <c r="GL22" s="33"/>
      <c r="GM22" s="33"/>
      <c r="GN22" s="42"/>
      <c r="GO22" s="42"/>
      <c r="GP22" s="33"/>
      <c r="GQ22" s="33"/>
      <c r="GR22" s="33"/>
      <c r="GS22" s="33"/>
      <c r="GT22" s="33"/>
      <c r="GU22" s="42"/>
      <c r="GV22" s="42"/>
      <c r="GW22" s="33"/>
      <c r="GX22" s="33"/>
      <c r="GY22" s="33"/>
      <c r="GZ22" s="33"/>
      <c r="HA22" s="33"/>
      <c r="HB22" s="42"/>
      <c r="HC22" s="42"/>
      <c r="HD22" s="33"/>
      <c r="HE22" s="33"/>
      <c r="HF22" s="33"/>
      <c r="HG22" s="33"/>
      <c r="HH22" s="33"/>
      <c r="HI22" s="42"/>
      <c r="HJ22" s="42"/>
      <c r="HK22" s="33"/>
      <c r="HL22" s="33"/>
      <c r="HM22" s="33"/>
      <c r="HN22" s="33"/>
      <c r="HO22" s="33"/>
      <c r="HP22" s="42"/>
      <c r="HQ22" s="42"/>
      <c r="HR22" s="33"/>
      <c r="HS22" s="33"/>
      <c r="HT22" s="33"/>
      <c r="HU22" s="33"/>
      <c r="HV22" s="33"/>
      <c r="HW22" s="42"/>
      <c r="HX22" s="42"/>
      <c r="HY22" s="33"/>
      <c r="HZ22" s="33"/>
      <c r="IA22" s="33"/>
      <c r="IB22" s="33"/>
      <c r="IC22" s="33"/>
      <c r="ID22" s="42"/>
      <c r="IE22" s="42"/>
      <c r="IF22" s="33"/>
      <c r="IG22" s="33"/>
      <c r="IH22" s="33"/>
      <c r="II22" s="33"/>
      <c r="IJ22" s="33"/>
      <c r="IK22" s="42"/>
      <c r="IL22" s="42"/>
      <c r="IM22" s="33"/>
      <c r="IN22" s="33"/>
      <c r="IO22" s="33"/>
      <c r="IP22" s="33"/>
      <c r="IQ22" s="33"/>
      <c r="IR22" s="42"/>
      <c r="IS22" s="42"/>
      <c r="IT22" s="33"/>
      <c r="IU22" s="33"/>
      <c r="IV22" s="33"/>
      <c r="IW22" s="33"/>
      <c r="IX22" s="33"/>
      <c r="IY22" s="42"/>
      <c r="IZ22" s="42"/>
      <c r="JA22" s="33"/>
      <c r="JB22" s="33"/>
      <c r="JC22" s="33"/>
      <c r="JD22" s="33"/>
      <c r="JE22" s="33"/>
      <c r="JF22" s="42"/>
      <c r="JG22" s="42"/>
      <c r="JH22" s="33"/>
      <c r="JI22" s="33"/>
      <c r="JJ22" s="33"/>
      <c r="JK22" s="33"/>
      <c r="JL22" s="33"/>
      <c r="JM22" s="42"/>
      <c r="JN22" s="42"/>
      <c r="JO22" s="33"/>
      <c r="JP22" s="33"/>
      <c r="JQ22" s="33"/>
      <c r="JR22" s="33"/>
      <c r="JS22" s="33"/>
      <c r="JT22" s="42"/>
      <c r="JU22" s="42"/>
      <c r="JV22" s="33"/>
      <c r="JW22" s="33"/>
      <c r="JX22" s="33"/>
      <c r="JY22" s="33"/>
      <c r="JZ22" s="33"/>
      <c r="KA22" s="42"/>
      <c r="KB22" s="42"/>
      <c r="KC22" s="33"/>
      <c r="KD22" s="33"/>
      <c r="KE22" s="33"/>
      <c r="KF22" s="33"/>
      <c r="KG22" s="33"/>
      <c r="KH22" s="42"/>
      <c r="KI22" s="42"/>
      <c r="KJ22" s="33"/>
      <c r="KK22" s="33"/>
      <c r="KL22" s="33"/>
      <c r="KM22" s="33"/>
      <c r="KN22" s="33"/>
      <c r="KO22" s="42"/>
      <c r="KP22" s="42"/>
      <c r="KQ22" s="33"/>
      <c r="KR22" s="33"/>
      <c r="KS22" s="33"/>
      <c r="KT22" s="33"/>
      <c r="KU22" s="33"/>
      <c r="KV22" s="42"/>
      <c r="KW22" s="42"/>
      <c r="KX22" s="33"/>
      <c r="KY22" s="33"/>
      <c r="KZ22" s="33"/>
      <c r="LA22" s="33"/>
      <c r="LB22" s="33"/>
      <c r="LC22" s="42"/>
      <c r="LD22" s="42"/>
      <c r="LE22" s="33"/>
      <c r="LF22" s="33"/>
      <c r="LG22" s="33"/>
      <c r="LH22" s="33"/>
      <c r="LI22" s="33"/>
      <c r="LJ22" s="42"/>
      <c r="LK22" s="42"/>
      <c r="LL22" s="33"/>
      <c r="LM22" s="33"/>
      <c r="LN22" s="33"/>
      <c r="LO22" s="33"/>
      <c r="LP22" s="33"/>
      <c r="LQ22" s="42"/>
      <c r="LR22" s="42"/>
      <c r="LS22" s="33"/>
      <c r="LT22" s="33"/>
      <c r="LU22" s="33"/>
      <c r="LV22" s="33"/>
      <c r="LW22" s="33"/>
      <c r="LX22" s="42"/>
      <c r="LY22" s="42"/>
      <c r="LZ22" s="33"/>
      <c r="MA22" s="33"/>
      <c r="MB22" s="33"/>
      <c r="MC22" s="33"/>
      <c r="MD22" s="33"/>
      <c r="ME22" s="42"/>
      <c r="MF22" s="42"/>
      <c r="MG22" s="33"/>
      <c r="MH22" s="33"/>
      <c r="MI22" s="33"/>
      <c r="MJ22" s="33"/>
      <c r="MK22" s="33"/>
      <c r="ML22" s="42"/>
      <c r="MM22" s="42"/>
      <c r="MN22" s="33"/>
      <c r="MO22" s="33"/>
      <c r="MP22" s="33"/>
      <c r="MQ22" s="33"/>
      <c r="MR22" s="33"/>
      <c r="MS22" s="42"/>
      <c r="MT22" s="42"/>
      <c r="MU22" s="33"/>
      <c r="MV22" s="33"/>
      <c r="MW22" s="33"/>
      <c r="MX22" s="33"/>
      <c r="MY22" s="33"/>
      <c r="MZ22" s="42"/>
      <c r="NA22" s="42"/>
      <c r="NB22" s="33"/>
      <c r="NC22" s="33"/>
      <c r="ND22" s="33"/>
      <c r="NE22" s="33"/>
      <c r="NF22" s="33"/>
      <c r="NG22" s="42"/>
      <c r="NH22" s="42"/>
      <c r="NI22" s="33"/>
      <c r="NJ22" s="33"/>
      <c r="NK22" s="33"/>
      <c r="NL22" s="33"/>
    </row>
    <row r="23" spans="1:376" customFormat="1" ht="15" customHeight="1">
      <c r="A23" s="39"/>
      <c r="B23" s="29" t="s">
        <v>54</v>
      </c>
      <c r="C23" s="29" t="s">
        <v>30</v>
      </c>
      <c r="D23" s="29" t="s">
        <v>49</v>
      </c>
      <c r="E23" s="37">
        <v>0</v>
      </c>
      <c r="F23" s="29">
        <v>23</v>
      </c>
      <c r="G23" s="29">
        <v>2</v>
      </c>
      <c r="H23" s="29">
        <f t="shared" si="0"/>
        <v>12</v>
      </c>
      <c r="I23" s="30">
        <f t="shared" si="1"/>
        <v>2</v>
      </c>
      <c r="J23" s="30">
        <f t="shared" si="2"/>
        <v>6</v>
      </c>
      <c r="K23" s="30">
        <f t="shared" si="3"/>
        <v>0</v>
      </c>
      <c r="L23" s="41"/>
      <c r="M23" s="40"/>
      <c r="N23" s="10"/>
      <c r="O23" s="10"/>
      <c r="P23" s="11"/>
      <c r="Q23" s="11"/>
      <c r="R23" s="11"/>
      <c r="S23" s="11"/>
      <c r="T23" s="11"/>
      <c r="U23" s="10"/>
      <c r="V23" s="10"/>
      <c r="W23" s="11"/>
      <c r="X23" s="11"/>
      <c r="Y23" s="11"/>
      <c r="Z23" s="11"/>
      <c r="AA23" s="11"/>
      <c r="AB23" s="10"/>
      <c r="AC23" s="10"/>
      <c r="AD23" s="11"/>
      <c r="AE23" s="11"/>
      <c r="AF23" s="11"/>
      <c r="AG23" s="11"/>
      <c r="AH23" s="11"/>
      <c r="AI23" s="10"/>
      <c r="AJ23" s="10"/>
      <c r="AK23" s="11"/>
      <c r="AL23" s="18" t="s">
        <v>5</v>
      </c>
      <c r="AM23" s="18" t="s">
        <v>5</v>
      </c>
      <c r="AN23" s="18" t="s">
        <v>5</v>
      </c>
      <c r="AO23" s="18" t="s">
        <v>5</v>
      </c>
      <c r="AP23" s="10"/>
      <c r="AQ23" s="10"/>
      <c r="AR23" s="18" t="s">
        <v>5</v>
      </c>
      <c r="AS23" s="11"/>
      <c r="AT23" s="11"/>
      <c r="AU23" s="11"/>
      <c r="AV23" s="11"/>
      <c r="AW23" s="10"/>
      <c r="AX23" s="10"/>
      <c r="AY23" s="11"/>
      <c r="AZ23" s="11"/>
      <c r="BA23" s="11"/>
      <c r="BB23" s="11"/>
      <c r="BC23" s="11"/>
      <c r="BD23" s="10"/>
      <c r="BE23" s="10"/>
      <c r="BF23" s="11"/>
      <c r="BG23" s="11"/>
      <c r="BH23" s="11"/>
      <c r="BI23" s="11"/>
      <c r="BJ23" s="18" t="s">
        <v>5</v>
      </c>
      <c r="BK23" s="10"/>
      <c r="BL23" s="10"/>
      <c r="BM23" s="11"/>
      <c r="BN23" s="11"/>
      <c r="BO23" s="11"/>
      <c r="BP23" s="11"/>
      <c r="BQ23" s="11"/>
      <c r="BR23" s="10"/>
      <c r="BS23" s="10"/>
      <c r="BT23" s="11"/>
      <c r="BU23" s="11"/>
      <c r="BV23" s="11"/>
      <c r="BW23" s="11"/>
      <c r="BX23" s="11"/>
      <c r="BY23" s="10"/>
      <c r="BZ23" s="10"/>
      <c r="CA23" s="11"/>
      <c r="CB23" s="11"/>
      <c r="CC23" s="11"/>
      <c r="CD23" s="11"/>
      <c r="CE23" s="11"/>
      <c r="CF23" s="10"/>
      <c r="CG23" s="10"/>
      <c r="CH23" s="11"/>
      <c r="CI23" s="11"/>
      <c r="CJ23" s="11"/>
      <c r="CK23" s="11"/>
      <c r="CL23" s="11"/>
      <c r="CM23" s="10"/>
      <c r="CN23" s="10"/>
      <c r="CO23" s="33"/>
      <c r="CP23" s="33"/>
      <c r="CQ23" s="33"/>
      <c r="CR23" s="33"/>
      <c r="CS23" s="33"/>
      <c r="CT23" s="42"/>
      <c r="CU23" s="42"/>
      <c r="CV23" s="33"/>
      <c r="CW23" s="33"/>
      <c r="CX23" s="33"/>
      <c r="CY23" s="33"/>
      <c r="CZ23" s="33"/>
      <c r="DA23" s="42"/>
      <c r="DB23" s="42"/>
      <c r="DC23" s="33"/>
      <c r="DD23" s="33"/>
      <c r="DE23" s="33"/>
      <c r="DF23" s="33"/>
      <c r="DG23" s="33"/>
      <c r="DH23" s="42"/>
      <c r="DI23" s="42"/>
      <c r="DJ23" s="33"/>
      <c r="DK23" s="33"/>
      <c r="DL23" s="33"/>
      <c r="DM23" s="33"/>
      <c r="DN23" s="33"/>
      <c r="DO23" s="42"/>
      <c r="DP23" s="42"/>
      <c r="DQ23" s="33"/>
      <c r="DR23" s="33"/>
      <c r="DS23" s="33"/>
      <c r="DT23" s="33"/>
      <c r="DU23" s="33"/>
      <c r="DV23" s="42"/>
      <c r="DW23" s="42"/>
      <c r="DX23" s="35" t="s">
        <v>1</v>
      </c>
      <c r="DY23" s="35" t="s">
        <v>1</v>
      </c>
      <c r="DZ23" s="35" t="s">
        <v>1</v>
      </c>
      <c r="EA23" s="35" t="s">
        <v>1</v>
      </c>
      <c r="EB23" s="35" t="s">
        <v>1</v>
      </c>
      <c r="EC23" s="42"/>
      <c r="ED23" s="42"/>
      <c r="EE23" s="33"/>
      <c r="EF23" s="33"/>
      <c r="EG23" s="33"/>
      <c r="EH23" s="33"/>
      <c r="EI23" s="33"/>
      <c r="EJ23" s="42"/>
      <c r="EK23" s="42"/>
      <c r="EL23" s="33"/>
      <c r="EM23" s="33"/>
      <c r="EN23" s="33"/>
      <c r="EO23" s="33"/>
      <c r="EP23" s="33"/>
      <c r="EQ23" s="42"/>
      <c r="ER23" s="42"/>
      <c r="ES23" s="33"/>
      <c r="ET23" s="33"/>
      <c r="EU23" s="33"/>
      <c r="EV23" s="33"/>
      <c r="EW23" s="33"/>
      <c r="EX23" s="42"/>
      <c r="EY23" s="42"/>
      <c r="EZ23" s="33"/>
      <c r="FA23" s="33"/>
      <c r="FB23" s="33"/>
      <c r="FC23" s="33"/>
      <c r="FD23" s="33"/>
      <c r="FE23" s="42"/>
      <c r="FF23" s="42"/>
      <c r="FG23" s="33"/>
      <c r="FH23" s="33"/>
      <c r="FI23" s="33"/>
      <c r="FJ23" s="33"/>
      <c r="FK23" s="33"/>
      <c r="FL23" s="42"/>
      <c r="FM23" s="42"/>
      <c r="FN23" s="33"/>
      <c r="FO23" s="33"/>
      <c r="FP23" s="33"/>
      <c r="FQ23" s="33"/>
      <c r="FR23" s="33"/>
      <c r="FS23" s="42"/>
      <c r="FT23" s="42"/>
      <c r="FU23" s="33"/>
      <c r="FV23" s="33"/>
      <c r="FW23" s="33"/>
      <c r="FX23" s="33"/>
      <c r="FY23" s="33"/>
      <c r="FZ23" s="42"/>
      <c r="GA23" s="42"/>
      <c r="GB23" s="33"/>
      <c r="GC23" s="33"/>
      <c r="GD23" s="33"/>
      <c r="GE23" s="33"/>
      <c r="GF23" s="33"/>
      <c r="GG23" s="42"/>
      <c r="GH23" s="42"/>
      <c r="GI23" s="33"/>
      <c r="GJ23" s="33"/>
      <c r="GK23" s="33"/>
      <c r="GL23" s="33"/>
      <c r="GM23" s="33"/>
      <c r="GN23" s="42"/>
      <c r="GO23" s="42"/>
      <c r="GP23" s="33"/>
      <c r="GQ23" s="33"/>
      <c r="GR23" s="33"/>
      <c r="GS23" s="33"/>
      <c r="GT23" s="33"/>
      <c r="GU23" s="42"/>
      <c r="GV23" s="42"/>
      <c r="GW23" s="33"/>
      <c r="GX23" s="33"/>
      <c r="GY23" s="33"/>
      <c r="GZ23" s="33"/>
      <c r="HA23" s="33"/>
      <c r="HB23" s="42"/>
      <c r="HC23" s="42"/>
      <c r="HD23" s="33"/>
      <c r="HE23" s="33"/>
      <c r="HF23" s="33"/>
      <c r="HG23" s="33"/>
      <c r="HH23" s="33"/>
      <c r="HI23" s="42"/>
      <c r="HJ23" s="42"/>
      <c r="HK23" s="33"/>
      <c r="HL23" s="33"/>
      <c r="HM23" s="33"/>
      <c r="HN23" s="33"/>
      <c r="HO23" s="33"/>
      <c r="HP23" s="42"/>
      <c r="HQ23" s="42"/>
      <c r="HR23" s="33"/>
      <c r="HS23" s="33"/>
      <c r="HT23" s="33"/>
      <c r="HU23" s="33"/>
      <c r="HV23" s="33"/>
      <c r="HW23" s="42"/>
      <c r="HX23" s="42"/>
      <c r="HY23" s="33"/>
      <c r="HZ23" s="33"/>
      <c r="IA23" s="33"/>
      <c r="IB23" s="33"/>
      <c r="IC23" s="33"/>
      <c r="ID23" s="42"/>
      <c r="IE23" s="42"/>
      <c r="IF23" s="33"/>
      <c r="IG23" s="33"/>
      <c r="IH23" s="33"/>
      <c r="II23" s="33"/>
      <c r="IJ23" s="33"/>
      <c r="IK23" s="42"/>
      <c r="IL23" s="42"/>
      <c r="IM23" s="33"/>
      <c r="IN23" s="33"/>
      <c r="IO23" s="33"/>
      <c r="IP23" s="33"/>
      <c r="IQ23" s="33"/>
      <c r="IR23" s="42"/>
      <c r="IS23" s="42"/>
      <c r="IT23" s="33"/>
      <c r="IU23" s="33"/>
      <c r="IV23" s="33"/>
      <c r="IW23" s="33"/>
      <c r="IX23" s="33"/>
      <c r="IY23" s="42"/>
      <c r="IZ23" s="42"/>
      <c r="JA23" s="33"/>
      <c r="JB23" s="33"/>
      <c r="JC23" s="33"/>
      <c r="JD23" s="33"/>
      <c r="JE23" s="33"/>
      <c r="JF23" s="42"/>
      <c r="JG23" s="42"/>
      <c r="JH23" s="33"/>
      <c r="JI23" s="33"/>
      <c r="JJ23" s="33"/>
      <c r="JK23" s="33"/>
      <c r="JL23" s="33"/>
      <c r="JM23" s="42"/>
      <c r="JN23" s="42"/>
      <c r="JO23" s="33"/>
      <c r="JP23" s="33"/>
      <c r="JQ23" s="33"/>
      <c r="JR23" s="33"/>
      <c r="JS23" s="35" t="s">
        <v>1</v>
      </c>
      <c r="JT23" s="42"/>
      <c r="JU23" s="42"/>
      <c r="JV23" s="35" t="s">
        <v>1</v>
      </c>
      <c r="JW23" s="35" t="s">
        <v>1</v>
      </c>
      <c r="JX23" s="35" t="s">
        <v>1</v>
      </c>
      <c r="JY23" s="35" t="s">
        <v>1</v>
      </c>
      <c r="JZ23" s="35" t="s">
        <v>1</v>
      </c>
      <c r="KA23" s="42"/>
      <c r="KB23" s="42"/>
      <c r="KC23" s="33"/>
      <c r="KD23" s="33"/>
      <c r="KE23" s="33"/>
      <c r="KF23" s="33"/>
      <c r="KG23" s="33"/>
      <c r="KH23" s="42"/>
      <c r="KI23" s="42"/>
      <c r="KJ23" s="33"/>
      <c r="KK23" s="33"/>
      <c r="KL23" s="33"/>
      <c r="KM23" s="33"/>
      <c r="KN23" s="33"/>
      <c r="KO23" s="42"/>
      <c r="KP23" s="42"/>
      <c r="KQ23" s="33"/>
      <c r="KR23" s="33"/>
      <c r="KS23" s="33"/>
      <c r="KT23" s="33"/>
      <c r="KU23" s="33"/>
      <c r="KV23" s="42"/>
      <c r="KW23" s="42"/>
      <c r="KX23" s="33"/>
      <c r="KY23" s="33"/>
      <c r="KZ23" s="33"/>
      <c r="LA23" s="33"/>
      <c r="LB23" s="33"/>
      <c r="LC23" s="42"/>
      <c r="LD23" s="42"/>
      <c r="LE23" s="33"/>
      <c r="LF23" s="33"/>
      <c r="LG23" s="33"/>
      <c r="LH23" s="33"/>
      <c r="LI23" s="33"/>
      <c r="LJ23" s="42"/>
      <c r="LK23" s="42"/>
      <c r="LL23" s="33"/>
      <c r="LM23" s="33"/>
      <c r="LN23" s="33"/>
      <c r="LO23" s="33"/>
      <c r="LP23" s="33"/>
      <c r="LQ23" s="42"/>
      <c r="LR23" s="42"/>
      <c r="LS23" s="33"/>
      <c r="LT23" s="33"/>
      <c r="LU23" s="33"/>
      <c r="LV23" s="33"/>
      <c r="LW23" s="33"/>
      <c r="LX23" s="42"/>
      <c r="LY23" s="42"/>
      <c r="LZ23" s="33"/>
      <c r="MA23" s="33"/>
      <c r="MB23" s="33"/>
      <c r="MC23" s="33"/>
      <c r="MD23" s="33"/>
      <c r="ME23" s="42"/>
      <c r="MF23" s="42"/>
      <c r="MG23" s="33"/>
      <c r="MH23" s="33"/>
      <c r="MI23" s="33"/>
      <c r="MJ23" s="33"/>
      <c r="MK23" s="33"/>
      <c r="ML23" s="42"/>
      <c r="MM23" s="42"/>
      <c r="MN23" s="33"/>
      <c r="MO23" s="33"/>
      <c r="MP23" s="33"/>
      <c r="MQ23" s="33"/>
      <c r="MR23" s="33"/>
      <c r="MS23" s="42"/>
      <c r="MT23" s="42"/>
      <c r="MU23" s="33"/>
      <c r="MV23" s="33"/>
      <c r="MW23" s="33"/>
      <c r="MX23" s="33"/>
      <c r="MY23" s="33"/>
      <c r="MZ23" s="42"/>
      <c r="NA23" s="42"/>
      <c r="NB23" s="33"/>
      <c r="NC23" s="33"/>
      <c r="ND23" s="33"/>
      <c r="NE23" s="33"/>
      <c r="NF23" s="33"/>
      <c r="NG23" s="42"/>
      <c r="NH23" s="42"/>
      <c r="NI23" s="33"/>
      <c r="NJ23" s="33"/>
      <c r="NK23" s="33"/>
      <c r="NL23" s="33"/>
    </row>
    <row r="24" spans="1:376" customFormat="1" ht="15" customHeight="1">
      <c r="A24" s="39"/>
      <c r="B24" s="29" t="s">
        <v>55</v>
      </c>
      <c r="C24" s="29" t="s">
        <v>30</v>
      </c>
      <c r="D24" s="29" t="s">
        <v>49</v>
      </c>
      <c r="E24" s="37">
        <v>0</v>
      </c>
      <c r="F24" s="29">
        <v>23</v>
      </c>
      <c r="G24" s="29">
        <v>2</v>
      </c>
      <c r="H24" s="29">
        <f t="shared" si="0"/>
        <v>2</v>
      </c>
      <c r="I24" s="30">
        <f t="shared" si="1"/>
        <v>2</v>
      </c>
      <c r="J24" s="30">
        <f t="shared" si="2"/>
        <v>3</v>
      </c>
      <c r="K24" s="30">
        <f t="shared" si="3"/>
        <v>0</v>
      </c>
      <c r="L24" s="41"/>
      <c r="M24" s="40"/>
      <c r="N24" s="10"/>
      <c r="O24" s="10"/>
      <c r="P24" s="11"/>
      <c r="Q24" s="11"/>
      <c r="R24" s="2"/>
      <c r="S24" s="11"/>
      <c r="T24" s="11"/>
      <c r="U24" s="10"/>
      <c r="V24" s="10"/>
      <c r="W24" s="11"/>
      <c r="X24" s="11"/>
      <c r="Y24" s="11"/>
      <c r="Z24" s="11"/>
      <c r="AA24" s="11"/>
      <c r="AB24" s="10"/>
      <c r="AC24" s="10"/>
      <c r="AD24" s="11"/>
      <c r="AE24" s="11"/>
      <c r="AF24" s="11"/>
      <c r="AG24" s="11"/>
      <c r="AH24" s="11"/>
      <c r="AI24" s="10"/>
      <c r="AJ24" s="10"/>
      <c r="AK24" s="11"/>
      <c r="AL24" s="11"/>
      <c r="AM24" s="11"/>
      <c r="AN24" s="11"/>
      <c r="AO24" s="18" t="s">
        <v>5</v>
      </c>
      <c r="AP24" s="10"/>
      <c r="AQ24" s="10"/>
      <c r="AR24" s="11"/>
      <c r="AS24" s="11"/>
      <c r="AT24" s="11"/>
      <c r="AU24" s="11"/>
      <c r="AV24" s="11"/>
      <c r="AW24" s="10"/>
      <c r="AX24" s="10"/>
      <c r="AY24" s="11"/>
      <c r="AZ24" s="11"/>
      <c r="BA24" s="11"/>
      <c r="BB24" s="11"/>
      <c r="BC24" s="11"/>
      <c r="BD24" s="10"/>
      <c r="BE24" s="10"/>
      <c r="BF24" s="11"/>
      <c r="BG24" s="11"/>
      <c r="BH24" s="11"/>
      <c r="BI24" s="11"/>
      <c r="BJ24" s="18" t="s">
        <v>5</v>
      </c>
      <c r="BK24" s="10"/>
      <c r="BL24" s="10"/>
      <c r="BM24" s="11"/>
      <c r="BN24" s="11"/>
      <c r="BO24" s="11"/>
      <c r="BP24" s="11"/>
      <c r="BQ24" s="11"/>
      <c r="BR24" s="10"/>
      <c r="BS24" s="10"/>
      <c r="BT24" s="11"/>
      <c r="BU24" s="11"/>
      <c r="BV24" s="11"/>
      <c r="BW24" s="11"/>
      <c r="BX24" s="11"/>
      <c r="BY24" s="10"/>
      <c r="BZ24" s="10"/>
      <c r="CA24" s="11"/>
      <c r="CB24" s="11"/>
      <c r="CC24" s="11"/>
      <c r="CD24" s="11"/>
      <c r="CE24" s="11"/>
      <c r="CF24" s="10"/>
      <c r="CG24" s="10"/>
      <c r="CH24" s="18"/>
      <c r="CI24" s="18"/>
      <c r="CJ24" s="11"/>
      <c r="CK24" s="11"/>
      <c r="CL24" s="11"/>
      <c r="CM24" s="10"/>
      <c r="CN24" s="10"/>
      <c r="CO24" s="40"/>
      <c r="CP24" s="11"/>
      <c r="CQ24" s="11"/>
      <c r="CR24" s="11"/>
      <c r="CS24" s="11"/>
      <c r="CT24" s="10"/>
      <c r="CU24" s="10"/>
      <c r="CV24" s="40"/>
      <c r="CW24" s="11"/>
      <c r="CX24" s="11"/>
      <c r="CY24" s="11"/>
      <c r="CZ24" s="11"/>
      <c r="DA24" s="10"/>
      <c r="DB24" s="10"/>
      <c r="DC24" s="11"/>
      <c r="DD24" s="11"/>
      <c r="DE24" s="11"/>
      <c r="DF24" s="11"/>
      <c r="DG24" s="11"/>
      <c r="DH24" s="10"/>
      <c r="DI24" s="10"/>
      <c r="DJ24" s="11"/>
      <c r="DK24" s="11"/>
      <c r="DL24" s="11"/>
      <c r="DM24" s="15" t="s">
        <v>1</v>
      </c>
      <c r="DN24" s="40"/>
      <c r="DO24" s="10"/>
      <c r="DP24" s="10"/>
      <c r="DQ24" s="11"/>
      <c r="DR24" s="11"/>
      <c r="DS24" s="11"/>
      <c r="DT24" s="11"/>
      <c r="DU24" s="11"/>
      <c r="DV24" s="10"/>
      <c r="DW24" s="10"/>
      <c r="DX24" s="11"/>
      <c r="DY24" s="11"/>
      <c r="DZ24" s="11"/>
      <c r="EA24" s="11"/>
      <c r="EB24" s="11"/>
      <c r="EC24" s="10"/>
      <c r="ED24" s="10"/>
      <c r="EE24" s="11"/>
      <c r="EF24" s="11"/>
      <c r="EG24" s="11"/>
      <c r="EH24" s="11"/>
      <c r="EI24" s="11"/>
      <c r="EJ24" s="10"/>
      <c r="EK24" s="10"/>
      <c r="EL24" s="11"/>
      <c r="EM24" s="11"/>
      <c r="EN24" s="11"/>
      <c r="EO24" s="11"/>
      <c r="EP24" s="11"/>
      <c r="EQ24" s="10"/>
      <c r="ER24" s="10"/>
      <c r="ES24" s="11"/>
      <c r="ET24" s="11"/>
      <c r="EU24" s="11"/>
      <c r="EV24" s="11"/>
      <c r="EW24" s="11"/>
      <c r="EX24" s="10"/>
      <c r="EY24" s="10"/>
      <c r="EZ24" s="11"/>
      <c r="FA24" s="11"/>
      <c r="FB24" s="11"/>
      <c r="FC24" s="11"/>
      <c r="FD24" s="40"/>
      <c r="FE24" s="10"/>
      <c r="FF24" s="10"/>
      <c r="FG24" s="15" t="s">
        <v>1</v>
      </c>
      <c r="FH24" s="15" t="s">
        <v>1</v>
      </c>
      <c r="FI24" s="15" t="s">
        <v>1</v>
      </c>
      <c r="FJ24" s="15" t="s">
        <v>1</v>
      </c>
      <c r="FK24" s="15" t="s">
        <v>1</v>
      </c>
      <c r="FL24" s="10"/>
      <c r="FM24" s="10"/>
      <c r="FN24" s="11"/>
      <c r="FO24" s="11"/>
      <c r="FP24" s="11"/>
      <c r="FQ24" s="11"/>
      <c r="FR24" s="11"/>
      <c r="FS24" s="10"/>
      <c r="FT24" s="10"/>
      <c r="FU24" s="11"/>
      <c r="FV24" s="11"/>
      <c r="FW24" s="11"/>
      <c r="FX24" s="11"/>
      <c r="FY24" s="40"/>
      <c r="FZ24" s="10"/>
      <c r="GA24" s="10"/>
      <c r="GB24" s="11"/>
      <c r="GC24" s="11"/>
      <c r="GD24" s="11"/>
      <c r="GE24" s="11"/>
      <c r="GF24" s="11"/>
      <c r="GG24" s="10"/>
      <c r="GH24" s="10"/>
      <c r="GI24" s="11"/>
      <c r="GJ24" s="11"/>
      <c r="GK24" s="11"/>
      <c r="GL24" s="11"/>
      <c r="GM24" s="11"/>
      <c r="GN24" s="10"/>
      <c r="GO24" s="10"/>
      <c r="GP24" s="11"/>
      <c r="GQ24" s="11"/>
      <c r="GR24" s="11"/>
      <c r="GS24" s="11"/>
      <c r="GT24" s="11"/>
      <c r="GU24" s="10"/>
      <c r="GV24" s="10"/>
      <c r="GW24" s="40"/>
      <c r="GX24" s="11"/>
      <c r="GY24" s="11"/>
      <c r="GZ24" s="11"/>
      <c r="HA24" s="11"/>
      <c r="HB24" s="10"/>
      <c r="HC24" s="10"/>
      <c r="HD24" s="11"/>
      <c r="HE24" s="11"/>
      <c r="HF24" s="11"/>
      <c r="HG24" s="11"/>
      <c r="HH24" s="11"/>
      <c r="HI24" s="10"/>
      <c r="HJ24" s="10"/>
      <c r="HK24" s="11"/>
      <c r="HL24" s="11"/>
      <c r="HM24" s="11"/>
      <c r="HN24" s="11"/>
      <c r="HO24" s="11"/>
      <c r="HP24" s="10"/>
      <c r="HQ24" s="10"/>
      <c r="HR24" s="40"/>
      <c r="HS24" s="11"/>
      <c r="HT24" s="11"/>
      <c r="HU24" s="11"/>
      <c r="HV24" s="11"/>
      <c r="HW24" s="10"/>
      <c r="HX24" s="10"/>
      <c r="HY24" s="11"/>
      <c r="HZ24" s="11"/>
      <c r="IA24" s="11"/>
      <c r="IB24" s="15" t="s">
        <v>1</v>
      </c>
      <c r="IC24" s="15" t="s">
        <v>1</v>
      </c>
      <c r="ID24" s="10"/>
      <c r="IE24" s="10"/>
      <c r="IF24" s="11"/>
      <c r="IG24" s="11"/>
      <c r="IH24" s="11"/>
      <c r="II24" s="11"/>
      <c r="IJ24" s="11"/>
      <c r="IK24" s="10"/>
      <c r="IL24" s="10"/>
      <c r="IM24" s="11"/>
      <c r="IN24" s="11"/>
      <c r="IO24" s="11"/>
      <c r="IP24" s="11"/>
      <c r="IQ24" s="11"/>
      <c r="IR24" s="10"/>
      <c r="IS24" s="10"/>
      <c r="IT24" s="11"/>
      <c r="IU24" s="11"/>
      <c r="IV24" s="11"/>
      <c r="IW24" s="11"/>
      <c r="IX24" s="11"/>
      <c r="IY24" s="10"/>
      <c r="IZ24" s="10"/>
      <c r="JA24" s="11"/>
      <c r="JB24" s="11"/>
      <c r="JC24" s="40"/>
      <c r="JD24" s="15" t="s">
        <v>1</v>
      </c>
      <c r="JE24" s="15" t="s">
        <v>1</v>
      </c>
      <c r="JF24" s="10"/>
      <c r="JG24" s="10"/>
      <c r="JH24" s="11"/>
      <c r="JI24" s="11"/>
      <c r="JJ24" s="11"/>
      <c r="JK24" s="11"/>
      <c r="JL24" s="11"/>
      <c r="JM24" s="10"/>
      <c r="JN24" s="10"/>
      <c r="JO24" s="11"/>
      <c r="JP24" s="11"/>
      <c r="JQ24" s="11"/>
      <c r="JR24" s="11"/>
      <c r="JS24" s="40"/>
      <c r="JT24" s="10"/>
      <c r="JU24" s="10"/>
      <c r="JV24" s="11"/>
      <c r="JW24" s="11"/>
      <c r="JX24" s="11"/>
      <c r="JY24" s="11"/>
      <c r="JZ24" s="11"/>
      <c r="KA24" s="10"/>
      <c r="KB24" s="10"/>
      <c r="KC24" s="11"/>
      <c r="KD24" s="11"/>
      <c r="KE24" s="11"/>
      <c r="KF24" s="11"/>
      <c r="KG24" s="18" t="s">
        <v>5</v>
      </c>
      <c r="KH24" s="10"/>
      <c r="KI24" s="10"/>
      <c r="KJ24" s="11"/>
      <c r="KK24" s="11"/>
      <c r="KL24" s="11"/>
      <c r="KM24" s="11"/>
      <c r="KN24" s="11"/>
      <c r="KO24" s="10"/>
      <c r="KP24" s="10"/>
      <c r="KQ24" s="11"/>
      <c r="KR24" s="11"/>
      <c r="KS24" s="11"/>
      <c r="KT24" s="11"/>
      <c r="KU24" s="11"/>
      <c r="KV24" s="10"/>
      <c r="KW24" s="10"/>
      <c r="KX24" s="11"/>
      <c r="KY24" s="11"/>
      <c r="KZ24" s="11"/>
      <c r="LA24" s="11"/>
      <c r="LB24" s="11"/>
      <c r="LC24" s="10"/>
      <c r="LD24" s="10"/>
      <c r="LE24" s="11"/>
      <c r="LF24" s="11"/>
      <c r="LG24" s="11"/>
      <c r="LH24" s="15" t="s">
        <v>1</v>
      </c>
      <c r="LI24" s="15" t="s">
        <v>1</v>
      </c>
      <c r="LJ24" s="10"/>
      <c r="LK24" s="10"/>
      <c r="LL24" s="15" t="s">
        <v>1</v>
      </c>
      <c r="LM24" s="15" t="s">
        <v>1</v>
      </c>
      <c r="LN24" s="15" t="s">
        <v>1</v>
      </c>
      <c r="LO24" s="15" t="s">
        <v>1</v>
      </c>
      <c r="LP24" s="15" t="s">
        <v>1</v>
      </c>
      <c r="LQ24" s="10"/>
      <c r="LR24" s="10"/>
      <c r="LS24" s="15" t="s">
        <v>1</v>
      </c>
      <c r="LT24" s="15" t="s">
        <v>1</v>
      </c>
      <c r="LU24" s="15" t="s">
        <v>1</v>
      </c>
      <c r="LV24" s="15" t="s">
        <v>1</v>
      </c>
      <c r="LW24" s="11"/>
      <c r="LX24" s="10"/>
      <c r="LY24" s="10"/>
      <c r="LZ24" s="11"/>
      <c r="MA24" s="11"/>
      <c r="MB24" s="11"/>
      <c r="MC24" s="11"/>
      <c r="MD24" s="11"/>
      <c r="ME24" s="10"/>
      <c r="MF24" s="10"/>
      <c r="MG24" s="11"/>
      <c r="MH24" s="11"/>
      <c r="MI24" s="11"/>
      <c r="MJ24" s="11"/>
      <c r="MK24" s="11"/>
      <c r="ML24" s="10"/>
      <c r="MM24" s="10"/>
      <c r="MN24" s="11"/>
      <c r="MO24" s="11"/>
      <c r="MP24" s="11"/>
      <c r="MQ24" s="11"/>
      <c r="MR24" s="11"/>
      <c r="MS24" s="10"/>
      <c r="MT24" s="10"/>
      <c r="MU24" s="11"/>
      <c r="MV24" s="11"/>
      <c r="MW24" s="11"/>
      <c r="MX24" s="11"/>
      <c r="MY24" s="11"/>
      <c r="MZ24" s="10"/>
      <c r="NA24" s="10"/>
      <c r="NB24" s="11"/>
      <c r="NC24" s="11"/>
      <c r="ND24" s="11"/>
      <c r="NE24" s="11"/>
      <c r="NF24" s="11"/>
      <c r="NG24" s="10"/>
      <c r="NH24" s="10"/>
      <c r="NI24" s="11"/>
      <c r="NJ24" s="11"/>
      <c r="NK24" s="11"/>
      <c r="NL24" s="11"/>
    </row>
    <row r="25" spans="1:376" customFormat="1" ht="15" customHeight="1">
      <c r="A25" s="39"/>
      <c r="B25" s="29" t="s">
        <v>63</v>
      </c>
      <c r="C25" s="29" t="s">
        <v>30</v>
      </c>
      <c r="D25" s="29" t="s">
        <v>49</v>
      </c>
      <c r="E25" s="37">
        <v>11</v>
      </c>
      <c r="F25" s="29">
        <v>23</v>
      </c>
      <c r="G25" s="29">
        <v>2</v>
      </c>
      <c r="H25" s="29">
        <f t="shared" si="0"/>
        <v>11</v>
      </c>
      <c r="I25" s="30">
        <f t="shared" si="1"/>
        <v>-2</v>
      </c>
      <c r="J25" s="30">
        <f t="shared" si="2"/>
        <v>2</v>
      </c>
      <c r="K25" s="30">
        <f t="shared" si="3"/>
        <v>5</v>
      </c>
      <c r="L25" s="41"/>
      <c r="M25" s="40"/>
      <c r="N25" s="10"/>
      <c r="O25" s="10"/>
      <c r="P25" s="15" t="s">
        <v>1</v>
      </c>
      <c r="Q25" s="15" t="s">
        <v>1</v>
      </c>
      <c r="R25" s="15" t="s">
        <v>1</v>
      </c>
      <c r="S25" s="15" t="s">
        <v>1</v>
      </c>
      <c r="T25" s="15" t="s">
        <v>1</v>
      </c>
      <c r="U25" s="10"/>
      <c r="V25" s="10"/>
      <c r="W25" s="15" t="s">
        <v>1</v>
      </c>
      <c r="X25" s="15" t="s">
        <v>1</v>
      </c>
      <c r="Y25" s="15" t="s">
        <v>1</v>
      </c>
      <c r="Z25" s="15" t="s">
        <v>1</v>
      </c>
      <c r="AA25" s="15" t="s">
        <v>1</v>
      </c>
      <c r="AB25" s="10"/>
      <c r="AC25" s="10"/>
      <c r="AD25" s="15" t="s">
        <v>1</v>
      </c>
      <c r="AE25" s="11"/>
      <c r="AF25" s="11"/>
      <c r="AG25" s="11"/>
      <c r="AH25" s="11"/>
      <c r="AI25" s="10"/>
      <c r="AJ25" s="10"/>
      <c r="AK25" s="11"/>
      <c r="AL25" s="11"/>
      <c r="AM25" s="11"/>
      <c r="AN25" s="11"/>
      <c r="AO25" s="11"/>
      <c r="AP25" s="10"/>
      <c r="AQ25" s="10"/>
      <c r="AR25" s="11"/>
      <c r="AS25" s="11"/>
      <c r="AT25" s="11"/>
      <c r="AU25" s="11"/>
      <c r="AV25" s="11"/>
      <c r="AW25" s="10"/>
      <c r="AX25" s="10"/>
      <c r="AY25" s="11"/>
      <c r="AZ25" s="11"/>
      <c r="BA25" s="11"/>
      <c r="BB25" s="11"/>
      <c r="BC25" s="11"/>
      <c r="BD25" s="10"/>
      <c r="BE25" s="10"/>
      <c r="BF25" s="11"/>
      <c r="BG25" s="11"/>
      <c r="BH25" s="11"/>
      <c r="BI25" s="11"/>
      <c r="BJ25" s="18" t="s">
        <v>5</v>
      </c>
      <c r="BK25" s="10"/>
      <c r="BL25" s="10"/>
      <c r="BM25" s="11"/>
      <c r="BN25" s="11"/>
      <c r="BO25" s="11"/>
      <c r="BP25" s="11"/>
      <c r="BQ25" s="11"/>
      <c r="BR25" s="10"/>
      <c r="BS25" s="10"/>
      <c r="BT25" s="11"/>
      <c r="BU25" s="11"/>
      <c r="BV25" s="11"/>
      <c r="BW25" s="11"/>
      <c r="BX25" s="11"/>
      <c r="BY25" s="10"/>
      <c r="BZ25" s="10"/>
      <c r="CA25" s="11"/>
      <c r="CB25" s="11"/>
      <c r="CC25" s="11"/>
      <c r="CD25" s="11"/>
      <c r="CE25" s="11"/>
      <c r="CF25" s="10"/>
      <c r="CG25" s="10"/>
      <c r="CH25" s="11"/>
      <c r="CI25" s="11"/>
      <c r="CJ25" s="11"/>
      <c r="CK25" s="11"/>
      <c r="CL25" s="11"/>
      <c r="CM25" s="10"/>
      <c r="CN25" s="10"/>
      <c r="CO25" s="40"/>
      <c r="CP25" s="11"/>
      <c r="CQ25" s="11"/>
      <c r="CR25" s="11"/>
      <c r="CS25" s="11"/>
      <c r="CT25" s="10"/>
      <c r="CU25" s="10"/>
      <c r="CV25" s="40"/>
      <c r="CW25" s="11"/>
      <c r="CX25" s="11"/>
      <c r="CY25" s="11"/>
      <c r="CZ25" s="11"/>
      <c r="DA25" s="10"/>
      <c r="DB25" s="10"/>
      <c r="DC25" s="11"/>
      <c r="DD25" s="11"/>
      <c r="DE25" s="11"/>
      <c r="DF25" s="11"/>
      <c r="DG25" s="11"/>
      <c r="DH25" s="10"/>
      <c r="DI25" s="10"/>
      <c r="DJ25" s="11"/>
      <c r="DK25" s="11"/>
      <c r="DL25" s="11"/>
      <c r="DM25" s="11"/>
      <c r="DN25" s="40"/>
      <c r="DO25" s="10"/>
      <c r="DP25" s="10"/>
      <c r="DQ25" s="11"/>
      <c r="DR25" s="11"/>
      <c r="DS25" s="11"/>
      <c r="DT25" s="11"/>
      <c r="DU25" s="11"/>
      <c r="DV25" s="10"/>
      <c r="DW25" s="10"/>
      <c r="DX25" s="11"/>
      <c r="DY25" s="11"/>
      <c r="DZ25" s="11"/>
      <c r="EA25" s="11"/>
      <c r="EB25" s="11"/>
      <c r="EC25" s="10"/>
      <c r="ED25" s="10"/>
      <c r="EE25" s="11"/>
      <c r="EF25" s="11"/>
      <c r="EG25" s="11"/>
      <c r="EH25" s="11"/>
      <c r="EI25" s="11"/>
      <c r="EJ25" s="10"/>
      <c r="EK25" s="10"/>
      <c r="EL25" s="11"/>
      <c r="EM25" s="11"/>
      <c r="EN25" s="11"/>
      <c r="EO25" s="11"/>
      <c r="EP25" s="11"/>
      <c r="EQ25" s="10"/>
      <c r="ER25" s="10"/>
      <c r="ES25" s="15" t="s">
        <v>1</v>
      </c>
      <c r="ET25" s="15" t="s">
        <v>1</v>
      </c>
      <c r="EU25" s="15" t="s">
        <v>1</v>
      </c>
      <c r="EV25" s="15" t="s">
        <v>1</v>
      </c>
      <c r="EW25" s="15" t="s">
        <v>1</v>
      </c>
      <c r="EX25" s="10"/>
      <c r="EY25" s="10"/>
      <c r="EZ25" s="40"/>
      <c r="FA25" s="11"/>
      <c r="FB25" s="11"/>
      <c r="FC25" s="11"/>
      <c r="FD25" s="11"/>
      <c r="FE25" s="10"/>
      <c r="FF25" s="10"/>
      <c r="FG25" s="11"/>
      <c r="FH25" s="11"/>
      <c r="FI25" s="11"/>
      <c r="FJ25" s="11"/>
      <c r="FK25" s="11"/>
      <c r="FL25" s="10"/>
      <c r="FM25" s="10"/>
      <c r="FN25" s="18" t="s">
        <v>5</v>
      </c>
      <c r="FO25" s="11"/>
      <c r="FP25" s="11"/>
      <c r="FQ25" s="11"/>
      <c r="FR25" s="11"/>
      <c r="FS25" s="10"/>
      <c r="FT25" s="10"/>
      <c r="FU25" s="11"/>
      <c r="FV25" s="11"/>
      <c r="FW25" s="11"/>
      <c r="FX25" s="11"/>
      <c r="FY25" s="40"/>
      <c r="FZ25" s="10"/>
      <c r="GA25" s="10"/>
      <c r="GB25" s="11"/>
      <c r="GC25" s="11"/>
      <c r="GD25" s="11"/>
      <c r="GE25" s="11"/>
      <c r="GF25" s="11"/>
      <c r="GG25" s="10"/>
      <c r="GH25" s="10"/>
      <c r="GI25" s="17" t="s">
        <v>3</v>
      </c>
      <c r="GJ25" s="11"/>
      <c r="GK25" s="11"/>
      <c r="GL25" s="11"/>
      <c r="GM25" s="11"/>
      <c r="GN25" s="10"/>
      <c r="GO25" s="10"/>
      <c r="GP25" s="11"/>
      <c r="GQ25" s="11"/>
      <c r="GR25" s="11"/>
      <c r="GS25" s="17" t="s">
        <v>3</v>
      </c>
      <c r="GT25" s="11"/>
      <c r="GU25" s="10"/>
      <c r="GV25" s="10"/>
      <c r="GW25" s="40"/>
      <c r="GX25" s="11"/>
      <c r="GY25" s="11"/>
      <c r="GZ25" s="11"/>
      <c r="HA25" s="11"/>
      <c r="HB25" s="10"/>
      <c r="HC25" s="10"/>
      <c r="HD25" s="11"/>
      <c r="HE25" s="11"/>
      <c r="HF25" s="11"/>
      <c r="HG25" s="17" t="s">
        <v>3</v>
      </c>
      <c r="HH25" s="11"/>
      <c r="HI25" s="10"/>
      <c r="HJ25" s="10"/>
      <c r="HK25" s="11"/>
      <c r="HL25" s="11"/>
      <c r="HM25" s="11"/>
      <c r="HN25" s="11"/>
      <c r="HO25" s="11"/>
      <c r="HP25" s="10"/>
      <c r="HQ25" s="10"/>
      <c r="HR25" s="40"/>
      <c r="HS25" s="2"/>
      <c r="HT25" s="2"/>
      <c r="HU25" s="2"/>
      <c r="HV25" s="2"/>
      <c r="HW25" s="10"/>
      <c r="HX25" s="10"/>
      <c r="HY25" s="11"/>
      <c r="HZ25" s="11"/>
      <c r="IA25" s="11"/>
      <c r="IB25" s="11"/>
      <c r="IC25" s="11"/>
      <c r="ID25" s="10"/>
      <c r="IE25" s="10"/>
      <c r="IF25" s="11"/>
      <c r="IG25" s="11"/>
      <c r="IH25" s="11"/>
      <c r="II25" s="11"/>
      <c r="IJ25" s="11"/>
      <c r="IK25" s="10"/>
      <c r="IL25" s="10"/>
      <c r="IM25" s="11"/>
      <c r="IN25" s="11"/>
      <c r="IO25" s="11"/>
      <c r="IP25" s="11"/>
      <c r="IQ25" s="11"/>
      <c r="IR25" s="10"/>
      <c r="IS25" s="10"/>
      <c r="IT25" s="11"/>
      <c r="IU25" s="11"/>
      <c r="IV25" s="15" t="s">
        <v>1</v>
      </c>
      <c r="IW25" s="15" t="s">
        <v>1</v>
      </c>
      <c r="IX25" s="15" t="s">
        <v>1</v>
      </c>
      <c r="IY25" s="10"/>
      <c r="IZ25" s="10"/>
      <c r="JA25" s="15" t="s">
        <v>1</v>
      </c>
      <c r="JB25" s="15" t="s">
        <v>1</v>
      </c>
      <c r="JC25" s="40"/>
      <c r="JD25" s="15" t="s">
        <v>1</v>
      </c>
      <c r="JE25" s="15" t="s">
        <v>1</v>
      </c>
      <c r="JF25" s="10"/>
      <c r="JG25" s="10"/>
      <c r="JH25" s="21" t="s">
        <v>7</v>
      </c>
      <c r="JI25" s="21" t="s">
        <v>7</v>
      </c>
      <c r="JJ25" s="21" t="s">
        <v>7</v>
      </c>
      <c r="JK25" s="21" t="s">
        <v>7</v>
      </c>
      <c r="JL25" s="21" t="s">
        <v>7</v>
      </c>
      <c r="JM25" s="10"/>
      <c r="JN25" s="10"/>
      <c r="JO25" s="11"/>
      <c r="JP25" s="11"/>
      <c r="JQ25" s="11"/>
      <c r="JR25" s="11"/>
      <c r="JS25" s="40"/>
      <c r="JT25" s="10"/>
      <c r="JU25" s="10"/>
      <c r="JV25" s="11"/>
      <c r="JW25" s="11"/>
      <c r="JX25" s="11"/>
      <c r="JY25" s="11"/>
      <c r="JZ25" s="11"/>
      <c r="KA25" s="10"/>
      <c r="KB25" s="10"/>
      <c r="KC25" s="11"/>
      <c r="KD25" s="11"/>
      <c r="KE25" s="11"/>
      <c r="KF25" s="11"/>
      <c r="KG25" s="11"/>
      <c r="KH25" s="10"/>
      <c r="KI25" s="10"/>
      <c r="KJ25" s="11"/>
      <c r="KK25" s="11"/>
      <c r="KL25" s="11"/>
      <c r="KM25" s="11"/>
      <c r="KN25" s="11"/>
      <c r="KO25" s="10"/>
      <c r="KP25" s="10"/>
      <c r="KQ25" s="11"/>
      <c r="KR25" s="11"/>
      <c r="KS25" s="11"/>
      <c r="KT25" s="11"/>
      <c r="KU25" s="11"/>
      <c r="KV25" s="10"/>
      <c r="KW25" s="10"/>
      <c r="KX25" s="11"/>
      <c r="KY25" s="11"/>
      <c r="KZ25" s="11"/>
      <c r="LA25" s="11"/>
      <c r="LB25" s="11"/>
      <c r="LC25" s="10"/>
      <c r="LD25" s="10"/>
      <c r="LE25" s="11"/>
      <c r="LF25" s="11"/>
      <c r="LG25" s="11"/>
      <c r="LH25" s="11"/>
      <c r="LI25" s="11"/>
      <c r="LJ25" s="10"/>
      <c r="LK25" s="10"/>
      <c r="LL25" s="11"/>
      <c r="LM25" s="11"/>
      <c r="LN25" s="11"/>
      <c r="LO25" s="11"/>
      <c r="LP25" s="11"/>
      <c r="LQ25" s="10"/>
      <c r="LR25" s="10"/>
      <c r="LS25" s="11"/>
      <c r="LT25" s="11"/>
      <c r="LU25" s="11"/>
      <c r="LV25" s="11"/>
      <c r="LW25" s="11"/>
      <c r="LX25" s="10"/>
      <c r="LY25" s="10"/>
      <c r="LZ25" s="11"/>
      <c r="MA25" s="11"/>
      <c r="MB25" s="11"/>
      <c r="MC25" s="11"/>
      <c r="MD25" s="11"/>
      <c r="ME25" s="10"/>
      <c r="MF25" s="10"/>
      <c r="MG25" s="11"/>
      <c r="MH25" s="11"/>
      <c r="MI25" s="11"/>
      <c r="MJ25" s="11"/>
      <c r="MK25" s="11"/>
      <c r="ML25" s="10"/>
      <c r="MM25" s="10"/>
      <c r="MN25" s="11"/>
      <c r="MO25" s="11"/>
      <c r="MP25" s="11"/>
      <c r="MQ25" s="11"/>
      <c r="MR25" s="17" t="s">
        <v>3</v>
      </c>
      <c r="MS25" s="10"/>
      <c r="MT25" s="10"/>
      <c r="MU25" s="11"/>
      <c r="MV25" s="11"/>
      <c r="MW25" s="11"/>
      <c r="MX25" s="11"/>
      <c r="MY25" s="11"/>
      <c r="MZ25" s="10"/>
      <c r="NA25" s="10"/>
      <c r="NB25" s="11"/>
      <c r="NC25" s="11"/>
      <c r="ND25" s="11"/>
      <c r="NE25" s="11"/>
      <c r="NF25" s="11"/>
      <c r="NG25" s="10"/>
      <c r="NH25" s="10"/>
      <c r="NI25" s="11"/>
      <c r="NJ25" s="11"/>
      <c r="NK25" s="11"/>
      <c r="NL25" s="11"/>
    </row>
    <row r="26" spans="1:376" customFormat="1" ht="15" customHeight="1">
      <c r="A26" s="39"/>
      <c r="B26" s="29" t="s">
        <v>73</v>
      </c>
      <c r="C26" s="29" t="s">
        <v>30</v>
      </c>
      <c r="D26" s="29" t="s">
        <v>49</v>
      </c>
      <c r="E26" s="37">
        <v>0</v>
      </c>
      <c r="F26" s="29">
        <v>23</v>
      </c>
      <c r="G26" s="29">
        <v>2</v>
      </c>
      <c r="H26" s="29">
        <f t="shared" si="0"/>
        <v>13</v>
      </c>
      <c r="I26" s="30">
        <f t="shared" si="1"/>
        <v>2</v>
      </c>
      <c r="J26" s="30">
        <f t="shared" si="2"/>
        <v>0</v>
      </c>
      <c r="K26" s="30">
        <f t="shared" si="3"/>
        <v>0</v>
      </c>
      <c r="L26" s="41"/>
      <c r="M26" s="40"/>
      <c r="N26" s="10"/>
      <c r="O26" s="10"/>
      <c r="P26" s="11"/>
      <c r="Q26" s="11"/>
      <c r="R26" s="11"/>
      <c r="S26" s="11"/>
      <c r="T26" s="11"/>
      <c r="U26" s="10"/>
      <c r="V26" s="10"/>
      <c r="W26" s="11"/>
      <c r="X26" s="11"/>
      <c r="Y26" s="11"/>
      <c r="Z26" s="11"/>
      <c r="AA26" s="11"/>
      <c r="AB26" s="10"/>
      <c r="AC26" s="10"/>
      <c r="AD26" s="11"/>
      <c r="AE26" s="11"/>
      <c r="AF26" s="11"/>
      <c r="AG26" s="11"/>
      <c r="AH26" s="11"/>
      <c r="AI26" s="10"/>
      <c r="AJ26" s="10"/>
      <c r="AK26" s="11"/>
      <c r="AL26" s="11"/>
      <c r="AM26" s="11"/>
      <c r="AN26" s="11"/>
      <c r="AO26" s="11"/>
      <c r="AP26" s="10"/>
      <c r="AQ26" s="10"/>
      <c r="AR26" s="11"/>
      <c r="AS26" s="11"/>
      <c r="AT26" s="11"/>
      <c r="AU26" s="11"/>
      <c r="AV26" s="11"/>
      <c r="AW26" s="10"/>
      <c r="AX26" s="10"/>
      <c r="AY26" s="11"/>
      <c r="AZ26" s="11"/>
      <c r="BA26" s="11"/>
      <c r="BB26" s="11"/>
      <c r="BC26" s="11"/>
      <c r="BD26" s="10"/>
      <c r="BE26" s="10"/>
      <c r="BF26" s="11"/>
      <c r="BG26" s="11"/>
      <c r="BH26" s="11"/>
      <c r="BI26" s="11"/>
      <c r="BJ26" s="11"/>
      <c r="BK26" s="10"/>
      <c r="BL26" s="10"/>
      <c r="BM26" s="11"/>
      <c r="BN26" s="11"/>
      <c r="BO26" s="11"/>
      <c r="BP26" s="11"/>
      <c r="BQ26" s="11"/>
      <c r="BR26" s="10"/>
      <c r="BS26" s="10"/>
      <c r="BT26" s="11"/>
      <c r="BU26" s="11"/>
      <c r="BV26" s="11"/>
      <c r="BW26" s="11"/>
      <c r="BX26" s="11"/>
      <c r="BY26" s="10"/>
      <c r="BZ26" s="10"/>
      <c r="CA26" s="11"/>
      <c r="CB26" s="11"/>
      <c r="CC26" s="11"/>
      <c r="CD26" s="11"/>
      <c r="CE26" s="11"/>
      <c r="CF26" s="10"/>
      <c r="CG26" s="10"/>
      <c r="CH26" s="11"/>
      <c r="CI26" s="11"/>
      <c r="CJ26" s="11"/>
      <c r="CK26" s="11"/>
      <c r="CL26" s="11"/>
      <c r="CM26" s="10"/>
      <c r="CN26" s="10"/>
      <c r="CO26" s="40"/>
      <c r="CP26" s="11"/>
      <c r="CQ26" s="11"/>
      <c r="CR26" s="11"/>
      <c r="CS26" s="11"/>
      <c r="CT26" s="10"/>
      <c r="CU26" s="10"/>
      <c r="CV26" s="40"/>
      <c r="CW26" s="11"/>
      <c r="CX26" s="11"/>
      <c r="CY26" s="11"/>
      <c r="CZ26" s="11"/>
      <c r="DA26" s="10"/>
      <c r="DB26" s="10"/>
      <c r="DC26" s="11"/>
      <c r="DD26" s="11"/>
      <c r="DE26" s="11"/>
      <c r="DF26" s="11"/>
      <c r="DG26" s="11"/>
      <c r="DH26" s="10"/>
      <c r="DI26" s="10"/>
      <c r="DJ26" s="11"/>
      <c r="DK26" s="11"/>
      <c r="DL26" s="11"/>
      <c r="DM26" s="11"/>
      <c r="DN26" s="40"/>
      <c r="DO26" s="10"/>
      <c r="DP26" s="10"/>
      <c r="DQ26" s="11"/>
      <c r="DR26" s="11"/>
      <c r="DS26" s="11"/>
      <c r="DT26" s="11"/>
      <c r="DU26" s="11"/>
      <c r="DV26" s="10"/>
      <c r="DW26" s="10"/>
      <c r="DX26" s="43"/>
      <c r="DY26" s="43"/>
      <c r="DZ26" s="43"/>
      <c r="EA26" s="43"/>
      <c r="EB26" s="43"/>
      <c r="EC26" s="10"/>
      <c r="ED26" s="10"/>
      <c r="EE26" s="43"/>
      <c r="EF26" s="43"/>
      <c r="EG26" s="43"/>
      <c r="EH26" s="43"/>
      <c r="EI26" s="43"/>
      <c r="EJ26" s="10"/>
      <c r="EK26" s="10"/>
      <c r="EL26" s="43"/>
      <c r="EM26" s="43"/>
      <c r="EN26" s="38"/>
      <c r="EO26" s="43"/>
      <c r="EP26" s="43"/>
      <c r="EQ26" s="10"/>
      <c r="ER26" s="10"/>
      <c r="ES26" s="40"/>
      <c r="ET26" s="43"/>
      <c r="EU26" s="43"/>
      <c r="EV26" s="43"/>
      <c r="EW26" s="43"/>
      <c r="EX26" s="10"/>
      <c r="EY26" s="10"/>
      <c r="EZ26" s="11"/>
      <c r="FA26" s="11"/>
      <c r="FB26" s="11"/>
      <c r="FC26" s="11"/>
      <c r="FD26" s="11"/>
      <c r="FE26" s="10"/>
      <c r="FF26" s="10"/>
      <c r="FG26" s="11"/>
      <c r="FH26" s="11"/>
      <c r="FI26" s="11"/>
      <c r="FJ26" s="11"/>
      <c r="FK26" s="11"/>
      <c r="FL26" s="10"/>
      <c r="FM26" s="10"/>
      <c r="FN26" s="11"/>
      <c r="FO26" s="11"/>
      <c r="FP26" s="11"/>
      <c r="FQ26" s="11"/>
      <c r="FR26" s="11"/>
      <c r="FS26" s="10"/>
      <c r="FT26" s="10"/>
      <c r="FU26" s="11"/>
      <c r="FV26" s="11"/>
      <c r="FW26" s="11"/>
      <c r="FX26" s="11"/>
      <c r="FY26" s="40"/>
      <c r="FZ26" s="10"/>
      <c r="GA26" s="10"/>
      <c r="GB26" s="11"/>
      <c r="GC26" s="11"/>
      <c r="GD26" s="11"/>
      <c r="GE26" s="11"/>
      <c r="GF26" s="11"/>
      <c r="GG26" s="10"/>
      <c r="GH26" s="10"/>
      <c r="GI26" s="11"/>
      <c r="GJ26" s="11"/>
      <c r="GK26" s="11"/>
      <c r="GL26" s="11"/>
      <c r="GM26" s="11"/>
      <c r="GN26" s="10"/>
      <c r="GO26" s="10"/>
      <c r="GP26" s="11"/>
      <c r="GQ26" s="11"/>
      <c r="GR26" s="11"/>
      <c r="GS26" s="11"/>
      <c r="GT26" s="11"/>
      <c r="GU26" s="10"/>
      <c r="GV26" s="10"/>
      <c r="GW26" s="40"/>
      <c r="GX26" s="11"/>
      <c r="GY26" s="11"/>
      <c r="GZ26" s="11"/>
      <c r="HA26" s="11"/>
      <c r="HB26" s="10"/>
      <c r="HC26" s="10"/>
      <c r="HD26" s="11"/>
      <c r="HE26" s="11"/>
      <c r="HF26" s="11"/>
      <c r="HG26" s="11"/>
      <c r="HH26" s="11"/>
      <c r="HI26" s="10"/>
      <c r="HJ26" s="10"/>
      <c r="HK26" s="11"/>
      <c r="HL26" s="11"/>
      <c r="HM26" s="11"/>
      <c r="HN26" s="11"/>
      <c r="HO26" s="11"/>
      <c r="HP26" s="10"/>
      <c r="HQ26" s="10"/>
      <c r="HR26" s="40"/>
      <c r="HS26" s="11"/>
      <c r="HT26" s="11"/>
      <c r="HU26" s="11"/>
      <c r="HV26" s="11"/>
      <c r="HW26" s="10"/>
      <c r="HX26" s="10"/>
      <c r="HY26" s="11"/>
      <c r="HZ26" s="11"/>
      <c r="IA26" s="11"/>
      <c r="IB26" s="11"/>
      <c r="IC26" s="11"/>
      <c r="ID26" s="10"/>
      <c r="IE26" s="10"/>
      <c r="IF26" s="11"/>
      <c r="IG26" s="11"/>
      <c r="IH26" s="11"/>
      <c r="II26" s="11"/>
      <c r="IJ26" s="11"/>
      <c r="IK26" s="10"/>
      <c r="IL26" s="10"/>
      <c r="IM26" s="11"/>
      <c r="IN26" s="11"/>
      <c r="IO26" s="11"/>
      <c r="IP26" s="11"/>
      <c r="IQ26" s="11"/>
      <c r="IR26" s="10"/>
      <c r="IS26" s="10"/>
      <c r="IT26" s="11"/>
      <c r="IU26" s="11"/>
      <c r="IV26" s="11"/>
      <c r="IW26" s="11"/>
      <c r="IX26" s="11"/>
      <c r="IY26" s="10"/>
      <c r="IZ26" s="10"/>
      <c r="JA26" s="11"/>
      <c r="JB26" s="11"/>
      <c r="JC26" s="40"/>
      <c r="JD26" s="11"/>
      <c r="JE26" s="11"/>
      <c r="JF26" s="10"/>
      <c r="JG26" s="10"/>
      <c r="JH26" s="11"/>
      <c r="JI26" s="11"/>
      <c r="JJ26" s="11"/>
      <c r="JK26" s="11"/>
      <c r="JL26" s="11"/>
      <c r="JM26" s="10"/>
      <c r="JN26" s="10"/>
      <c r="JO26" s="11"/>
      <c r="JP26" s="11"/>
      <c r="JQ26" s="11"/>
      <c r="JR26" s="11"/>
      <c r="JS26" s="40"/>
      <c r="JT26" s="10"/>
      <c r="JU26" s="10"/>
      <c r="JV26" s="11"/>
      <c r="JW26" s="11"/>
      <c r="JX26" s="11"/>
      <c r="JY26" s="11"/>
      <c r="JZ26" s="11"/>
      <c r="KA26" s="10"/>
      <c r="KB26" s="10"/>
      <c r="KC26" s="11"/>
      <c r="KD26" s="11"/>
      <c r="KE26" s="11"/>
      <c r="KF26" s="11"/>
      <c r="KG26" s="11"/>
      <c r="KH26" s="10"/>
      <c r="KI26" s="10"/>
      <c r="KJ26" s="15" t="s">
        <v>1</v>
      </c>
      <c r="KK26" s="15" t="s">
        <v>1</v>
      </c>
      <c r="KL26" s="15" t="s">
        <v>1</v>
      </c>
      <c r="KM26" s="15" t="s">
        <v>1</v>
      </c>
      <c r="KN26" s="15" t="s">
        <v>1</v>
      </c>
      <c r="KO26" s="10"/>
      <c r="KP26" s="10"/>
      <c r="KQ26" s="15" t="s">
        <v>1</v>
      </c>
      <c r="KR26" s="15" t="s">
        <v>1</v>
      </c>
      <c r="KS26" s="15" t="s">
        <v>1</v>
      </c>
      <c r="KT26" s="15" t="s">
        <v>1</v>
      </c>
      <c r="KU26" s="15" t="s">
        <v>1</v>
      </c>
      <c r="KV26" s="10"/>
      <c r="KW26" s="10"/>
      <c r="KX26" s="11"/>
      <c r="KY26" s="11"/>
      <c r="KZ26" s="11"/>
      <c r="LA26" s="11"/>
      <c r="LB26" s="11"/>
      <c r="LC26" s="10"/>
      <c r="LD26" s="10"/>
      <c r="LE26" s="11"/>
      <c r="LF26" s="11"/>
      <c r="LG26" s="11"/>
      <c r="LH26" s="11"/>
      <c r="LI26" s="11"/>
      <c r="LJ26" s="10"/>
      <c r="LK26" s="10"/>
      <c r="LL26" s="11"/>
      <c r="LM26" s="11"/>
      <c r="LN26" s="11"/>
      <c r="LO26" s="11"/>
      <c r="LP26" s="11"/>
      <c r="LQ26" s="10"/>
      <c r="LR26" s="10"/>
      <c r="LS26" s="11"/>
      <c r="LT26" s="11"/>
      <c r="LU26" s="11"/>
      <c r="LV26" s="11"/>
      <c r="LW26" s="11"/>
      <c r="LX26" s="10"/>
      <c r="LY26" s="10"/>
      <c r="LZ26" s="11"/>
      <c r="MA26" s="11"/>
      <c r="MB26" s="11"/>
      <c r="MC26" s="11"/>
      <c r="MD26" s="11"/>
      <c r="ME26" s="10"/>
      <c r="MF26" s="10"/>
      <c r="MG26" s="11"/>
      <c r="MH26" s="11"/>
      <c r="MI26" s="11"/>
      <c r="MJ26" s="11"/>
      <c r="MK26" s="11"/>
      <c r="ML26" s="10"/>
      <c r="MM26" s="10"/>
      <c r="MN26" s="11"/>
      <c r="MO26" s="11"/>
      <c r="MP26" s="11"/>
      <c r="MQ26" s="11"/>
      <c r="MR26" s="11"/>
      <c r="MS26" s="10"/>
      <c r="MT26" s="10"/>
      <c r="MU26" s="11"/>
      <c r="MV26" s="11"/>
      <c r="MW26" s="11"/>
      <c r="MX26" s="11"/>
      <c r="MY26" s="11"/>
      <c r="MZ26" s="10"/>
      <c r="NA26" s="10"/>
      <c r="NB26" s="11"/>
      <c r="NC26" s="11"/>
      <c r="ND26" s="11"/>
      <c r="NE26" s="11"/>
      <c r="NF26" s="11"/>
      <c r="NG26" s="10"/>
      <c r="NH26" s="10"/>
      <c r="NI26" s="11"/>
      <c r="NJ26" s="11"/>
      <c r="NK26" s="11"/>
      <c r="NL26" s="11"/>
    </row>
    <row r="27" spans="1:376" customFormat="1" ht="15" customHeight="1">
      <c r="A27" s="39"/>
      <c r="B27" s="29" t="s">
        <v>74</v>
      </c>
      <c r="C27" s="29" t="s">
        <v>30</v>
      </c>
      <c r="D27" s="29" t="s">
        <v>49</v>
      </c>
      <c r="E27" s="37">
        <v>0</v>
      </c>
      <c r="F27" s="29">
        <v>15</v>
      </c>
      <c r="G27" s="29">
        <v>3</v>
      </c>
      <c r="H27" s="29">
        <f t="shared" si="0"/>
        <v>0</v>
      </c>
      <c r="I27" s="30">
        <f t="shared" si="1"/>
        <v>0</v>
      </c>
      <c r="J27" s="30">
        <f t="shared" si="2"/>
        <v>0</v>
      </c>
      <c r="K27" s="30">
        <f t="shared" si="3"/>
        <v>0</v>
      </c>
      <c r="L27" s="41"/>
      <c r="M27" s="40"/>
      <c r="N27" s="10"/>
      <c r="O27" s="10"/>
      <c r="P27" s="11"/>
      <c r="Q27" s="11"/>
      <c r="R27" s="11"/>
      <c r="S27" s="11"/>
      <c r="T27" s="11"/>
      <c r="U27" s="10"/>
      <c r="V27" s="10"/>
      <c r="W27" s="11"/>
      <c r="X27" s="11"/>
      <c r="Y27" s="11"/>
      <c r="Z27" s="11"/>
      <c r="AA27" s="11"/>
      <c r="AB27" s="10"/>
      <c r="AC27" s="10"/>
      <c r="AD27" s="11"/>
      <c r="AE27" s="11"/>
      <c r="AF27" s="11"/>
      <c r="AG27" s="11"/>
      <c r="AH27" s="11"/>
      <c r="AI27" s="10"/>
      <c r="AJ27" s="10"/>
      <c r="AK27" s="11"/>
      <c r="AL27" s="11"/>
      <c r="AM27" s="11"/>
      <c r="AN27" s="11"/>
      <c r="AO27" s="11"/>
      <c r="AP27" s="10"/>
      <c r="AQ27" s="10"/>
      <c r="AR27" s="11"/>
      <c r="AS27" s="11"/>
      <c r="AT27" s="11"/>
      <c r="AU27" s="11"/>
      <c r="AV27" s="11"/>
      <c r="AW27" s="10"/>
      <c r="AX27" s="10"/>
      <c r="AY27" s="11"/>
      <c r="AZ27" s="11"/>
      <c r="BA27" s="11"/>
      <c r="BB27" s="11"/>
      <c r="BC27" s="11"/>
      <c r="BD27" s="10"/>
      <c r="BE27" s="10"/>
      <c r="BF27" s="11"/>
      <c r="BG27" s="11"/>
      <c r="BH27" s="11"/>
      <c r="BI27" s="11"/>
      <c r="BJ27" s="11"/>
      <c r="BK27" s="10"/>
      <c r="BL27" s="10"/>
      <c r="BM27" s="11"/>
      <c r="BN27" s="11"/>
      <c r="BO27" s="11"/>
      <c r="BP27" s="11"/>
      <c r="BQ27" s="11"/>
      <c r="BR27" s="10"/>
      <c r="BS27" s="10"/>
      <c r="BT27" s="11"/>
      <c r="BU27" s="11"/>
      <c r="BV27" s="11"/>
      <c r="BW27" s="11"/>
      <c r="BX27" s="11"/>
      <c r="BY27" s="10"/>
      <c r="BZ27" s="10"/>
      <c r="CA27" s="11"/>
      <c r="CB27" s="11"/>
      <c r="CC27" s="11"/>
      <c r="CD27" s="11"/>
      <c r="CE27" s="11"/>
      <c r="CF27" s="10"/>
      <c r="CG27" s="10"/>
      <c r="CH27" s="11"/>
      <c r="CI27" s="11"/>
      <c r="CJ27" s="11"/>
      <c r="CK27" s="11"/>
      <c r="CL27" s="11"/>
      <c r="CM27" s="10"/>
      <c r="CN27" s="10"/>
      <c r="CO27" s="40"/>
      <c r="CP27" s="11"/>
      <c r="CQ27" s="11"/>
      <c r="CR27" s="11"/>
      <c r="CS27" s="11"/>
      <c r="CT27" s="10"/>
      <c r="CU27" s="10"/>
      <c r="CV27" s="40"/>
      <c r="CW27" s="11"/>
      <c r="CX27" s="11"/>
      <c r="CY27" s="11"/>
      <c r="CZ27" s="11"/>
      <c r="DA27" s="10"/>
      <c r="DB27" s="10"/>
      <c r="DC27" s="11"/>
      <c r="DD27" s="11"/>
      <c r="DE27" s="11"/>
      <c r="DF27" s="11"/>
      <c r="DG27" s="11"/>
      <c r="DH27" s="10"/>
      <c r="DI27" s="10"/>
      <c r="DJ27" s="11"/>
      <c r="DK27" s="11"/>
      <c r="DL27" s="11"/>
      <c r="DM27" s="11"/>
      <c r="DN27" s="40"/>
      <c r="DO27" s="10"/>
      <c r="DP27" s="10"/>
      <c r="DQ27" s="11"/>
      <c r="DR27" s="11"/>
      <c r="DS27" s="11"/>
      <c r="DT27" s="11"/>
      <c r="DU27" s="11"/>
      <c r="DV27" s="10"/>
      <c r="DW27" s="10"/>
      <c r="DX27" s="43"/>
      <c r="DY27" s="43"/>
      <c r="DZ27" s="43"/>
      <c r="EA27" s="43"/>
      <c r="EB27" s="43"/>
      <c r="EC27" s="10"/>
      <c r="ED27" s="10"/>
      <c r="EE27" s="43"/>
      <c r="EF27" s="43"/>
      <c r="EG27" s="43"/>
      <c r="EH27" s="43"/>
      <c r="EI27" s="43"/>
      <c r="EJ27" s="10"/>
      <c r="EK27" s="10"/>
      <c r="EL27" s="43"/>
      <c r="EM27" s="43"/>
      <c r="EN27" s="38"/>
      <c r="EO27" s="43"/>
      <c r="EP27" s="43"/>
      <c r="EQ27" s="10"/>
      <c r="ER27" s="10"/>
      <c r="ES27" s="44"/>
      <c r="ET27" s="43"/>
      <c r="EU27" s="43"/>
      <c r="EV27" s="43"/>
      <c r="EW27" s="43"/>
      <c r="EX27" s="10"/>
      <c r="EY27" s="10"/>
      <c r="EZ27" s="43"/>
      <c r="FA27" s="43"/>
      <c r="FB27" s="43"/>
      <c r="FC27" s="43"/>
      <c r="FD27" s="43"/>
      <c r="FE27" s="10"/>
      <c r="FF27" s="10"/>
      <c r="FG27" s="43"/>
      <c r="FH27" s="43"/>
      <c r="FI27" s="43"/>
      <c r="FJ27" s="43"/>
      <c r="FK27" s="43"/>
      <c r="FL27" s="10"/>
      <c r="FM27" s="10"/>
      <c r="FN27" s="43"/>
      <c r="FO27" s="43"/>
      <c r="FP27" s="43"/>
      <c r="FQ27" s="43"/>
      <c r="FR27" s="43"/>
      <c r="FS27" s="10"/>
      <c r="FT27" s="10"/>
      <c r="FU27" s="43"/>
      <c r="FV27" s="43"/>
      <c r="FW27" s="43"/>
      <c r="FX27" s="43"/>
      <c r="FY27" s="40"/>
      <c r="FZ27" s="10"/>
      <c r="GA27" s="10"/>
      <c r="GB27" s="11"/>
      <c r="GC27" s="11"/>
      <c r="GD27" s="11"/>
      <c r="GE27" s="11"/>
      <c r="GF27" s="11"/>
      <c r="GG27" s="10"/>
      <c r="GH27" s="10"/>
      <c r="GI27" s="11"/>
      <c r="GJ27" s="11"/>
      <c r="GK27" s="11"/>
      <c r="GL27" s="11"/>
      <c r="GM27" s="11"/>
      <c r="GN27" s="10"/>
      <c r="GO27" s="10"/>
      <c r="GP27" s="11"/>
      <c r="GQ27" s="11"/>
      <c r="GR27" s="11"/>
      <c r="GS27" s="11"/>
      <c r="GT27" s="11"/>
      <c r="GU27" s="10"/>
      <c r="GV27" s="10"/>
      <c r="GW27" s="40"/>
      <c r="GX27" s="11"/>
      <c r="GY27" s="11"/>
      <c r="GZ27" s="11"/>
      <c r="HA27" s="11"/>
      <c r="HB27" s="10"/>
      <c r="HC27" s="10"/>
      <c r="HD27" s="11"/>
      <c r="HE27" s="11"/>
      <c r="HF27" s="11"/>
      <c r="HG27" s="11"/>
      <c r="HH27" s="11"/>
      <c r="HI27" s="10"/>
      <c r="HJ27" s="10"/>
      <c r="HK27" s="11"/>
      <c r="HL27" s="11"/>
      <c r="HM27" s="11"/>
      <c r="HN27" s="11"/>
      <c r="HO27" s="11"/>
      <c r="HP27" s="10"/>
      <c r="HQ27" s="10"/>
      <c r="HR27" s="40"/>
      <c r="HS27" s="11"/>
      <c r="HT27" s="11"/>
      <c r="HU27" s="11"/>
      <c r="HV27" s="11"/>
      <c r="HW27" s="10"/>
      <c r="HX27" s="10"/>
      <c r="HY27" s="11"/>
      <c r="HZ27" s="11"/>
      <c r="IA27" s="11"/>
      <c r="IB27" s="11"/>
      <c r="IC27" s="11"/>
      <c r="ID27" s="10"/>
      <c r="IE27" s="10"/>
      <c r="IF27" s="11"/>
      <c r="IG27" s="11"/>
      <c r="IH27" s="11"/>
      <c r="II27" s="11"/>
      <c r="IJ27" s="11"/>
      <c r="IK27" s="10"/>
      <c r="IL27" s="10"/>
      <c r="IM27" s="11"/>
      <c r="IN27" s="11"/>
      <c r="IO27" s="11"/>
      <c r="IP27" s="11"/>
      <c r="IQ27" s="11"/>
      <c r="IR27" s="10"/>
      <c r="IS27" s="10"/>
      <c r="IT27" s="43"/>
      <c r="IU27" s="11"/>
      <c r="IV27" s="11"/>
      <c r="IW27" s="11"/>
      <c r="IX27" s="11"/>
      <c r="IY27" s="10"/>
      <c r="IZ27" s="10"/>
      <c r="JA27" s="11"/>
      <c r="JB27" s="11"/>
      <c r="JC27" s="40"/>
      <c r="JD27" s="11"/>
      <c r="JE27" s="11"/>
      <c r="JF27" s="10"/>
      <c r="JG27" s="10"/>
      <c r="JH27" s="11"/>
      <c r="JI27" s="11"/>
      <c r="JJ27" s="11"/>
      <c r="JK27" s="11"/>
      <c r="JL27" s="11"/>
      <c r="JM27" s="10"/>
      <c r="JN27" s="10"/>
      <c r="JO27" s="17" t="s">
        <v>3</v>
      </c>
      <c r="JP27" s="11"/>
      <c r="JQ27" s="11"/>
      <c r="JR27" s="11"/>
      <c r="JS27" s="40"/>
      <c r="JT27" s="10"/>
      <c r="JU27" s="10"/>
      <c r="JV27" s="11"/>
      <c r="JW27" s="11"/>
      <c r="JX27" s="11"/>
      <c r="JY27" s="11"/>
      <c r="JZ27" s="11"/>
      <c r="KA27" s="10"/>
      <c r="KB27" s="10"/>
      <c r="KC27" s="15" t="s">
        <v>1</v>
      </c>
      <c r="KD27" s="15" t="s">
        <v>1</v>
      </c>
      <c r="KE27" s="15" t="s">
        <v>1</v>
      </c>
      <c r="KF27" s="15" t="s">
        <v>1</v>
      </c>
      <c r="KG27" s="15" t="s">
        <v>1</v>
      </c>
      <c r="KH27" s="10"/>
      <c r="KI27" s="10"/>
      <c r="KJ27" s="17" t="s">
        <v>3</v>
      </c>
      <c r="KK27" s="11"/>
      <c r="KL27" s="11"/>
      <c r="KM27" s="11"/>
      <c r="KN27" s="11"/>
      <c r="KO27" s="10"/>
      <c r="KP27" s="10"/>
      <c r="KQ27" s="11"/>
      <c r="KR27" s="11"/>
      <c r="KS27" s="11"/>
      <c r="KT27" s="11"/>
      <c r="KU27" s="11"/>
      <c r="KV27" s="10"/>
      <c r="KW27" s="10"/>
      <c r="KX27" s="17" t="s">
        <v>3</v>
      </c>
      <c r="KY27" s="11"/>
      <c r="KZ27" s="11"/>
      <c r="LA27" s="11"/>
      <c r="LB27" s="11"/>
      <c r="LC27" s="10"/>
      <c r="LD27" s="10"/>
      <c r="LE27" s="11"/>
      <c r="LF27" s="11"/>
      <c r="LG27" s="11"/>
      <c r="LH27" s="11"/>
      <c r="LI27" s="11"/>
      <c r="LJ27" s="10"/>
      <c r="LK27" s="10"/>
      <c r="LL27" s="11"/>
      <c r="LM27" s="11"/>
      <c r="LN27" s="11"/>
      <c r="LO27" s="11"/>
      <c r="LP27" s="11"/>
      <c r="LQ27" s="10"/>
      <c r="LR27" s="10"/>
      <c r="LS27" s="15" t="s">
        <v>1</v>
      </c>
      <c r="LT27" s="15" t="s">
        <v>1</v>
      </c>
      <c r="LU27" s="15" t="s">
        <v>1</v>
      </c>
      <c r="LV27" s="15" t="s">
        <v>1</v>
      </c>
      <c r="LW27" s="15" t="s">
        <v>1</v>
      </c>
      <c r="LX27" s="10"/>
      <c r="LY27" s="10"/>
      <c r="LZ27" s="15" t="s">
        <v>1</v>
      </c>
      <c r="MA27" s="15" t="s">
        <v>1</v>
      </c>
      <c r="MB27" s="15" t="s">
        <v>1</v>
      </c>
      <c r="MC27" s="15" t="s">
        <v>1</v>
      </c>
      <c r="MD27" s="15" t="s">
        <v>1</v>
      </c>
      <c r="ME27" s="10"/>
      <c r="MF27" s="10"/>
      <c r="MG27" s="11"/>
      <c r="MH27" s="11"/>
      <c r="MI27" s="11"/>
      <c r="MJ27" s="11"/>
      <c r="MK27" s="11"/>
      <c r="ML27" s="10"/>
      <c r="MM27" s="10"/>
      <c r="MN27" s="11"/>
      <c r="MO27" s="11"/>
      <c r="MP27" s="11"/>
      <c r="MQ27" s="11"/>
      <c r="MR27" s="11"/>
      <c r="MS27" s="10"/>
      <c r="MT27" s="10"/>
      <c r="MU27" s="11"/>
      <c r="MV27" s="11"/>
      <c r="MW27" s="11"/>
      <c r="MX27" s="11"/>
      <c r="MY27" s="11"/>
      <c r="MZ27" s="10"/>
      <c r="NA27" s="10"/>
      <c r="NB27" s="11"/>
      <c r="NC27" s="11"/>
      <c r="ND27" s="11"/>
      <c r="NE27" s="11"/>
      <c r="NF27" s="11"/>
      <c r="NG27" s="10"/>
      <c r="NH27" s="10"/>
      <c r="NI27" s="11"/>
      <c r="NJ27" s="11"/>
      <c r="NK27" s="11"/>
      <c r="NL27" s="11"/>
    </row>
    <row r="28" spans="1:376" customFormat="1" ht="15" customHeight="1">
      <c r="A28" s="39"/>
      <c r="B28" s="29" t="s">
        <v>75</v>
      </c>
      <c r="C28" s="29" t="s">
        <v>76</v>
      </c>
      <c r="D28" s="29" t="s">
        <v>49</v>
      </c>
      <c r="E28" s="37">
        <v>0</v>
      </c>
      <c r="F28" s="29">
        <v>23</v>
      </c>
      <c r="G28" s="29">
        <v>2</v>
      </c>
      <c r="H28" s="29">
        <f t="shared" si="0"/>
        <v>20</v>
      </c>
      <c r="I28" s="30">
        <f t="shared" si="1"/>
        <v>2</v>
      </c>
      <c r="J28" s="30">
        <f t="shared" si="2"/>
        <v>0</v>
      </c>
      <c r="K28" s="30">
        <f t="shared" si="3"/>
        <v>0</v>
      </c>
      <c r="L28" s="41"/>
      <c r="M28" s="40"/>
      <c r="N28" s="10"/>
      <c r="O28" s="10"/>
      <c r="P28" s="11"/>
      <c r="Q28" s="11"/>
      <c r="R28" s="11"/>
      <c r="S28" s="11"/>
      <c r="T28" s="11"/>
      <c r="U28" s="10"/>
      <c r="V28" s="10"/>
      <c r="W28" s="11"/>
      <c r="X28" s="11"/>
      <c r="Y28" s="11"/>
      <c r="Z28" s="11"/>
      <c r="AA28" s="11"/>
      <c r="AB28" s="10"/>
      <c r="AC28" s="10"/>
      <c r="AD28" s="11"/>
      <c r="AE28" s="11"/>
      <c r="AF28" s="11"/>
      <c r="AG28" s="11"/>
      <c r="AH28" s="11"/>
      <c r="AI28" s="10"/>
      <c r="AJ28" s="10"/>
      <c r="AK28" s="11"/>
      <c r="AL28" s="11"/>
      <c r="AM28" s="11"/>
      <c r="AN28" s="11"/>
      <c r="AO28" s="11"/>
      <c r="AP28" s="10"/>
      <c r="AQ28" s="10"/>
      <c r="AR28" s="11"/>
      <c r="AS28" s="11"/>
      <c r="AT28" s="11"/>
      <c r="AU28" s="11"/>
      <c r="AV28" s="11"/>
      <c r="AW28" s="10"/>
      <c r="AX28" s="10"/>
      <c r="AY28" s="11"/>
      <c r="AZ28" s="11"/>
      <c r="BA28" s="11"/>
      <c r="BB28" s="11"/>
      <c r="BC28" s="11"/>
      <c r="BD28" s="10"/>
      <c r="BE28" s="10"/>
      <c r="BF28" s="11"/>
      <c r="BG28" s="11"/>
      <c r="BH28" s="11"/>
      <c r="BI28" s="11"/>
      <c r="BJ28" s="11"/>
      <c r="BK28" s="10"/>
      <c r="BL28" s="10"/>
      <c r="BM28" s="11"/>
      <c r="BN28" s="11"/>
      <c r="BO28" s="11"/>
      <c r="BP28" s="11"/>
      <c r="BQ28" s="11"/>
      <c r="BR28" s="10"/>
      <c r="BS28" s="10"/>
      <c r="BT28" s="11"/>
      <c r="BU28" s="11"/>
      <c r="BV28" s="11"/>
      <c r="BW28" s="11"/>
      <c r="BX28" s="11"/>
      <c r="BY28" s="10"/>
      <c r="BZ28" s="10"/>
      <c r="CA28" s="11"/>
      <c r="CB28" s="11"/>
      <c r="CC28" s="11"/>
      <c r="CD28" s="11"/>
      <c r="CE28" s="11"/>
      <c r="CF28" s="10"/>
      <c r="CG28" s="10"/>
      <c r="CH28" s="11"/>
      <c r="CI28" s="11"/>
      <c r="CJ28" s="11"/>
      <c r="CK28" s="11"/>
      <c r="CL28" s="11"/>
      <c r="CM28" s="10"/>
      <c r="CN28" s="10"/>
      <c r="CO28" s="40"/>
      <c r="CP28" s="11"/>
      <c r="CQ28" s="11"/>
      <c r="CR28" s="11"/>
      <c r="CS28" s="11"/>
      <c r="CT28" s="10"/>
      <c r="CU28" s="10"/>
      <c r="CV28" s="40"/>
      <c r="CW28" s="11"/>
      <c r="CX28" s="11"/>
      <c r="CY28" s="11"/>
      <c r="CZ28" s="11"/>
      <c r="DA28" s="10"/>
      <c r="DB28" s="10"/>
      <c r="DC28" s="11"/>
      <c r="DD28" s="11"/>
      <c r="DE28" s="11"/>
      <c r="DF28" s="11"/>
      <c r="DG28" s="11"/>
      <c r="DH28" s="10"/>
      <c r="DI28" s="10"/>
      <c r="DJ28" s="11"/>
      <c r="DK28" s="11"/>
      <c r="DL28" s="11"/>
      <c r="DM28" s="11"/>
      <c r="DN28" s="40"/>
      <c r="DO28" s="10"/>
      <c r="DP28" s="10"/>
      <c r="DQ28" s="11"/>
      <c r="DR28" s="11"/>
      <c r="DS28" s="11"/>
      <c r="DT28" s="11"/>
      <c r="DU28" s="11"/>
      <c r="DV28" s="10"/>
      <c r="DW28" s="10"/>
      <c r="DX28" s="43"/>
      <c r="DY28" s="43"/>
      <c r="DZ28" s="43"/>
      <c r="EA28" s="43"/>
      <c r="EB28" s="43"/>
      <c r="EC28" s="10"/>
      <c r="ED28" s="10"/>
      <c r="EE28" s="43"/>
      <c r="EF28" s="43"/>
      <c r="EG28" s="43"/>
      <c r="EH28" s="43"/>
      <c r="EI28" s="43"/>
      <c r="EJ28" s="10"/>
      <c r="EK28" s="10"/>
      <c r="EL28" s="43"/>
      <c r="EM28" s="43"/>
      <c r="EN28" s="38"/>
      <c r="EO28" s="43"/>
      <c r="EP28" s="43"/>
      <c r="EQ28" s="10"/>
      <c r="ER28" s="10"/>
      <c r="ES28" s="44"/>
      <c r="ET28" s="43"/>
      <c r="EU28" s="43"/>
      <c r="EV28" s="43"/>
      <c r="EW28" s="43"/>
      <c r="EX28" s="10"/>
      <c r="EY28" s="10"/>
      <c r="EZ28" s="43"/>
      <c r="FA28" s="43"/>
      <c r="FB28" s="43"/>
      <c r="FC28" s="43"/>
      <c r="FD28" s="43"/>
      <c r="FE28" s="10"/>
      <c r="FF28" s="10"/>
      <c r="FG28" s="43"/>
      <c r="FH28" s="43"/>
      <c r="FI28" s="43"/>
      <c r="FJ28" s="43"/>
      <c r="FK28" s="43"/>
      <c r="FL28" s="10"/>
      <c r="FM28" s="10"/>
      <c r="FN28" s="43"/>
      <c r="FO28" s="43"/>
      <c r="FP28" s="43"/>
      <c r="FQ28" s="43"/>
      <c r="FR28" s="43"/>
      <c r="FS28" s="10"/>
      <c r="FT28" s="10"/>
      <c r="FU28" s="43"/>
      <c r="FV28" s="43"/>
      <c r="FW28" s="43"/>
      <c r="FX28" s="43"/>
      <c r="FY28" s="40"/>
      <c r="FZ28" s="10"/>
      <c r="GA28" s="10"/>
      <c r="GB28" s="11"/>
      <c r="GC28" s="11"/>
      <c r="GD28" s="11"/>
      <c r="GE28" s="11"/>
      <c r="GF28" s="11"/>
      <c r="GG28" s="10"/>
      <c r="GH28" s="10"/>
      <c r="GI28" s="11"/>
      <c r="GJ28" s="11"/>
      <c r="GK28" s="11"/>
      <c r="GL28" s="11"/>
      <c r="GM28" s="11"/>
      <c r="GN28" s="10"/>
      <c r="GO28" s="10"/>
      <c r="GP28" s="11"/>
      <c r="GQ28" s="11"/>
      <c r="GR28" s="11"/>
      <c r="GS28" s="11"/>
      <c r="GT28" s="11"/>
      <c r="GU28" s="10"/>
      <c r="GV28" s="10"/>
      <c r="GW28" s="11"/>
      <c r="GX28" s="11"/>
      <c r="GY28" s="11"/>
      <c r="GZ28" s="11"/>
      <c r="HA28" s="11"/>
      <c r="HB28" s="10"/>
      <c r="HC28" s="10"/>
      <c r="HD28" s="11"/>
      <c r="HE28" s="11"/>
      <c r="HF28" s="11"/>
      <c r="HG28" s="11"/>
      <c r="HH28" s="11"/>
      <c r="HI28" s="10"/>
      <c r="HJ28" s="10"/>
      <c r="HK28" s="11"/>
      <c r="HL28" s="11"/>
      <c r="HM28" s="11"/>
      <c r="HN28" s="11"/>
      <c r="HO28" s="11"/>
      <c r="HP28" s="10"/>
      <c r="HQ28" s="10"/>
      <c r="HR28" s="40"/>
      <c r="HS28" s="11"/>
      <c r="HT28" s="11"/>
      <c r="HU28" s="11"/>
      <c r="HV28" s="11"/>
      <c r="HW28" s="10"/>
      <c r="HX28" s="10"/>
      <c r="HY28" s="11"/>
      <c r="HZ28" s="11"/>
      <c r="IA28" s="11"/>
      <c r="IB28" s="11"/>
      <c r="IC28" s="11"/>
      <c r="ID28" s="10"/>
      <c r="IE28" s="10"/>
      <c r="IF28" s="11"/>
      <c r="IG28" s="11"/>
      <c r="IH28" s="11"/>
      <c r="II28" s="11"/>
      <c r="IJ28" s="11"/>
      <c r="IK28" s="10"/>
      <c r="IL28" s="10"/>
      <c r="IM28" s="11"/>
      <c r="IN28" s="11"/>
      <c r="IO28" s="11"/>
      <c r="IP28" s="11"/>
      <c r="IQ28" s="11"/>
      <c r="IR28" s="10"/>
      <c r="IS28" s="10"/>
      <c r="IT28" s="43"/>
      <c r="IU28" s="11"/>
      <c r="IV28" s="40"/>
      <c r="IW28" s="11"/>
      <c r="IX28" s="11"/>
      <c r="IY28" s="10"/>
      <c r="IZ28" s="10"/>
      <c r="JA28" s="11"/>
      <c r="JB28" s="11"/>
      <c r="JC28" s="40"/>
      <c r="JD28" s="11"/>
      <c r="JE28" s="11"/>
      <c r="JF28" s="10"/>
      <c r="JG28" s="10"/>
      <c r="JH28" s="11"/>
      <c r="JI28" s="11"/>
      <c r="JJ28" s="11"/>
      <c r="JK28" s="11"/>
      <c r="JL28" s="11"/>
      <c r="JM28" s="10"/>
      <c r="JN28" s="10"/>
      <c r="JO28" s="11"/>
      <c r="JP28" s="11"/>
      <c r="JQ28" s="15" t="s">
        <v>1</v>
      </c>
      <c r="JR28" s="15" t="s">
        <v>1</v>
      </c>
      <c r="JS28" s="40"/>
      <c r="JT28" s="10"/>
      <c r="JU28" s="10"/>
      <c r="JV28" s="11"/>
      <c r="JW28" s="11"/>
      <c r="JX28" s="11"/>
      <c r="JY28" s="11"/>
      <c r="JZ28" s="40"/>
      <c r="KA28" s="10"/>
      <c r="KB28" s="10"/>
      <c r="KC28" s="11"/>
      <c r="KD28" s="11"/>
      <c r="KE28" s="11"/>
      <c r="KF28" s="11"/>
      <c r="KG28" s="11"/>
      <c r="KH28" s="10"/>
      <c r="KI28" s="10"/>
      <c r="KJ28" s="11"/>
      <c r="KK28" s="11"/>
      <c r="KL28" s="11"/>
      <c r="KM28" s="11"/>
      <c r="KN28" s="11"/>
      <c r="KO28" s="10"/>
      <c r="KP28" s="10"/>
      <c r="KQ28" s="11"/>
      <c r="KR28" s="11"/>
      <c r="KS28" s="11"/>
      <c r="KT28" s="11"/>
      <c r="KU28" s="11"/>
      <c r="KV28" s="10"/>
      <c r="KW28" s="10"/>
      <c r="KX28" s="11"/>
      <c r="KY28" s="11"/>
      <c r="KZ28" s="11"/>
      <c r="LA28" s="11"/>
      <c r="LB28" s="11"/>
      <c r="LC28" s="10"/>
      <c r="LD28" s="10"/>
      <c r="LE28" s="11"/>
      <c r="LF28" s="11"/>
      <c r="LG28" s="11"/>
      <c r="LH28" s="11"/>
      <c r="LI28" s="11"/>
      <c r="LJ28" s="10"/>
      <c r="LK28" s="10"/>
      <c r="LL28" s="11"/>
      <c r="LM28" s="11"/>
      <c r="LN28" s="11"/>
      <c r="LO28" s="11"/>
      <c r="LP28" s="11"/>
      <c r="LQ28" s="10"/>
      <c r="LR28" s="10"/>
      <c r="LS28" s="11"/>
      <c r="LT28" s="11"/>
      <c r="LU28" s="11"/>
      <c r="LV28" s="11"/>
      <c r="LW28" s="11"/>
      <c r="LX28" s="10"/>
      <c r="LY28" s="10"/>
      <c r="LZ28" s="11"/>
      <c r="MA28" s="11"/>
      <c r="MB28" s="11"/>
      <c r="MC28" s="11"/>
      <c r="MD28" s="11"/>
      <c r="ME28" s="10"/>
      <c r="MF28" s="10"/>
      <c r="MG28" s="15" t="s">
        <v>1</v>
      </c>
      <c r="MH28" s="40"/>
      <c r="MI28" s="11"/>
      <c r="MJ28" s="11"/>
      <c r="MK28" s="11"/>
      <c r="ML28" s="10"/>
      <c r="MM28" s="10"/>
      <c r="MN28" s="11"/>
      <c r="MO28" s="11"/>
      <c r="MP28" s="11"/>
      <c r="MQ28" s="11"/>
      <c r="MR28" s="11"/>
      <c r="MS28" s="10"/>
      <c r="MT28" s="10"/>
      <c r="MU28" s="11"/>
      <c r="MV28" s="11"/>
      <c r="MW28" s="11"/>
      <c r="MX28" s="11"/>
      <c r="MY28" s="11"/>
      <c r="MZ28" s="10"/>
      <c r="NA28" s="10"/>
      <c r="NB28" s="11"/>
      <c r="NC28" s="11"/>
      <c r="ND28" s="11"/>
      <c r="NE28" s="11"/>
      <c r="NF28" s="11"/>
      <c r="NG28" s="10"/>
      <c r="NH28" s="10"/>
      <c r="NI28" s="11"/>
      <c r="NJ28" s="11"/>
      <c r="NK28" s="11"/>
      <c r="NL28" s="11"/>
    </row>
    <row r="29" spans="1:376" customFormat="1" ht="15" customHeight="1">
      <c r="A29" s="39"/>
      <c r="B29" s="29" t="s">
        <v>77</v>
      </c>
      <c r="C29" s="29" t="s">
        <v>76</v>
      </c>
      <c r="D29" s="29" t="s">
        <v>49</v>
      </c>
      <c r="E29" s="37">
        <v>0</v>
      </c>
      <c r="F29" s="29">
        <v>23</v>
      </c>
      <c r="G29" s="29">
        <v>2</v>
      </c>
      <c r="H29" s="29">
        <f t="shared" si="0"/>
        <v>20</v>
      </c>
      <c r="I29" s="30">
        <f t="shared" si="1"/>
        <v>1</v>
      </c>
      <c r="J29" s="30">
        <f t="shared" si="2"/>
        <v>0</v>
      </c>
      <c r="K29" s="30">
        <f t="shared" si="3"/>
        <v>0</v>
      </c>
      <c r="L29" s="41"/>
      <c r="M29" s="40"/>
      <c r="N29" s="10"/>
      <c r="O29" s="10"/>
      <c r="P29" s="11"/>
      <c r="Q29" s="11"/>
      <c r="R29" s="11"/>
      <c r="S29" s="11"/>
      <c r="T29" s="11"/>
      <c r="U29" s="10"/>
      <c r="V29" s="10"/>
      <c r="W29" s="11"/>
      <c r="X29" s="11"/>
      <c r="Y29" s="11"/>
      <c r="Z29" s="11"/>
      <c r="AA29" s="11"/>
      <c r="AB29" s="10"/>
      <c r="AC29" s="10"/>
      <c r="AD29" s="11"/>
      <c r="AE29" s="11"/>
      <c r="AF29" s="11"/>
      <c r="AG29" s="11"/>
      <c r="AH29" s="11"/>
      <c r="AI29" s="10"/>
      <c r="AJ29" s="10"/>
      <c r="AK29" s="11"/>
      <c r="AL29" s="11"/>
      <c r="AM29" s="11"/>
      <c r="AN29" s="11"/>
      <c r="AO29" s="11"/>
      <c r="AP29" s="10"/>
      <c r="AQ29" s="10"/>
      <c r="AR29" s="11"/>
      <c r="AS29" s="11"/>
      <c r="AT29" s="11"/>
      <c r="AU29" s="11"/>
      <c r="AV29" s="11"/>
      <c r="AW29" s="10"/>
      <c r="AX29" s="10"/>
      <c r="AY29" s="11"/>
      <c r="AZ29" s="11"/>
      <c r="BA29" s="11"/>
      <c r="BB29" s="11"/>
      <c r="BC29" s="11"/>
      <c r="BD29" s="10"/>
      <c r="BE29" s="10"/>
      <c r="BF29" s="11"/>
      <c r="BG29" s="11"/>
      <c r="BH29" s="11"/>
      <c r="BI29" s="11"/>
      <c r="BJ29" s="11"/>
      <c r="BK29" s="10"/>
      <c r="BL29" s="10"/>
      <c r="BM29" s="11"/>
      <c r="BN29" s="11"/>
      <c r="BO29" s="11"/>
      <c r="BP29" s="11"/>
      <c r="BQ29" s="11"/>
      <c r="BR29" s="10"/>
      <c r="BS29" s="10"/>
      <c r="BT29" s="11"/>
      <c r="BU29" s="11"/>
      <c r="BV29" s="11"/>
      <c r="BW29" s="11"/>
      <c r="BX29" s="11"/>
      <c r="BY29" s="10"/>
      <c r="BZ29" s="10"/>
      <c r="CA29" s="11"/>
      <c r="CB29" s="11"/>
      <c r="CC29" s="11"/>
      <c r="CD29" s="11"/>
      <c r="CE29" s="11"/>
      <c r="CF29" s="10"/>
      <c r="CG29" s="10"/>
      <c r="CH29" s="11"/>
      <c r="CI29" s="11"/>
      <c r="CJ29" s="11"/>
      <c r="CK29" s="11"/>
      <c r="CL29" s="11"/>
      <c r="CM29" s="10"/>
      <c r="CN29" s="10"/>
      <c r="CO29" s="40"/>
      <c r="CP29" s="11"/>
      <c r="CQ29" s="11"/>
      <c r="CR29" s="11"/>
      <c r="CS29" s="11"/>
      <c r="CT29" s="10"/>
      <c r="CU29" s="10"/>
      <c r="CV29" s="40"/>
      <c r="CW29" s="11"/>
      <c r="CX29" s="11"/>
      <c r="CY29" s="11"/>
      <c r="CZ29" s="11"/>
      <c r="DA29" s="10"/>
      <c r="DB29" s="10"/>
      <c r="DC29" s="11"/>
      <c r="DD29" s="11"/>
      <c r="DE29" s="11"/>
      <c r="DF29" s="11"/>
      <c r="DG29" s="11"/>
      <c r="DH29" s="10"/>
      <c r="DI29" s="10"/>
      <c r="DJ29" s="11"/>
      <c r="DK29" s="11"/>
      <c r="DL29" s="11"/>
      <c r="DM29" s="11"/>
      <c r="DN29" s="40"/>
      <c r="DO29" s="10"/>
      <c r="DP29" s="10"/>
      <c r="DQ29" s="11"/>
      <c r="DR29" s="11"/>
      <c r="DS29" s="11"/>
      <c r="DT29" s="11"/>
      <c r="DU29" s="11"/>
      <c r="DV29" s="10"/>
      <c r="DW29" s="10"/>
      <c r="DX29" s="43"/>
      <c r="DY29" s="43"/>
      <c r="DZ29" s="43"/>
      <c r="EA29" s="43"/>
      <c r="EB29" s="43"/>
      <c r="EC29" s="10"/>
      <c r="ED29" s="10"/>
      <c r="EE29" s="43"/>
      <c r="EF29" s="43"/>
      <c r="EG29" s="43"/>
      <c r="EH29" s="43"/>
      <c r="EI29" s="43"/>
      <c r="EJ29" s="10"/>
      <c r="EK29" s="10"/>
      <c r="EL29" s="43"/>
      <c r="EM29" s="43"/>
      <c r="EN29" s="38"/>
      <c r="EO29" s="43"/>
      <c r="EP29" s="43"/>
      <c r="EQ29" s="10"/>
      <c r="ER29" s="10"/>
      <c r="ES29" s="44"/>
      <c r="ET29" s="43"/>
      <c r="EU29" s="43"/>
      <c r="EV29" s="43"/>
      <c r="EW29" s="43"/>
      <c r="EX29" s="10"/>
      <c r="EY29" s="10"/>
      <c r="EZ29" s="43"/>
      <c r="FA29" s="43"/>
      <c r="FB29" s="43"/>
      <c r="FC29" s="43"/>
      <c r="FD29" s="43"/>
      <c r="FE29" s="10"/>
      <c r="FF29" s="10"/>
      <c r="FG29" s="43"/>
      <c r="FH29" s="43"/>
      <c r="FI29" s="43"/>
      <c r="FJ29" s="43"/>
      <c r="FK29" s="43"/>
      <c r="FL29" s="10"/>
      <c r="FM29" s="10"/>
      <c r="FN29" s="43"/>
      <c r="FO29" s="43"/>
      <c r="FP29" s="43"/>
      <c r="FQ29" s="43"/>
      <c r="FR29" s="43"/>
      <c r="FS29" s="10"/>
      <c r="FT29" s="10"/>
      <c r="FU29" s="43"/>
      <c r="FV29" s="43"/>
      <c r="FW29" s="43"/>
      <c r="FX29" s="43"/>
      <c r="FY29" s="40"/>
      <c r="FZ29" s="10"/>
      <c r="GA29" s="10"/>
      <c r="GB29" s="11"/>
      <c r="GC29" s="11"/>
      <c r="GD29" s="11"/>
      <c r="GE29" s="11"/>
      <c r="GF29" s="11"/>
      <c r="GG29" s="10"/>
      <c r="GH29" s="10"/>
      <c r="GI29" s="11"/>
      <c r="GJ29" s="11"/>
      <c r="GK29" s="11"/>
      <c r="GL29" s="11"/>
      <c r="GM29" s="11"/>
      <c r="GN29" s="10"/>
      <c r="GO29" s="10"/>
      <c r="GP29" s="11"/>
      <c r="GQ29" s="11"/>
      <c r="GR29" s="11"/>
      <c r="GS29" s="11"/>
      <c r="GT29" s="11"/>
      <c r="GU29" s="10"/>
      <c r="GV29" s="10"/>
      <c r="GW29" s="11"/>
      <c r="GX29" s="11"/>
      <c r="GY29" s="11"/>
      <c r="GZ29" s="11"/>
      <c r="HA29" s="11"/>
      <c r="HB29" s="10"/>
      <c r="HC29" s="10"/>
      <c r="HD29" s="11"/>
      <c r="HE29" s="11"/>
      <c r="HF29" s="11"/>
      <c r="HG29" s="11"/>
      <c r="HH29" s="11"/>
      <c r="HI29" s="10"/>
      <c r="HJ29" s="10"/>
      <c r="HK29" s="11"/>
      <c r="HL29" s="11"/>
      <c r="HM29" s="11"/>
      <c r="HN29" s="11"/>
      <c r="HO29" s="11"/>
      <c r="HP29" s="10"/>
      <c r="HQ29" s="10"/>
      <c r="HR29" s="40"/>
      <c r="HS29" s="11"/>
      <c r="HT29" s="11"/>
      <c r="HU29" s="11"/>
      <c r="HV29" s="11"/>
      <c r="HW29" s="10"/>
      <c r="HX29" s="10"/>
      <c r="HY29" s="11"/>
      <c r="HZ29" s="11"/>
      <c r="IA29" s="11"/>
      <c r="IB29" s="11"/>
      <c r="IC29" s="11"/>
      <c r="ID29" s="10"/>
      <c r="IE29" s="10"/>
      <c r="IF29" s="11"/>
      <c r="IG29" s="11"/>
      <c r="IH29" s="11"/>
      <c r="II29" s="11"/>
      <c r="IJ29" s="11"/>
      <c r="IK29" s="10"/>
      <c r="IL29" s="10"/>
      <c r="IM29" s="11"/>
      <c r="IN29" s="2"/>
      <c r="IO29" s="11"/>
      <c r="IP29" s="11"/>
      <c r="IQ29" s="11"/>
      <c r="IR29" s="10"/>
      <c r="IS29" s="10"/>
      <c r="IT29" s="43"/>
      <c r="IU29" s="11"/>
      <c r="IV29" s="40"/>
      <c r="IW29" s="11"/>
      <c r="IX29" s="15" t="s">
        <v>1</v>
      </c>
      <c r="IY29" s="10"/>
      <c r="IZ29" s="10"/>
      <c r="JA29" s="11"/>
      <c r="JB29" s="11"/>
      <c r="JC29" s="40"/>
      <c r="JD29" s="11"/>
      <c r="JE29" s="11"/>
      <c r="JF29" s="10"/>
      <c r="JG29" s="10"/>
      <c r="JH29" s="11"/>
      <c r="JI29" s="11"/>
      <c r="JJ29" s="11"/>
      <c r="JK29" s="11"/>
      <c r="JL29" s="11"/>
      <c r="JM29" s="10"/>
      <c r="JN29" s="10"/>
      <c r="JO29" s="11"/>
      <c r="JP29" s="11"/>
      <c r="JQ29" s="11"/>
      <c r="JR29" s="11"/>
      <c r="JS29" s="40"/>
      <c r="JT29" s="10"/>
      <c r="JU29" s="10"/>
      <c r="JV29" s="11"/>
      <c r="JW29" s="11"/>
      <c r="JX29" s="11"/>
      <c r="JY29" s="11"/>
      <c r="JZ29" s="40"/>
      <c r="KA29" s="10"/>
      <c r="KB29" s="10"/>
      <c r="KC29" s="11"/>
      <c r="KD29" s="11"/>
      <c r="KE29" s="11"/>
      <c r="KF29" s="11"/>
      <c r="KG29" s="11"/>
      <c r="KH29" s="10"/>
      <c r="KI29" s="10"/>
      <c r="KJ29" s="11"/>
      <c r="KK29" s="11"/>
      <c r="KL29" s="11"/>
      <c r="KM29" s="11"/>
      <c r="KN29" s="11"/>
      <c r="KO29" s="10"/>
      <c r="KP29" s="10"/>
      <c r="KQ29" s="11"/>
      <c r="KR29" s="11"/>
      <c r="KS29" s="11"/>
      <c r="KT29" s="11"/>
      <c r="KU29" s="11"/>
      <c r="KV29" s="10"/>
      <c r="KW29" s="10"/>
      <c r="KX29" s="11"/>
      <c r="KY29" s="11"/>
      <c r="KZ29" s="11"/>
      <c r="LA29" s="11"/>
      <c r="LB29" s="11"/>
      <c r="LC29" s="10"/>
      <c r="LD29" s="10"/>
      <c r="LE29" s="11"/>
      <c r="LF29" s="11"/>
      <c r="LG29" s="11"/>
      <c r="LH29" s="11"/>
      <c r="LI29" s="11"/>
      <c r="LJ29" s="10"/>
      <c r="LK29" s="10"/>
      <c r="LL29" s="11"/>
      <c r="LM29" s="11"/>
      <c r="LN29" s="11"/>
      <c r="LO29" s="11"/>
      <c r="LP29" s="11"/>
      <c r="LQ29" s="10"/>
      <c r="LR29" s="10"/>
      <c r="LS29" s="15" t="s">
        <v>1</v>
      </c>
      <c r="LT29" s="15" t="s">
        <v>1</v>
      </c>
      <c r="LU29" s="11"/>
      <c r="LV29" s="11"/>
      <c r="LW29" s="11"/>
      <c r="LX29" s="10"/>
      <c r="LY29" s="10"/>
      <c r="LZ29" s="11"/>
      <c r="MA29" s="11"/>
      <c r="MB29" s="11"/>
      <c r="MC29" s="11"/>
      <c r="MD29" s="11"/>
      <c r="ME29" s="10"/>
      <c r="MF29" s="10"/>
      <c r="MG29" s="11"/>
      <c r="MH29" s="40"/>
      <c r="MI29" s="11"/>
      <c r="MJ29" s="11"/>
      <c r="MK29" s="11"/>
      <c r="ML29" s="10"/>
      <c r="MM29" s="10"/>
      <c r="MN29" s="11"/>
      <c r="MO29" s="11"/>
      <c r="MP29" s="11"/>
      <c r="MQ29" s="11"/>
      <c r="MR29" s="11"/>
      <c r="MS29" s="10"/>
      <c r="MT29" s="10"/>
      <c r="MU29" s="11"/>
      <c r="MV29" s="11"/>
      <c r="MW29" s="11"/>
      <c r="MX29" s="11"/>
      <c r="MY29" s="11"/>
      <c r="MZ29" s="10"/>
      <c r="NA29" s="10"/>
      <c r="NB29" s="11"/>
      <c r="NC29" s="11"/>
      <c r="ND29" s="17" t="s">
        <v>3</v>
      </c>
      <c r="NE29" s="11"/>
      <c r="NF29" s="11"/>
      <c r="NG29" s="10"/>
      <c r="NH29" s="10"/>
      <c r="NI29" s="11"/>
      <c r="NJ29" s="11"/>
      <c r="NK29" s="11"/>
      <c r="NL29" s="11"/>
    </row>
    <row r="30" spans="1:376" customFormat="1" ht="15" customHeight="1">
      <c r="A30" s="39"/>
      <c r="B30" s="29" t="s">
        <v>78</v>
      </c>
      <c r="C30" s="29" t="s">
        <v>30</v>
      </c>
      <c r="D30" s="29" t="s">
        <v>49</v>
      </c>
      <c r="E30" s="37">
        <v>0</v>
      </c>
      <c r="F30" s="29">
        <v>23</v>
      </c>
      <c r="G30" s="29">
        <v>2</v>
      </c>
      <c r="H30" s="29">
        <f t="shared" ref="H30:H31" si="4">E30+F30-COUNTIF(L30:NL30,$C$2)</f>
        <v>23</v>
      </c>
      <c r="I30" s="30">
        <f t="shared" ref="I30:I31" si="5">G30-COUNTIF(L30:NL30,$C$3)</f>
        <v>1</v>
      </c>
      <c r="J30" s="30">
        <f t="shared" ref="J30:J31" si="6">COUNTIF(K30:NJ30,$C$4)</f>
        <v>0</v>
      </c>
      <c r="K30" s="30">
        <f t="shared" ref="K30:K31" si="7">COUNTIF(L30:NL30,$C$5)</f>
        <v>0</v>
      </c>
      <c r="L30" s="41"/>
      <c r="M30" s="40"/>
      <c r="N30" s="10"/>
      <c r="O30" s="10"/>
      <c r="P30" s="11"/>
      <c r="Q30" s="11"/>
      <c r="R30" s="11"/>
      <c r="S30" s="11"/>
      <c r="T30" s="11"/>
      <c r="U30" s="10"/>
      <c r="V30" s="10"/>
      <c r="W30" s="11"/>
      <c r="X30" s="11"/>
      <c r="Y30" s="11"/>
      <c r="Z30" s="11"/>
      <c r="AA30" s="11"/>
      <c r="AB30" s="10"/>
      <c r="AC30" s="10"/>
      <c r="AD30" s="11"/>
      <c r="AE30" s="11"/>
      <c r="AF30" s="11"/>
      <c r="AG30" s="11"/>
      <c r="AH30" s="11"/>
      <c r="AI30" s="10"/>
      <c r="AJ30" s="10"/>
      <c r="AK30" s="11"/>
      <c r="AL30" s="11"/>
      <c r="AM30" s="11"/>
      <c r="AN30" s="11"/>
      <c r="AO30" s="11"/>
      <c r="AP30" s="10"/>
      <c r="AQ30" s="10"/>
      <c r="AR30" s="11"/>
      <c r="AS30" s="11"/>
      <c r="AT30" s="11"/>
      <c r="AU30" s="11"/>
      <c r="AV30" s="11"/>
      <c r="AW30" s="10"/>
      <c r="AX30" s="10"/>
      <c r="AY30" s="11"/>
      <c r="AZ30" s="11"/>
      <c r="BA30" s="11"/>
      <c r="BB30" s="11"/>
      <c r="BC30" s="11"/>
      <c r="BD30" s="10"/>
      <c r="BE30" s="10"/>
      <c r="BF30" s="11"/>
      <c r="BG30" s="11"/>
      <c r="BH30" s="11"/>
      <c r="BI30" s="11"/>
      <c r="BJ30" s="11"/>
      <c r="BK30" s="10"/>
      <c r="BL30" s="10"/>
      <c r="BM30" s="11"/>
      <c r="BN30" s="11"/>
      <c r="BO30" s="11"/>
      <c r="BP30" s="11"/>
      <c r="BQ30" s="11"/>
      <c r="BR30" s="10"/>
      <c r="BS30" s="10"/>
      <c r="BT30" s="11"/>
      <c r="BU30" s="11"/>
      <c r="BV30" s="11"/>
      <c r="BW30" s="11"/>
      <c r="BX30" s="11"/>
      <c r="BY30" s="10"/>
      <c r="BZ30" s="10"/>
      <c r="CA30" s="11"/>
      <c r="CB30" s="11"/>
      <c r="CC30" s="11"/>
      <c r="CD30" s="11"/>
      <c r="CE30" s="11"/>
      <c r="CF30" s="10"/>
      <c r="CG30" s="10"/>
      <c r="CH30" s="11"/>
      <c r="CI30" s="11"/>
      <c r="CJ30" s="11"/>
      <c r="CK30" s="11"/>
      <c r="CL30" s="11"/>
      <c r="CM30" s="10"/>
      <c r="CN30" s="10"/>
      <c r="CO30" s="40"/>
      <c r="CP30" s="11"/>
      <c r="CQ30" s="11"/>
      <c r="CR30" s="11"/>
      <c r="CS30" s="11"/>
      <c r="CT30" s="10"/>
      <c r="CU30" s="10"/>
      <c r="CV30" s="40"/>
      <c r="CW30" s="11"/>
      <c r="CX30" s="11"/>
      <c r="CY30" s="11"/>
      <c r="CZ30" s="11"/>
      <c r="DA30" s="10"/>
      <c r="DB30" s="10"/>
      <c r="DC30" s="11"/>
      <c r="DD30" s="11"/>
      <c r="DE30" s="11"/>
      <c r="DF30" s="11"/>
      <c r="DG30" s="11"/>
      <c r="DH30" s="10"/>
      <c r="DI30" s="10"/>
      <c r="DJ30" s="11"/>
      <c r="DK30" s="11"/>
      <c r="DL30" s="11"/>
      <c r="DM30" s="11"/>
      <c r="DN30" s="40"/>
      <c r="DO30" s="10"/>
      <c r="DP30" s="10"/>
      <c r="DQ30" s="11"/>
      <c r="DR30" s="11"/>
      <c r="DS30" s="11"/>
      <c r="DT30" s="11"/>
      <c r="DU30" s="11"/>
      <c r="DV30" s="10"/>
      <c r="DW30" s="10"/>
      <c r="DX30" s="43"/>
      <c r="DY30" s="43"/>
      <c r="DZ30" s="43"/>
      <c r="EA30" s="43"/>
      <c r="EB30" s="43"/>
      <c r="EC30" s="10"/>
      <c r="ED30" s="10"/>
      <c r="EE30" s="43"/>
      <c r="EF30" s="43"/>
      <c r="EG30" s="43"/>
      <c r="EH30" s="43"/>
      <c r="EI30" s="43"/>
      <c r="EJ30" s="10"/>
      <c r="EK30" s="10"/>
      <c r="EL30" s="43"/>
      <c r="EM30" s="43"/>
      <c r="EN30" s="38"/>
      <c r="EO30" s="43"/>
      <c r="EP30" s="43"/>
      <c r="EQ30" s="10"/>
      <c r="ER30" s="10"/>
      <c r="ES30" s="44"/>
      <c r="ET30" s="43"/>
      <c r="EU30" s="43"/>
      <c r="EV30" s="43"/>
      <c r="EW30" s="43"/>
      <c r="EX30" s="10"/>
      <c r="EY30" s="10"/>
      <c r="EZ30" s="43"/>
      <c r="FA30" s="43"/>
      <c r="FB30" s="43"/>
      <c r="FC30" s="43"/>
      <c r="FD30" s="43"/>
      <c r="FE30" s="10"/>
      <c r="FF30" s="10"/>
      <c r="FG30" s="43"/>
      <c r="FH30" s="43"/>
      <c r="FI30" s="43"/>
      <c r="FJ30" s="43"/>
      <c r="FK30" s="43"/>
      <c r="FL30" s="10"/>
      <c r="FM30" s="10"/>
      <c r="FN30" s="43"/>
      <c r="FO30" s="43"/>
      <c r="FP30" s="43"/>
      <c r="FQ30" s="43"/>
      <c r="FR30" s="43"/>
      <c r="FS30" s="10"/>
      <c r="FT30" s="10"/>
      <c r="FU30" s="43"/>
      <c r="FV30" s="43"/>
      <c r="FW30" s="43"/>
      <c r="FX30" s="43"/>
      <c r="FY30" s="40"/>
      <c r="FZ30" s="10"/>
      <c r="GA30" s="10"/>
      <c r="GB30" s="11"/>
      <c r="GC30" s="11"/>
      <c r="GD30" s="11"/>
      <c r="GE30" s="11"/>
      <c r="GF30" s="11"/>
      <c r="GG30" s="10"/>
      <c r="GH30" s="10"/>
      <c r="GI30" s="11"/>
      <c r="GJ30" s="11"/>
      <c r="GK30" s="11"/>
      <c r="GL30" s="11"/>
      <c r="GM30" s="11"/>
      <c r="GN30" s="10"/>
      <c r="GO30" s="10"/>
      <c r="GP30" s="11"/>
      <c r="GQ30" s="11"/>
      <c r="GR30" s="11"/>
      <c r="GS30" s="11"/>
      <c r="GT30" s="11"/>
      <c r="GU30" s="10"/>
      <c r="GV30" s="10"/>
      <c r="GW30" s="11"/>
      <c r="GX30" s="11"/>
      <c r="GY30" s="11"/>
      <c r="GZ30" s="11"/>
      <c r="HA30" s="11"/>
      <c r="HB30" s="10"/>
      <c r="HC30" s="10"/>
      <c r="HD30" s="11"/>
      <c r="HE30" s="11"/>
      <c r="HF30" s="11"/>
      <c r="HG30" s="11"/>
      <c r="HH30" s="11"/>
      <c r="HI30" s="10"/>
      <c r="HJ30" s="10"/>
      <c r="HK30" s="11"/>
      <c r="HL30" s="11"/>
      <c r="HM30" s="11"/>
      <c r="HN30" s="11"/>
      <c r="HO30" s="11"/>
      <c r="HP30" s="10"/>
      <c r="HQ30" s="10"/>
      <c r="HR30" s="40"/>
      <c r="HS30" s="11"/>
      <c r="HT30" s="11"/>
      <c r="HU30" s="11"/>
      <c r="HV30" s="11"/>
      <c r="HW30" s="10"/>
      <c r="HX30" s="10"/>
      <c r="HY30" s="11"/>
      <c r="HZ30" s="11"/>
      <c r="IA30" s="11"/>
      <c r="IB30" s="11"/>
      <c r="IC30" s="11"/>
      <c r="ID30" s="10"/>
      <c r="IE30" s="10"/>
      <c r="IF30" s="11"/>
      <c r="IG30" s="11"/>
      <c r="IH30" s="11"/>
      <c r="II30" s="11"/>
      <c r="IJ30" s="11"/>
      <c r="IK30" s="10"/>
      <c r="IL30" s="10"/>
      <c r="IM30" s="11"/>
      <c r="IN30" s="2"/>
      <c r="IO30" s="11"/>
      <c r="IP30" s="11"/>
      <c r="IQ30" s="11"/>
      <c r="IR30" s="10"/>
      <c r="IS30" s="10"/>
      <c r="IT30" s="43"/>
      <c r="IU30" s="11"/>
      <c r="IV30" s="43"/>
      <c r="IW30" s="11"/>
      <c r="IX30" s="43"/>
      <c r="IY30" s="10"/>
      <c r="IZ30" s="10"/>
      <c r="JA30" s="11"/>
      <c r="JB30" s="11"/>
      <c r="JC30" s="43"/>
      <c r="JD30" s="11"/>
      <c r="JE30" s="11"/>
      <c r="JF30" s="10"/>
      <c r="JG30" s="10"/>
      <c r="JH30" s="11"/>
      <c r="JI30" s="11"/>
      <c r="JJ30" s="11"/>
      <c r="JK30" s="11"/>
      <c r="JL30" s="11"/>
      <c r="JM30" s="10"/>
      <c r="JN30" s="10"/>
      <c r="JO30" s="11"/>
      <c r="JP30" s="11"/>
      <c r="JQ30" s="11"/>
      <c r="JR30" s="11"/>
      <c r="JS30" s="40"/>
      <c r="JT30" s="10"/>
      <c r="JU30" s="10"/>
      <c r="JV30" s="11"/>
      <c r="JW30" s="11"/>
      <c r="JX30" s="11"/>
      <c r="JY30" s="11"/>
      <c r="JZ30" s="43"/>
      <c r="KA30" s="10"/>
      <c r="KB30" s="10"/>
      <c r="KC30" s="11"/>
      <c r="KD30" s="11"/>
      <c r="KE30" s="11"/>
      <c r="KF30" s="11"/>
      <c r="KG30" s="11"/>
      <c r="KH30" s="10"/>
      <c r="KI30" s="10"/>
      <c r="KJ30" s="11"/>
      <c r="KK30" s="11"/>
      <c r="KL30" s="11"/>
      <c r="KM30" s="11"/>
      <c r="KN30" s="11"/>
      <c r="KO30" s="10"/>
      <c r="KP30" s="10"/>
      <c r="KQ30" s="11"/>
      <c r="KR30" s="11"/>
      <c r="KS30" s="11"/>
      <c r="KT30" s="11"/>
      <c r="KU30" s="11"/>
      <c r="KV30" s="10"/>
      <c r="KW30" s="10"/>
      <c r="KX30" s="11"/>
      <c r="KY30" s="11"/>
      <c r="KZ30" s="11"/>
      <c r="LA30" s="11"/>
      <c r="LB30" s="11"/>
      <c r="LC30" s="10"/>
      <c r="LD30" s="10"/>
      <c r="LE30" s="11"/>
      <c r="LF30" s="11"/>
      <c r="LG30" s="11"/>
      <c r="LH30" s="11"/>
      <c r="LI30" s="11"/>
      <c r="LJ30" s="10"/>
      <c r="LK30" s="10"/>
      <c r="LL30" s="11"/>
      <c r="LM30" s="11"/>
      <c r="LN30" s="11"/>
      <c r="LO30" s="11"/>
      <c r="LP30" s="11"/>
      <c r="LQ30" s="10"/>
      <c r="LR30" s="10"/>
      <c r="LS30" s="43"/>
      <c r="LT30" s="43"/>
      <c r="LU30" s="43"/>
      <c r="LV30" s="43"/>
      <c r="LW30" s="43"/>
      <c r="LX30" s="10"/>
      <c r="LY30" s="10"/>
      <c r="LZ30" s="43"/>
      <c r="MA30" s="43"/>
      <c r="MB30" s="43"/>
      <c r="MC30" s="43"/>
      <c r="MD30" s="43"/>
      <c r="ME30" s="10"/>
      <c r="MF30" s="10"/>
      <c r="MG30" s="17" t="s">
        <v>3</v>
      </c>
      <c r="MH30" s="11"/>
      <c r="MI30" s="11"/>
      <c r="MJ30" s="11"/>
      <c r="MK30" s="11"/>
      <c r="ML30" s="10"/>
      <c r="MM30" s="10"/>
      <c r="MN30" s="11"/>
      <c r="MO30" s="11"/>
      <c r="MP30" s="11"/>
      <c r="MQ30" s="11"/>
      <c r="MR30" s="11"/>
      <c r="MS30" s="10"/>
      <c r="MT30" s="10"/>
      <c r="MU30" s="11"/>
      <c r="MV30" s="11"/>
      <c r="MW30" s="11"/>
      <c r="MX30" s="11"/>
      <c r="MY30" s="11"/>
      <c r="MZ30" s="10"/>
      <c r="NA30" s="10"/>
      <c r="NB30" s="11"/>
      <c r="NC30" s="11"/>
      <c r="ND30" s="11"/>
      <c r="NE30" s="11"/>
      <c r="NF30" s="11"/>
      <c r="NG30" s="10"/>
      <c r="NH30" s="10"/>
      <c r="NI30" s="11"/>
      <c r="NJ30" s="11"/>
      <c r="NK30" s="11"/>
      <c r="NL30" s="11"/>
    </row>
    <row r="31" spans="1:376" customFormat="1" ht="15" customHeight="1">
      <c r="A31" s="39"/>
      <c r="B31" s="29" t="s">
        <v>79</v>
      </c>
      <c r="C31" s="29" t="s">
        <v>36</v>
      </c>
      <c r="D31" s="29" t="s">
        <v>49</v>
      </c>
      <c r="E31" s="37">
        <v>0</v>
      </c>
      <c r="F31" s="29">
        <v>23</v>
      </c>
      <c r="G31" s="29">
        <v>2</v>
      </c>
      <c r="H31" s="29">
        <f t="shared" si="4"/>
        <v>23</v>
      </c>
      <c r="I31" s="30">
        <f t="shared" si="5"/>
        <v>2</v>
      </c>
      <c r="J31" s="30">
        <f t="shared" si="6"/>
        <v>0</v>
      </c>
      <c r="K31" s="30">
        <f t="shared" si="7"/>
        <v>0</v>
      </c>
      <c r="L31" s="49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6"/>
      <c r="DY31" s="46"/>
      <c r="DZ31" s="46"/>
      <c r="EA31" s="46"/>
      <c r="EB31" s="46"/>
      <c r="EC31" s="45"/>
      <c r="ED31" s="45"/>
      <c r="EE31" s="46"/>
      <c r="EF31" s="46"/>
      <c r="EG31" s="46"/>
      <c r="EH31" s="46"/>
      <c r="EI31" s="46"/>
      <c r="EJ31" s="45"/>
      <c r="EK31" s="45"/>
      <c r="EL31" s="46"/>
      <c r="EM31" s="46"/>
      <c r="EN31" s="50"/>
      <c r="EO31" s="46"/>
      <c r="EP31" s="46"/>
      <c r="EQ31" s="45"/>
      <c r="ER31" s="45"/>
      <c r="ES31" s="46"/>
      <c r="ET31" s="46"/>
      <c r="EU31" s="46"/>
      <c r="EV31" s="46"/>
      <c r="EW31" s="46"/>
      <c r="EX31" s="45"/>
      <c r="EY31" s="45"/>
      <c r="EZ31" s="46"/>
      <c r="FA31" s="46"/>
      <c r="FB31" s="46"/>
      <c r="FC31" s="46"/>
      <c r="FD31" s="46"/>
      <c r="FE31" s="45"/>
      <c r="FF31" s="45"/>
      <c r="FG31" s="46"/>
      <c r="FH31" s="46"/>
      <c r="FI31" s="46"/>
      <c r="FJ31" s="46"/>
      <c r="FK31" s="46"/>
      <c r="FL31" s="45"/>
      <c r="FM31" s="45"/>
      <c r="FN31" s="46"/>
      <c r="FO31" s="46"/>
      <c r="FP31" s="46"/>
      <c r="FQ31" s="46"/>
      <c r="FR31" s="46"/>
      <c r="FS31" s="45"/>
      <c r="FT31" s="45"/>
      <c r="FU31" s="46"/>
      <c r="FV31" s="46"/>
      <c r="FW31" s="46"/>
      <c r="FX31" s="46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  <c r="GL31" s="45"/>
      <c r="GM31" s="45"/>
      <c r="GN31" s="45"/>
      <c r="GO31" s="45"/>
      <c r="GP31" s="45"/>
      <c r="GQ31" s="45"/>
      <c r="GR31" s="45"/>
      <c r="GS31" s="45"/>
      <c r="GT31" s="45"/>
      <c r="GU31" s="45"/>
      <c r="GV31" s="45"/>
      <c r="GW31" s="45"/>
      <c r="GX31" s="45"/>
      <c r="GY31" s="45"/>
      <c r="GZ31" s="45"/>
      <c r="HA31" s="45"/>
      <c r="HB31" s="45"/>
      <c r="HC31" s="45"/>
      <c r="HD31" s="45"/>
      <c r="HE31" s="45"/>
      <c r="HF31" s="45"/>
      <c r="HG31" s="45"/>
      <c r="HH31" s="45"/>
      <c r="HI31" s="45"/>
      <c r="HJ31" s="45"/>
      <c r="HK31" s="45"/>
      <c r="HL31" s="45"/>
      <c r="HM31" s="45"/>
      <c r="HN31" s="45"/>
      <c r="HO31" s="45"/>
      <c r="HP31" s="45"/>
      <c r="HQ31" s="45"/>
      <c r="HR31" s="45"/>
      <c r="HS31" s="45"/>
      <c r="HT31" s="45"/>
      <c r="HU31" s="45"/>
      <c r="HV31" s="45"/>
      <c r="HW31" s="45"/>
      <c r="HX31" s="45"/>
      <c r="HY31" s="45"/>
      <c r="HZ31" s="45"/>
      <c r="IA31" s="45"/>
      <c r="IB31" s="45"/>
      <c r="IC31" s="45"/>
      <c r="ID31" s="45"/>
      <c r="IE31" s="45"/>
      <c r="IF31" s="45"/>
      <c r="IG31" s="45"/>
      <c r="IH31" s="45"/>
      <c r="II31" s="45"/>
      <c r="IJ31" s="45"/>
      <c r="IK31" s="45"/>
      <c r="IL31" s="45"/>
      <c r="IM31" s="45"/>
      <c r="IN31" s="51"/>
      <c r="IO31" s="45"/>
      <c r="IP31" s="45"/>
      <c r="IQ31" s="45"/>
      <c r="IR31" s="45"/>
      <c r="IS31" s="45"/>
      <c r="IT31" s="46"/>
      <c r="IU31" s="45"/>
      <c r="IV31" s="46"/>
      <c r="IW31" s="45"/>
      <c r="IX31" s="46"/>
      <c r="IY31" s="45"/>
      <c r="IZ31" s="45"/>
      <c r="JA31" s="45"/>
      <c r="JB31" s="45"/>
      <c r="JC31" s="46"/>
      <c r="JD31" s="45"/>
      <c r="JE31" s="45"/>
      <c r="JF31" s="45"/>
      <c r="JG31" s="45"/>
      <c r="JH31" s="45"/>
      <c r="JI31" s="45"/>
      <c r="JJ31" s="45"/>
      <c r="JK31" s="45"/>
      <c r="JL31" s="45"/>
      <c r="JM31" s="45"/>
      <c r="JN31" s="45"/>
      <c r="JO31" s="45"/>
      <c r="JP31" s="45"/>
      <c r="JQ31" s="45"/>
      <c r="JR31" s="45"/>
      <c r="JS31" s="45"/>
      <c r="JT31" s="45"/>
      <c r="JU31" s="45"/>
      <c r="JV31" s="45"/>
      <c r="JW31" s="45"/>
      <c r="JX31" s="45"/>
      <c r="JY31" s="45"/>
      <c r="JZ31" s="46"/>
      <c r="KA31" s="45"/>
      <c r="KB31" s="45"/>
      <c r="KC31" s="45"/>
      <c r="KD31" s="45"/>
      <c r="KE31" s="45"/>
      <c r="KF31" s="45"/>
      <c r="KG31" s="45"/>
      <c r="KH31" s="45"/>
      <c r="KI31" s="45"/>
      <c r="KJ31" s="45"/>
      <c r="KK31" s="45"/>
      <c r="KL31" s="45"/>
      <c r="KM31" s="45"/>
      <c r="KN31" s="45"/>
      <c r="KO31" s="45"/>
      <c r="KP31" s="45"/>
      <c r="KQ31" s="45"/>
      <c r="KR31" s="45"/>
      <c r="KS31" s="45"/>
      <c r="KT31" s="45"/>
      <c r="KU31" s="45"/>
      <c r="KV31" s="45"/>
      <c r="KW31" s="45"/>
      <c r="KX31" s="45"/>
      <c r="KY31" s="45"/>
      <c r="KZ31" s="45"/>
      <c r="LA31" s="45"/>
      <c r="LB31" s="45"/>
      <c r="LC31" s="45"/>
      <c r="LD31" s="45"/>
      <c r="LE31" s="45"/>
      <c r="LF31" s="45"/>
      <c r="LG31" s="45"/>
      <c r="LH31" s="45"/>
      <c r="LI31" s="45"/>
      <c r="LJ31" s="45"/>
      <c r="LK31" s="45"/>
      <c r="LL31" s="45"/>
      <c r="LM31" s="45"/>
      <c r="LN31" s="45"/>
      <c r="LO31" s="45"/>
      <c r="LP31" s="45"/>
      <c r="LQ31" s="45"/>
      <c r="LR31" s="45"/>
      <c r="LS31" s="46"/>
      <c r="LT31" s="46"/>
      <c r="LU31" s="46"/>
      <c r="LV31" s="46"/>
      <c r="LW31" s="46"/>
      <c r="LX31" s="45"/>
      <c r="LY31" s="45"/>
      <c r="LZ31" s="46"/>
      <c r="MA31" s="46"/>
      <c r="MB31" s="43"/>
      <c r="MC31" s="43"/>
      <c r="MD31" s="43"/>
      <c r="ME31" s="10"/>
      <c r="MF31" s="10"/>
      <c r="MG31" s="11"/>
      <c r="MH31" s="11"/>
      <c r="MI31" s="11"/>
      <c r="MJ31" s="11"/>
      <c r="MK31" s="11"/>
      <c r="ML31" s="10"/>
      <c r="MM31" s="10"/>
      <c r="MN31" s="11"/>
      <c r="MO31" s="11"/>
      <c r="MP31" s="11"/>
      <c r="MQ31" s="11"/>
      <c r="MR31" s="11"/>
      <c r="MS31" s="10"/>
      <c r="MT31" s="10"/>
      <c r="MU31" s="11"/>
      <c r="MV31" s="11"/>
      <c r="MW31" s="11"/>
      <c r="MX31" s="11"/>
      <c r="MY31" s="11"/>
      <c r="MZ31" s="10"/>
      <c r="NA31" s="10"/>
      <c r="NB31" s="11"/>
      <c r="NC31" s="11"/>
      <c r="ND31" s="11"/>
      <c r="NE31" s="11"/>
      <c r="NF31" s="11"/>
      <c r="NG31" s="10"/>
      <c r="NH31" s="10"/>
      <c r="NI31" s="11"/>
      <c r="NJ31" s="11"/>
      <c r="NK31" s="11"/>
      <c r="NL31" s="11"/>
    </row>
    <row r="32" spans="1:376" customFormat="1" ht="15" customHeight="1">
      <c r="A32" s="39"/>
      <c r="B32" s="29" t="s">
        <v>80</v>
      </c>
      <c r="C32" s="29" t="s">
        <v>36</v>
      </c>
      <c r="D32" s="29" t="s">
        <v>49</v>
      </c>
      <c r="E32" s="37">
        <v>0</v>
      </c>
      <c r="F32" s="29">
        <v>23</v>
      </c>
      <c r="G32" s="29">
        <v>2</v>
      </c>
      <c r="H32" s="29">
        <f t="shared" ref="H32" si="8">E32+F32-COUNTIF(L32:NL32,$C$2)</f>
        <v>23</v>
      </c>
      <c r="I32" s="30">
        <f t="shared" ref="I32" si="9">G32-COUNTIF(L32:NL32,$C$3)</f>
        <v>2</v>
      </c>
      <c r="J32" s="30">
        <f t="shared" ref="J32" si="10">COUNTIF(K32:NJ32,$C$4)</f>
        <v>0</v>
      </c>
      <c r="K32" s="30">
        <f t="shared" ref="K32" si="11">COUNTIF(L32:NL32,$C$5)</f>
        <v>0</v>
      </c>
      <c r="L32" s="49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6"/>
      <c r="DY32" s="46"/>
      <c r="DZ32" s="46"/>
      <c r="EA32" s="46"/>
      <c r="EB32" s="46"/>
      <c r="EC32" s="45"/>
      <c r="ED32" s="45"/>
      <c r="EE32" s="46"/>
      <c r="EF32" s="46"/>
      <c r="EG32" s="46"/>
      <c r="EH32" s="46"/>
      <c r="EI32" s="46"/>
      <c r="EJ32" s="45"/>
      <c r="EK32" s="45"/>
      <c r="EL32" s="46"/>
      <c r="EM32" s="46"/>
      <c r="EN32" s="50"/>
      <c r="EO32" s="46"/>
      <c r="EP32" s="46"/>
      <c r="EQ32" s="45"/>
      <c r="ER32" s="45"/>
      <c r="ES32" s="46"/>
      <c r="ET32" s="46"/>
      <c r="EU32" s="46"/>
      <c r="EV32" s="46"/>
      <c r="EW32" s="46"/>
      <c r="EX32" s="45"/>
      <c r="EY32" s="45"/>
      <c r="EZ32" s="46"/>
      <c r="FA32" s="46"/>
      <c r="FB32" s="46"/>
      <c r="FC32" s="46"/>
      <c r="FD32" s="46"/>
      <c r="FE32" s="45"/>
      <c r="FF32" s="45"/>
      <c r="FG32" s="46"/>
      <c r="FH32" s="46"/>
      <c r="FI32" s="46"/>
      <c r="FJ32" s="46"/>
      <c r="FK32" s="46"/>
      <c r="FL32" s="45"/>
      <c r="FM32" s="45"/>
      <c r="FN32" s="46"/>
      <c r="FO32" s="46"/>
      <c r="FP32" s="46"/>
      <c r="FQ32" s="46"/>
      <c r="FR32" s="46"/>
      <c r="FS32" s="45"/>
      <c r="FT32" s="45"/>
      <c r="FU32" s="46"/>
      <c r="FV32" s="46"/>
      <c r="FW32" s="46"/>
      <c r="FX32" s="46"/>
      <c r="FY32" s="45"/>
      <c r="FZ32" s="45"/>
      <c r="GA32" s="45"/>
      <c r="GB32" s="45"/>
      <c r="GC32" s="45"/>
      <c r="GD32" s="45"/>
      <c r="GE32" s="45"/>
      <c r="GF32" s="45"/>
      <c r="GG32" s="45"/>
      <c r="GH32" s="45"/>
      <c r="GI32" s="45"/>
      <c r="GJ32" s="45"/>
      <c r="GK32" s="45"/>
      <c r="GL32" s="45"/>
      <c r="GM32" s="45"/>
      <c r="GN32" s="45"/>
      <c r="GO32" s="45"/>
      <c r="GP32" s="45"/>
      <c r="GQ32" s="45"/>
      <c r="GR32" s="45"/>
      <c r="GS32" s="45"/>
      <c r="GT32" s="45"/>
      <c r="GU32" s="45"/>
      <c r="GV32" s="45"/>
      <c r="GW32" s="45"/>
      <c r="GX32" s="45"/>
      <c r="GY32" s="45"/>
      <c r="GZ32" s="45"/>
      <c r="HA32" s="45"/>
      <c r="HB32" s="45"/>
      <c r="HC32" s="45"/>
      <c r="HD32" s="45"/>
      <c r="HE32" s="45"/>
      <c r="HF32" s="45"/>
      <c r="HG32" s="45"/>
      <c r="HH32" s="45"/>
      <c r="HI32" s="45"/>
      <c r="HJ32" s="45"/>
      <c r="HK32" s="45"/>
      <c r="HL32" s="45"/>
      <c r="HM32" s="45"/>
      <c r="HN32" s="45"/>
      <c r="HO32" s="45"/>
      <c r="HP32" s="45"/>
      <c r="HQ32" s="45"/>
      <c r="HR32" s="45"/>
      <c r="HS32" s="45"/>
      <c r="HT32" s="45"/>
      <c r="HU32" s="45"/>
      <c r="HV32" s="45"/>
      <c r="HW32" s="45"/>
      <c r="HX32" s="45"/>
      <c r="HY32" s="45"/>
      <c r="HZ32" s="45"/>
      <c r="IA32" s="45"/>
      <c r="IB32" s="45"/>
      <c r="IC32" s="45"/>
      <c r="ID32" s="45"/>
      <c r="IE32" s="45"/>
      <c r="IF32" s="45"/>
      <c r="IG32" s="45"/>
      <c r="IH32" s="45"/>
      <c r="II32" s="45"/>
      <c r="IJ32" s="45"/>
      <c r="IK32" s="45"/>
      <c r="IL32" s="45"/>
      <c r="IM32" s="45"/>
      <c r="IN32" s="51"/>
      <c r="IO32" s="45"/>
      <c r="IP32" s="45"/>
      <c r="IQ32" s="45"/>
      <c r="IR32" s="45"/>
      <c r="IS32" s="45"/>
      <c r="IT32" s="46"/>
      <c r="IU32" s="45"/>
      <c r="IV32" s="46"/>
      <c r="IW32" s="45"/>
      <c r="IX32" s="46"/>
      <c r="IY32" s="45"/>
      <c r="IZ32" s="45"/>
      <c r="JA32" s="45"/>
      <c r="JB32" s="45"/>
      <c r="JC32" s="46"/>
      <c r="JD32" s="45"/>
      <c r="JE32" s="45"/>
      <c r="JF32" s="45"/>
      <c r="JG32" s="45"/>
      <c r="JH32" s="45"/>
      <c r="JI32" s="45"/>
      <c r="JJ32" s="45"/>
      <c r="JK32" s="45"/>
      <c r="JL32" s="45"/>
      <c r="JM32" s="45"/>
      <c r="JN32" s="45"/>
      <c r="JO32" s="45"/>
      <c r="JP32" s="45"/>
      <c r="JQ32" s="45"/>
      <c r="JR32" s="45"/>
      <c r="JS32" s="45"/>
      <c r="JT32" s="45"/>
      <c r="JU32" s="45"/>
      <c r="JV32" s="45"/>
      <c r="JW32" s="45"/>
      <c r="JX32" s="45"/>
      <c r="JY32" s="45"/>
      <c r="JZ32" s="46"/>
      <c r="KA32" s="45"/>
      <c r="KB32" s="45"/>
      <c r="KC32" s="45"/>
      <c r="KD32" s="45"/>
      <c r="KE32" s="45"/>
      <c r="KF32" s="45"/>
      <c r="KG32" s="45"/>
      <c r="KH32" s="45"/>
      <c r="KI32" s="45"/>
      <c r="KJ32" s="45"/>
      <c r="KK32" s="45"/>
      <c r="KL32" s="45"/>
      <c r="KM32" s="45"/>
      <c r="KN32" s="45"/>
      <c r="KO32" s="45"/>
      <c r="KP32" s="45"/>
      <c r="KQ32" s="45"/>
      <c r="KR32" s="45"/>
      <c r="KS32" s="45"/>
      <c r="KT32" s="45"/>
      <c r="KU32" s="45"/>
      <c r="KV32" s="45"/>
      <c r="KW32" s="45"/>
      <c r="KX32" s="45"/>
      <c r="KY32" s="45"/>
      <c r="KZ32" s="45"/>
      <c r="LA32" s="45"/>
      <c r="LB32" s="45"/>
      <c r="LC32" s="45"/>
      <c r="LD32" s="45"/>
      <c r="LE32" s="45"/>
      <c r="LF32" s="45"/>
      <c r="LG32" s="45"/>
      <c r="LH32" s="45"/>
      <c r="LI32" s="45"/>
      <c r="LJ32" s="45"/>
      <c r="LK32" s="45"/>
      <c r="LL32" s="45"/>
      <c r="LM32" s="45"/>
      <c r="LN32" s="45"/>
      <c r="LO32" s="45"/>
      <c r="LP32" s="45"/>
      <c r="LQ32" s="45"/>
      <c r="LR32" s="45"/>
      <c r="LS32" s="46"/>
      <c r="LT32" s="46"/>
      <c r="LU32" s="46"/>
      <c r="LV32" s="46"/>
      <c r="LW32" s="46"/>
      <c r="LX32" s="45"/>
      <c r="LY32" s="45"/>
      <c r="LZ32" s="46"/>
      <c r="MA32" s="46"/>
      <c r="MB32" s="46"/>
      <c r="MC32" s="46"/>
      <c r="MD32" s="46"/>
      <c r="ME32" s="45"/>
      <c r="MF32" s="45"/>
      <c r="MG32" s="45"/>
      <c r="MH32" s="45"/>
      <c r="MI32" s="45"/>
      <c r="MJ32" s="45"/>
      <c r="MK32" s="45"/>
      <c r="ML32" s="45"/>
      <c r="MM32" s="45"/>
      <c r="MN32" s="45"/>
      <c r="MO32" s="45"/>
      <c r="MP32" s="45"/>
      <c r="MQ32" s="45"/>
      <c r="MR32" s="45"/>
      <c r="MS32" s="45"/>
      <c r="MT32" s="45"/>
      <c r="MU32" s="45"/>
      <c r="MV32" s="45"/>
      <c r="MW32" s="45"/>
      <c r="MX32" s="45"/>
      <c r="MY32" s="45"/>
      <c r="MZ32" s="10"/>
      <c r="NA32" s="10"/>
      <c r="NB32" s="11"/>
      <c r="NC32" s="11"/>
      <c r="ND32" s="11"/>
      <c r="NE32" s="11"/>
      <c r="NF32" s="11"/>
      <c r="NG32" s="10"/>
      <c r="NH32" s="10"/>
      <c r="NI32" s="11"/>
      <c r="NJ32" s="11"/>
      <c r="NK32" s="11"/>
      <c r="NL32" s="11"/>
    </row>
    <row r="33" spans="1:376" customFormat="1" ht="15" customHeight="1">
      <c r="A33" s="39"/>
      <c r="B33" s="29" t="s">
        <v>81</v>
      </c>
      <c r="C33" s="29" t="s">
        <v>30</v>
      </c>
      <c r="D33" s="29" t="s">
        <v>70</v>
      </c>
      <c r="E33" s="37">
        <v>0</v>
      </c>
      <c r="F33" s="29">
        <v>23</v>
      </c>
      <c r="G33" s="29">
        <v>2</v>
      </c>
      <c r="H33" s="29">
        <f t="shared" si="0"/>
        <v>12</v>
      </c>
      <c r="I33" s="30">
        <f t="shared" si="1"/>
        <v>2</v>
      </c>
      <c r="J33" s="30">
        <f t="shared" si="2"/>
        <v>0</v>
      </c>
      <c r="K33" s="30">
        <f t="shared" si="3"/>
        <v>0</v>
      </c>
      <c r="L33" s="41"/>
      <c r="M33" s="40"/>
      <c r="N33" s="10"/>
      <c r="O33" s="10"/>
      <c r="P33" s="11"/>
      <c r="Q33" s="11"/>
      <c r="R33" s="11"/>
      <c r="S33" s="11"/>
      <c r="T33" s="11"/>
      <c r="U33" s="10"/>
      <c r="V33" s="10"/>
      <c r="W33" s="11"/>
      <c r="X33" s="11"/>
      <c r="Y33" s="11"/>
      <c r="Z33" s="11"/>
      <c r="AA33" s="11"/>
      <c r="AB33" s="10"/>
      <c r="AC33" s="10"/>
      <c r="AD33" s="11"/>
      <c r="AE33" s="11"/>
      <c r="AF33" s="11"/>
      <c r="AG33" s="11"/>
      <c r="AH33" s="11"/>
      <c r="AI33" s="10"/>
      <c r="AJ33" s="10"/>
      <c r="AK33" s="11"/>
      <c r="AL33" s="11"/>
      <c r="AM33" s="11"/>
      <c r="AN33" s="11"/>
      <c r="AO33" s="11"/>
      <c r="AP33" s="10"/>
      <c r="AQ33" s="10"/>
      <c r="AR33" s="11"/>
      <c r="AS33" s="11"/>
      <c r="AT33" s="11"/>
      <c r="AU33" s="11"/>
      <c r="AV33" s="11"/>
      <c r="AW33" s="10"/>
      <c r="AX33" s="10"/>
      <c r="AY33" s="11"/>
      <c r="AZ33" s="11"/>
      <c r="BA33" s="11"/>
      <c r="BB33" s="11"/>
      <c r="BC33" s="11"/>
      <c r="BD33" s="10"/>
      <c r="BE33" s="10"/>
      <c r="BF33" s="11"/>
      <c r="BG33" s="11"/>
      <c r="BH33" s="11"/>
      <c r="BI33" s="11"/>
      <c r="BJ33" s="11"/>
      <c r="BK33" s="10"/>
      <c r="BL33" s="10"/>
      <c r="BM33" s="11"/>
      <c r="BN33" s="11"/>
      <c r="BO33" s="11"/>
      <c r="BP33" s="11"/>
      <c r="BQ33" s="11"/>
      <c r="BR33" s="10"/>
      <c r="BS33" s="10"/>
      <c r="BT33" s="11"/>
      <c r="BU33" s="11"/>
      <c r="BV33" s="11"/>
      <c r="BW33" s="11"/>
      <c r="BX33" s="11"/>
      <c r="BY33" s="10"/>
      <c r="BZ33" s="10"/>
      <c r="CA33" s="11"/>
      <c r="CB33" s="11"/>
      <c r="CC33" s="11"/>
      <c r="CD33" s="11"/>
      <c r="CE33" s="11"/>
      <c r="CF33" s="10"/>
      <c r="CG33" s="10"/>
      <c r="CH33" s="11"/>
      <c r="CI33" s="11"/>
      <c r="CJ33" s="11"/>
      <c r="CK33" s="11"/>
      <c r="CL33" s="11"/>
      <c r="CM33" s="10"/>
      <c r="CN33" s="10"/>
      <c r="CO33" s="40"/>
      <c r="CP33" s="11"/>
      <c r="CQ33" s="11"/>
      <c r="CR33" s="11"/>
      <c r="CS33" s="11"/>
      <c r="CT33" s="10"/>
      <c r="CU33" s="10"/>
      <c r="CV33" s="40"/>
      <c r="CW33" s="11"/>
      <c r="CX33" s="11"/>
      <c r="CY33" s="11"/>
      <c r="CZ33" s="11"/>
      <c r="DA33" s="10"/>
      <c r="DB33" s="10"/>
      <c r="DC33" s="11"/>
      <c r="DD33" s="11"/>
      <c r="DE33" s="11"/>
      <c r="DF33" s="11"/>
      <c r="DG33" s="11"/>
      <c r="DH33" s="10"/>
      <c r="DI33" s="10"/>
      <c r="DJ33" s="11"/>
      <c r="DK33" s="11"/>
      <c r="DL33" s="11"/>
      <c r="DM33" s="11"/>
      <c r="DN33" s="40"/>
      <c r="DO33" s="10"/>
      <c r="DP33" s="10"/>
      <c r="DQ33" s="11"/>
      <c r="DR33" s="11"/>
      <c r="DS33" s="11"/>
      <c r="DT33" s="11"/>
      <c r="DU33" s="11"/>
      <c r="DV33" s="10"/>
      <c r="DW33" s="10"/>
      <c r="DX33" s="43"/>
      <c r="DY33" s="43"/>
      <c r="DZ33" s="43"/>
      <c r="EA33" s="43"/>
      <c r="EB33" s="43"/>
      <c r="EC33" s="10"/>
      <c r="ED33" s="10"/>
      <c r="EE33" s="43"/>
      <c r="EF33" s="43"/>
      <c r="EG33" s="43"/>
      <c r="EH33" s="43"/>
      <c r="EI33" s="43"/>
      <c r="EJ33" s="10"/>
      <c r="EK33" s="10"/>
      <c r="EL33" s="43"/>
      <c r="EM33" s="43"/>
      <c r="EN33" s="43"/>
      <c r="EO33" s="43"/>
      <c r="EP33" s="43"/>
      <c r="EQ33" s="10"/>
      <c r="ER33" s="10"/>
      <c r="ES33" s="43"/>
      <c r="ET33" s="43"/>
      <c r="EU33" s="43"/>
      <c r="EV33" s="43"/>
      <c r="EW33" s="43"/>
      <c r="EX33" s="10"/>
      <c r="EY33" s="10"/>
      <c r="EZ33" s="43"/>
      <c r="FA33" s="43"/>
      <c r="FB33" s="43"/>
      <c r="FC33" s="43"/>
      <c r="FD33" s="43"/>
      <c r="FE33" s="10"/>
      <c r="FF33" s="10"/>
      <c r="FG33" s="43"/>
      <c r="FH33" s="43"/>
      <c r="FI33" s="43"/>
      <c r="FJ33" s="43"/>
      <c r="FK33" s="43"/>
      <c r="FL33" s="10"/>
      <c r="FM33" s="10"/>
      <c r="FN33" s="43"/>
      <c r="FO33" s="43"/>
      <c r="FP33" s="43"/>
      <c r="FQ33" s="43"/>
      <c r="FR33" s="43"/>
      <c r="FS33" s="10"/>
      <c r="FT33" s="10"/>
      <c r="FU33" s="43"/>
      <c r="FV33" s="43"/>
      <c r="FW33" s="43"/>
      <c r="FX33" s="43"/>
      <c r="FY33" s="40"/>
      <c r="FZ33" s="10"/>
      <c r="GA33" s="10"/>
      <c r="GB33" s="11"/>
      <c r="GC33" s="11"/>
      <c r="GD33" s="11"/>
      <c r="GE33" s="11"/>
      <c r="GF33" s="11"/>
      <c r="GG33" s="10"/>
      <c r="GH33" s="10"/>
      <c r="GI33" s="11"/>
      <c r="GJ33" s="11"/>
      <c r="GK33" s="11"/>
      <c r="GL33" s="11"/>
      <c r="GM33" s="11"/>
      <c r="GN33" s="10"/>
      <c r="GO33" s="10"/>
      <c r="GP33" s="11"/>
      <c r="GQ33" s="11"/>
      <c r="GR33" s="11"/>
      <c r="GS33" s="11"/>
      <c r="GT33" s="11"/>
      <c r="GU33" s="10"/>
      <c r="GV33" s="10"/>
      <c r="GW33" s="40"/>
      <c r="GX33" s="11"/>
      <c r="GY33" s="11"/>
      <c r="GZ33" s="11"/>
      <c r="HA33" s="11"/>
      <c r="HB33" s="10"/>
      <c r="HC33" s="10"/>
      <c r="HD33" s="11"/>
      <c r="HE33" s="11"/>
      <c r="HF33" s="11"/>
      <c r="HG33" s="11"/>
      <c r="HH33" s="11"/>
      <c r="HI33" s="10"/>
      <c r="HJ33" s="10"/>
      <c r="HK33" s="11"/>
      <c r="HL33" s="11"/>
      <c r="HM33" s="11"/>
      <c r="HN33" s="11"/>
      <c r="HO33" s="11"/>
      <c r="HP33" s="10"/>
      <c r="HQ33" s="10"/>
      <c r="HR33" s="40"/>
      <c r="HS33" s="11"/>
      <c r="HT33" s="11"/>
      <c r="HU33" s="11"/>
      <c r="HV33" s="11"/>
      <c r="HW33" s="10"/>
      <c r="HX33" s="10"/>
      <c r="HY33" s="11"/>
      <c r="HZ33" s="11"/>
      <c r="IA33" s="11"/>
      <c r="IB33" s="11"/>
      <c r="IC33" s="11"/>
      <c r="ID33" s="10"/>
      <c r="IE33" s="10"/>
      <c r="IF33" s="11"/>
      <c r="IG33" s="11"/>
      <c r="IH33" s="11"/>
      <c r="II33" s="11"/>
      <c r="IJ33" s="11"/>
      <c r="IK33" s="10"/>
      <c r="IL33" s="10"/>
      <c r="IM33" s="11"/>
      <c r="IN33" s="11"/>
      <c r="IO33" s="11"/>
      <c r="IP33" s="11"/>
      <c r="IQ33" s="11"/>
      <c r="IR33" s="10"/>
      <c r="IS33" s="10"/>
      <c r="IT33" s="15" t="s">
        <v>1</v>
      </c>
      <c r="IU33" s="11"/>
      <c r="IV33" s="11"/>
      <c r="IW33" s="11"/>
      <c r="IX33" s="11"/>
      <c r="IY33" s="10"/>
      <c r="IZ33" s="10"/>
      <c r="JA33" s="11"/>
      <c r="JB33" s="11"/>
      <c r="JC33" s="40"/>
      <c r="JD33" s="11"/>
      <c r="JE33" s="11"/>
      <c r="JF33" s="10"/>
      <c r="JG33" s="10"/>
      <c r="JH33" s="11"/>
      <c r="JI33" s="11"/>
      <c r="JJ33" s="11"/>
      <c r="JK33" s="11"/>
      <c r="JL33" s="11"/>
      <c r="JM33" s="10"/>
      <c r="JN33" s="10"/>
      <c r="JO33" s="11"/>
      <c r="JP33" s="11"/>
      <c r="JQ33" s="11"/>
      <c r="JR33" s="11"/>
      <c r="JS33" s="40"/>
      <c r="JT33" s="10"/>
      <c r="JU33" s="10"/>
      <c r="JV33" s="11"/>
      <c r="JW33" s="11"/>
      <c r="JX33" s="11"/>
      <c r="JY33" s="11"/>
      <c r="JZ33" s="11"/>
      <c r="KA33" s="10"/>
      <c r="KB33" s="10"/>
      <c r="KC33" s="11"/>
      <c r="KD33" s="11"/>
      <c r="KE33" s="11"/>
      <c r="KF33" s="11"/>
      <c r="KG33" s="11"/>
      <c r="KH33" s="10"/>
      <c r="KI33" s="10"/>
      <c r="KJ33" s="11"/>
      <c r="KK33" s="11"/>
      <c r="KL33" s="11"/>
      <c r="KM33" s="11"/>
      <c r="KN33" s="11"/>
      <c r="KO33" s="10"/>
      <c r="KP33" s="10"/>
      <c r="KQ33" s="11"/>
      <c r="KR33" s="11"/>
      <c r="KS33" s="11"/>
      <c r="KT33" s="11"/>
      <c r="KU33" s="11"/>
      <c r="KV33" s="10"/>
      <c r="KW33" s="10"/>
      <c r="KX33" s="11"/>
      <c r="KY33" s="11"/>
      <c r="KZ33" s="11"/>
      <c r="LA33" s="11"/>
      <c r="LB33" s="11"/>
      <c r="LC33" s="10"/>
      <c r="LD33" s="10"/>
      <c r="LE33" s="11"/>
      <c r="LF33" s="11"/>
      <c r="LG33" s="11"/>
      <c r="LH33" s="11"/>
      <c r="LI33" s="11"/>
      <c r="LJ33" s="10"/>
      <c r="LK33" s="10"/>
      <c r="LL33" s="11"/>
      <c r="LM33" s="11"/>
      <c r="LN33" s="11"/>
      <c r="LO33" s="11"/>
      <c r="LP33" s="11"/>
      <c r="LQ33" s="10"/>
      <c r="LR33" s="10"/>
      <c r="LS33" s="15" t="s">
        <v>1</v>
      </c>
      <c r="LT33" s="15" t="s">
        <v>1</v>
      </c>
      <c r="LU33" s="15" t="s">
        <v>1</v>
      </c>
      <c r="LV33" s="15" t="s">
        <v>1</v>
      </c>
      <c r="LW33" s="15" t="s">
        <v>1</v>
      </c>
      <c r="LX33" s="10"/>
      <c r="LY33" s="10"/>
      <c r="LZ33" s="15" t="s">
        <v>1</v>
      </c>
      <c r="MA33" s="15" t="s">
        <v>1</v>
      </c>
      <c r="MB33" s="15" t="s">
        <v>1</v>
      </c>
      <c r="MC33" s="15" t="s">
        <v>1</v>
      </c>
      <c r="MD33" s="15" t="s">
        <v>1</v>
      </c>
      <c r="ME33" s="10"/>
      <c r="MF33" s="10"/>
      <c r="MG33" s="11"/>
      <c r="MH33" s="11"/>
      <c r="MI33" s="11"/>
      <c r="MJ33" s="11"/>
      <c r="MK33" s="11"/>
      <c r="ML33" s="10"/>
      <c r="MM33" s="10"/>
      <c r="MN33" s="11"/>
      <c r="MO33" s="11"/>
      <c r="MP33" s="11"/>
      <c r="MQ33" s="11"/>
      <c r="MR33" s="11"/>
      <c r="MS33" s="10"/>
      <c r="MT33" s="10"/>
      <c r="MU33" s="11"/>
      <c r="MV33" s="11"/>
      <c r="MW33" s="11"/>
      <c r="MX33" s="11"/>
      <c r="MY33" s="11"/>
      <c r="MZ33" s="10"/>
      <c r="NA33" s="10"/>
      <c r="NB33" s="11"/>
      <c r="NC33" s="11"/>
      <c r="ND33" s="11"/>
      <c r="NE33" s="11"/>
      <c r="NF33" s="11"/>
      <c r="NG33" s="10"/>
      <c r="NH33" s="10"/>
      <c r="NI33" s="11"/>
      <c r="NJ33" s="11"/>
      <c r="NK33" s="11"/>
      <c r="NL33" s="11"/>
    </row>
    <row r="34" spans="1:376" customFormat="1" ht="15" customHeight="1">
      <c r="A34" s="39"/>
      <c r="B34" s="29" t="s">
        <v>82</v>
      </c>
      <c r="C34" s="29" t="s">
        <v>30</v>
      </c>
      <c r="D34" s="29" t="s">
        <v>70</v>
      </c>
      <c r="E34" s="37">
        <v>0</v>
      </c>
      <c r="F34" s="29">
        <v>23</v>
      </c>
      <c r="G34" s="29">
        <v>2</v>
      </c>
      <c r="H34" s="29">
        <f t="shared" ref="H34" si="12">E34+F34-COUNTIF(L34:NL34,$C$2)</f>
        <v>23</v>
      </c>
      <c r="I34" s="30">
        <f t="shared" ref="I34" si="13">G34-COUNTIF(L34:NL34,$C$3)</f>
        <v>2</v>
      </c>
      <c r="J34" s="30">
        <f t="shared" ref="J34" si="14">COUNTIF(K34:NJ34,$C$4)</f>
        <v>0</v>
      </c>
      <c r="K34" s="30">
        <f t="shared" ref="K34" si="15">COUNTIF(L34:NL34,$C$5)</f>
        <v>0</v>
      </c>
      <c r="L34" s="41"/>
      <c r="M34" s="40"/>
      <c r="N34" s="10"/>
      <c r="O34" s="10"/>
      <c r="P34" s="11"/>
      <c r="Q34" s="11"/>
      <c r="R34" s="11"/>
      <c r="S34" s="11"/>
      <c r="T34" s="11"/>
      <c r="U34" s="10"/>
      <c r="V34" s="10"/>
      <c r="W34" s="11"/>
      <c r="X34" s="11"/>
      <c r="Y34" s="11"/>
      <c r="Z34" s="11"/>
      <c r="AA34" s="11"/>
      <c r="AB34" s="10"/>
      <c r="AC34" s="10"/>
      <c r="AD34" s="11"/>
      <c r="AE34" s="11"/>
      <c r="AF34" s="11"/>
      <c r="AG34" s="11"/>
      <c r="AH34" s="11"/>
      <c r="AI34" s="10"/>
      <c r="AJ34" s="10"/>
      <c r="AK34" s="11"/>
      <c r="AL34" s="11"/>
      <c r="AM34" s="11"/>
      <c r="AN34" s="11"/>
      <c r="AO34" s="11"/>
      <c r="AP34" s="10"/>
      <c r="AQ34" s="10"/>
      <c r="AR34" s="11"/>
      <c r="AS34" s="11"/>
      <c r="AT34" s="11"/>
      <c r="AU34" s="11"/>
      <c r="AV34" s="11"/>
      <c r="AW34" s="10"/>
      <c r="AX34" s="10"/>
      <c r="AY34" s="11"/>
      <c r="AZ34" s="11"/>
      <c r="BA34" s="11"/>
      <c r="BB34" s="11"/>
      <c r="BC34" s="11"/>
      <c r="BD34" s="10"/>
      <c r="BE34" s="10"/>
      <c r="BF34" s="11"/>
      <c r="BG34" s="11"/>
      <c r="BH34" s="11"/>
      <c r="BI34" s="11"/>
      <c r="BJ34" s="11"/>
      <c r="BK34" s="10"/>
      <c r="BL34" s="10"/>
      <c r="BM34" s="11"/>
      <c r="BN34" s="11"/>
      <c r="BO34" s="11"/>
      <c r="BP34" s="11"/>
      <c r="BQ34" s="11"/>
      <c r="BR34" s="10"/>
      <c r="BS34" s="10"/>
      <c r="BT34" s="11"/>
      <c r="BU34" s="11"/>
      <c r="BV34" s="11"/>
      <c r="BW34" s="11"/>
      <c r="BX34" s="11"/>
      <c r="BY34" s="10"/>
      <c r="BZ34" s="10"/>
      <c r="CA34" s="11"/>
      <c r="CB34" s="11"/>
      <c r="CC34" s="11"/>
      <c r="CD34" s="11"/>
      <c r="CE34" s="11"/>
      <c r="CF34" s="10"/>
      <c r="CG34" s="10"/>
      <c r="CH34" s="11"/>
      <c r="CI34" s="11"/>
      <c r="CJ34" s="11"/>
      <c r="CK34" s="11"/>
      <c r="CL34" s="11"/>
      <c r="CM34" s="10"/>
      <c r="CN34" s="10"/>
      <c r="CO34" s="40"/>
      <c r="CP34" s="11"/>
      <c r="CQ34" s="11"/>
      <c r="CR34" s="11"/>
      <c r="CS34" s="11"/>
      <c r="CT34" s="10"/>
      <c r="CU34" s="10"/>
      <c r="CV34" s="40"/>
      <c r="CW34" s="11"/>
      <c r="CX34" s="11"/>
      <c r="CY34" s="11"/>
      <c r="CZ34" s="11"/>
      <c r="DA34" s="10"/>
      <c r="DB34" s="10"/>
      <c r="DC34" s="11"/>
      <c r="DD34" s="11"/>
      <c r="DE34" s="11"/>
      <c r="DF34" s="11"/>
      <c r="DG34" s="11"/>
      <c r="DH34" s="10"/>
      <c r="DI34" s="10"/>
      <c r="DJ34" s="11"/>
      <c r="DK34" s="11"/>
      <c r="DL34" s="11"/>
      <c r="DM34" s="11"/>
      <c r="DN34" s="40"/>
      <c r="DO34" s="10"/>
      <c r="DP34" s="10"/>
      <c r="DQ34" s="11"/>
      <c r="DR34" s="11"/>
      <c r="DS34" s="11"/>
      <c r="DT34" s="11"/>
      <c r="DU34" s="11"/>
      <c r="DV34" s="10"/>
      <c r="DW34" s="10"/>
      <c r="DX34" s="43"/>
      <c r="DY34" s="43"/>
      <c r="DZ34" s="43"/>
      <c r="EA34" s="43"/>
      <c r="EB34" s="43"/>
      <c r="EC34" s="10"/>
      <c r="ED34" s="10"/>
      <c r="EE34" s="43"/>
      <c r="EF34" s="43"/>
      <c r="EG34" s="43"/>
      <c r="EH34" s="43"/>
      <c r="EI34" s="43"/>
      <c r="EJ34" s="10"/>
      <c r="EK34" s="10"/>
      <c r="EL34" s="43"/>
      <c r="EM34" s="43"/>
      <c r="EN34" s="43"/>
      <c r="EO34" s="43"/>
      <c r="EP34" s="43"/>
      <c r="EQ34" s="10"/>
      <c r="ER34" s="10"/>
      <c r="ES34" s="43"/>
      <c r="ET34" s="43"/>
      <c r="EU34" s="43"/>
      <c r="EV34" s="43"/>
      <c r="EW34" s="43"/>
      <c r="EX34" s="10"/>
      <c r="EY34" s="10"/>
      <c r="EZ34" s="43"/>
      <c r="FA34" s="43"/>
      <c r="FB34" s="43"/>
      <c r="FC34" s="43"/>
      <c r="FD34" s="43"/>
      <c r="FE34" s="10"/>
      <c r="FF34" s="10"/>
      <c r="FG34" s="43"/>
      <c r="FH34" s="43"/>
      <c r="FI34" s="43"/>
      <c r="FJ34" s="43"/>
      <c r="FK34" s="43"/>
      <c r="FL34" s="10"/>
      <c r="FM34" s="10"/>
      <c r="FN34" s="43"/>
      <c r="FO34" s="43"/>
      <c r="FP34" s="43"/>
      <c r="FQ34" s="43"/>
      <c r="FR34" s="43"/>
      <c r="FS34" s="10"/>
      <c r="FT34" s="10"/>
      <c r="FU34" s="43"/>
      <c r="FV34" s="43"/>
      <c r="FW34" s="43"/>
      <c r="FX34" s="43"/>
      <c r="FY34" s="40"/>
      <c r="FZ34" s="10"/>
      <c r="GA34" s="10"/>
      <c r="GB34" s="11"/>
      <c r="GC34" s="11"/>
      <c r="GD34" s="11"/>
      <c r="GE34" s="11"/>
      <c r="GF34" s="11"/>
      <c r="GG34" s="10"/>
      <c r="GH34" s="10"/>
      <c r="GI34" s="11"/>
      <c r="GJ34" s="11"/>
      <c r="GK34" s="48"/>
      <c r="GL34" s="48"/>
      <c r="GM34" s="48"/>
      <c r="GN34" s="10"/>
      <c r="GO34" s="10"/>
      <c r="GP34" s="48"/>
      <c r="GQ34" s="48"/>
      <c r="GR34" s="48"/>
      <c r="GS34" s="11"/>
      <c r="GT34" s="11"/>
      <c r="GU34" s="10"/>
      <c r="GV34" s="10"/>
      <c r="GW34" s="44"/>
      <c r="GX34" s="11"/>
      <c r="GY34" s="11"/>
      <c r="GZ34" s="11"/>
      <c r="HA34" s="11"/>
      <c r="HB34" s="10"/>
      <c r="HC34" s="10"/>
      <c r="HD34" s="11"/>
      <c r="HE34" s="11"/>
      <c r="HF34" s="11"/>
      <c r="HG34" s="11"/>
      <c r="HH34" s="11"/>
      <c r="HI34" s="10"/>
      <c r="HJ34" s="10"/>
      <c r="HK34" s="11"/>
      <c r="HL34" s="11"/>
      <c r="HM34" s="11"/>
      <c r="HN34" s="11"/>
      <c r="HO34" s="11"/>
      <c r="HP34" s="10"/>
      <c r="HQ34" s="10"/>
      <c r="HR34" s="40"/>
      <c r="HS34" s="11"/>
      <c r="HT34" s="11"/>
      <c r="HU34" s="11"/>
      <c r="HV34" s="11"/>
      <c r="HW34" s="10"/>
      <c r="HX34" s="10"/>
      <c r="HY34" s="11"/>
      <c r="HZ34" s="11"/>
      <c r="IA34" s="11"/>
      <c r="IB34" s="11"/>
      <c r="IC34" s="11"/>
      <c r="ID34" s="10"/>
      <c r="IE34" s="10"/>
      <c r="IF34" s="43"/>
      <c r="IG34" s="43"/>
      <c r="IH34" s="43"/>
      <c r="II34" s="11"/>
      <c r="IJ34" s="11"/>
      <c r="IK34" s="10"/>
      <c r="IL34" s="10"/>
      <c r="IM34" s="11"/>
      <c r="IN34" s="11"/>
      <c r="IO34" s="11"/>
      <c r="IP34" s="11"/>
      <c r="IQ34" s="11"/>
      <c r="IR34" s="10"/>
      <c r="IS34" s="10"/>
      <c r="IT34" s="11"/>
      <c r="IU34" s="11"/>
      <c r="IV34" s="11"/>
      <c r="IW34" s="11"/>
      <c r="IX34" s="11"/>
      <c r="IY34" s="10"/>
      <c r="IZ34" s="10"/>
      <c r="JA34" s="11"/>
      <c r="JB34" s="43"/>
      <c r="JC34" s="40"/>
      <c r="JD34" s="11"/>
      <c r="JE34" s="11"/>
      <c r="JF34" s="10"/>
      <c r="JG34" s="10"/>
      <c r="JH34" s="11"/>
      <c r="JI34" s="11"/>
      <c r="JJ34" s="11"/>
      <c r="JK34" s="11"/>
      <c r="JL34" s="11"/>
      <c r="JM34" s="10"/>
      <c r="JN34" s="10"/>
      <c r="JO34" s="11"/>
      <c r="JP34" s="11"/>
      <c r="JQ34" s="11"/>
      <c r="JR34" s="11"/>
      <c r="JS34" s="40"/>
      <c r="JT34" s="10"/>
      <c r="JU34" s="10"/>
      <c r="JV34" s="11"/>
      <c r="JW34" s="11"/>
      <c r="JX34" s="11"/>
      <c r="JY34" s="11"/>
      <c r="JZ34" s="11"/>
      <c r="KA34" s="10"/>
      <c r="KB34" s="10"/>
      <c r="KC34" s="43"/>
      <c r="KD34" s="43"/>
      <c r="KE34" s="43"/>
      <c r="KF34" s="11"/>
      <c r="KG34" s="11"/>
      <c r="KH34" s="10"/>
      <c r="KI34" s="10"/>
      <c r="KJ34" s="11"/>
      <c r="KK34" s="11"/>
      <c r="KL34" s="11"/>
      <c r="KM34" s="11"/>
      <c r="KN34" s="11"/>
      <c r="KO34" s="10"/>
      <c r="KP34" s="10"/>
      <c r="KQ34" s="11"/>
      <c r="KR34" s="11"/>
      <c r="KS34" s="11"/>
      <c r="KT34" s="11"/>
      <c r="KU34" s="11"/>
      <c r="KV34" s="10"/>
      <c r="KW34" s="10"/>
      <c r="KX34" s="11"/>
      <c r="KY34" s="11"/>
      <c r="KZ34" s="11"/>
      <c r="LA34" s="11"/>
      <c r="LB34" s="11"/>
      <c r="LC34" s="10"/>
      <c r="LD34" s="10"/>
      <c r="LE34" s="11"/>
      <c r="LF34" s="11"/>
      <c r="LG34" s="11"/>
      <c r="LH34" s="11"/>
      <c r="LI34" s="11"/>
      <c r="LJ34" s="10"/>
      <c r="LK34" s="10"/>
      <c r="LL34" s="11"/>
      <c r="LM34" s="11"/>
      <c r="LN34" s="11"/>
      <c r="LO34" s="11"/>
      <c r="LP34" s="11"/>
      <c r="LQ34" s="10"/>
      <c r="LR34" s="10"/>
      <c r="LS34" s="11"/>
      <c r="LT34" s="11"/>
      <c r="LU34" s="11"/>
      <c r="LV34" s="11"/>
      <c r="LW34" s="11"/>
      <c r="LX34" s="10"/>
      <c r="LY34" s="10"/>
      <c r="LZ34" s="11"/>
      <c r="MA34" s="11"/>
      <c r="MB34" s="11"/>
      <c r="MC34" s="11"/>
      <c r="MD34" s="11"/>
      <c r="ME34" s="10"/>
      <c r="MF34" s="10"/>
      <c r="MG34" s="11"/>
      <c r="MH34" s="11"/>
      <c r="MI34" s="11"/>
      <c r="MJ34" s="11"/>
      <c r="MK34" s="11"/>
      <c r="ML34" s="10"/>
      <c r="MM34" s="10"/>
      <c r="MN34" s="11"/>
      <c r="MO34" s="11"/>
      <c r="MP34" s="11"/>
      <c r="MQ34" s="11"/>
      <c r="MR34" s="11"/>
      <c r="MS34" s="10"/>
      <c r="MT34" s="10"/>
      <c r="MU34" s="11"/>
      <c r="MV34" s="11"/>
      <c r="MW34" s="11"/>
      <c r="MX34" s="11"/>
      <c r="MY34" s="11"/>
      <c r="MZ34" s="10"/>
      <c r="NA34" s="10"/>
      <c r="NB34" s="43"/>
      <c r="NC34" s="11"/>
      <c r="ND34" s="11"/>
      <c r="NE34" s="11"/>
      <c r="NF34" s="11"/>
      <c r="NG34" s="10"/>
      <c r="NH34" s="10"/>
      <c r="NI34" s="11"/>
      <c r="NJ34" s="11"/>
      <c r="NK34" s="11"/>
      <c r="NL34" s="11"/>
    </row>
    <row r="35" spans="1:376" customFormat="1">
      <c r="A35" s="39"/>
      <c r="B35" s="29" t="s">
        <v>51</v>
      </c>
      <c r="C35" s="29" t="s">
        <v>36</v>
      </c>
      <c r="D35" s="29" t="s">
        <v>31</v>
      </c>
      <c r="E35" s="37">
        <v>0</v>
      </c>
      <c r="F35" s="29">
        <v>23</v>
      </c>
      <c r="G35" s="29">
        <v>2</v>
      </c>
      <c r="H35" s="29">
        <f t="shared" si="0"/>
        <v>-1</v>
      </c>
      <c r="I35" s="30">
        <f t="shared" si="1"/>
        <v>2</v>
      </c>
      <c r="J35" s="30">
        <f t="shared" si="2"/>
        <v>0</v>
      </c>
      <c r="K35" s="30">
        <f t="shared" si="3"/>
        <v>6</v>
      </c>
      <c r="L35" s="41"/>
      <c r="M35" s="40"/>
      <c r="N35" s="10"/>
      <c r="O35" s="10"/>
      <c r="P35" s="40"/>
      <c r="Q35" s="11"/>
      <c r="R35" s="11"/>
      <c r="S35" s="11"/>
      <c r="T35" s="11"/>
      <c r="U35" s="10"/>
      <c r="V35" s="10"/>
      <c r="W35" s="40"/>
      <c r="X35" s="11"/>
      <c r="Y35" s="11"/>
      <c r="Z35" s="11"/>
      <c r="AA35" s="11"/>
      <c r="AB35" s="10"/>
      <c r="AC35" s="10"/>
      <c r="AD35" s="11"/>
      <c r="AE35" s="11"/>
      <c r="AF35" s="11"/>
      <c r="AG35" s="11"/>
      <c r="AH35" s="11"/>
      <c r="AI35" s="10"/>
      <c r="AJ35" s="10"/>
      <c r="AK35" s="11"/>
      <c r="AL35" s="11"/>
      <c r="AM35" s="11"/>
      <c r="AN35" s="11"/>
      <c r="AO35" s="11"/>
      <c r="AP35" s="10"/>
      <c r="AQ35" s="10"/>
      <c r="AR35" s="11"/>
      <c r="AS35" s="11"/>
      <c r="AT35" s="11"/>
      <c r="AU35" s="11"/>
      <c r="AV35" s="11"/>
      <c r="AW35" s="10"/>
      <c r="AX35" s="10"/>
      <c r="AY35" s="11"/>
      <c r="AZ35" s="11"/>
      <c r="BA35" s="11"/>
      <c r="BB35" s="11"/>
      <c r="BC35" s="11"/>
      <c r="BD35" s="10"/>
      <c r="BE35" s="10"/>
      <c r="BF35" s="11"/>
      <c r="BG35" s="11"/>
      <c r="BH35" s="11"/>
      <c r="BI35" s="11"/>
      <c r="BJ35" s="11"/>
      <c r="BK35" s="10"/>
      <c r="BL35" s="10"/>
      <c r="BM35" s="11"/>
      <c r="BN35" s="11"/>
      <c r="BO35" s="11"/>
      <c r="BP35" s="11"/>
      <c r="BQ35" s="11"/>
      <c r="BR35" s="10"/>
      <c r="BS35" s="10"/>
      <c r="BT35" s="11"/>
      <c r="BU35" s="11"/>
      <c r="BV35" s="11"/>
      <c r="BW35" s="11"/>
      <c r="BX35" s="11"/>
      <c r="BY35" s="10"/>
      <c r="BZ35" s="10"/>
      <c r="CA35" s="11"/>
      <c r="CB35" s="11"/>
      <c r="CC35" s="11"/>
      <c r="CD35" s="11"/>
      <c r="CE35" s="11"/>
      <c r="CF35" s="10"/>
      <c r="CG35" s="10"/>
      <c r="CH35" s="11"/>
      <c r="CI35" s="11"/>
      <c r="CJ35" s="11"/>
      <c r="CK35" s="11"/>
      <c r="CL35" s="11"/>
      <c r="CM35" s="10"/>
      <c r="CN35" s="10"/>
      <c r="CO35" s="11"/>
      <c r="CP35" s="11"/>
      <c r="CQ35" s="11"/>
      <c r="CR35" s="11"/>
      <c r="CS35" s="11"/>
      <c r="CT35" s="10"/>
      <c r="CU35" s="10"/>
      <c r="CV35" s="11"/>
      <c r="CW35" s="11"/>
      <c r="CX35" s="11"/>
      <c r="CY35" s="11"/>
      <c r="CZ35" s="11"/>
      <c r="DA35" s="10"/>
      <c r="DB35" s="10"/>
      <c r="DC35" s="11"/>
      <c r="DD35" s="11"/>
      <c r="DE35" s="11"/>
      <c r="DF35" s="11"/>
      <c r="DG35" s="11"/>
      <c r="DH35" s="10"/>
      <c r="DI35" s="10"/>
      <c r="DJ35" s="11"/>
      <c r="DK35" s="11"/>
      <c r="DL35" s="11"/>
      <c r="DM35" s="11"/>
      <c r="DN35" s="11"/>
      <c r="DO35" s="10"/>
      <c r="DP35" s="10"/>
      <c r="DQ35" s="11"/>
      <c r="DR35" s="11"/>
      <c r="DS35" s="11"/>
      <c r="DT35" s="11"/>
      <c r="DU35" s="11"/>
      <c r="DV35" s="10"/>
      <c r="DW35" s="10"/>
      <c r="DX35" s="15" t="s">
        <v>1</v>
      </c>
      <c r="DY35" s="15" t="s">
        <v>1</v>
      </c>
      <c r="DZ35" s="15" t="s">
        <v>1</v>
      </c>
      <c r="EA35" s="15" t="s">
        <v>1</v>
      </c>
      <c r="EB35" s="15" t="s">
        <v>1</v>
      </c>
      <c r="EC35" s="10"/>
      <c r="ED35" s="10"/>
      <c r="EE35" s="15" t="s">
        <v>1</v>
      </c>
      <c r="EF35" s="15" t="s">
        <v>1</v>
      </c>
      <c r="EG35" s="15" t="s">
        <v>1</v>
      </c>
      <c r="EH35" s="15" t="s">
        <v>1</v>
      </c>
      <c r="EI35" s="15" t="s">
        <v>1</v>
      </c>
      <c r="EJ35" s="10"/>
      <c r="EK35" s="10"/>
      <c r="EL35" s="15" t="s">
        <v>1</v>
      </c>
      <c r="EM35" s="15" t="s">
        <v>1</v>
      </c>
      <c r="EN35" s="15" t="s">
        <v>1</v>
      </c>
      <c r="EO35" s="15" t="s">
        <v>1</v>
      </c>
      <c r="EP35" s="15" t="s">
        <v>1</v>
      </c>
      <c r="EQ35" s="10"/>
      <c r="ER35" s="10"/>
      <c r="ES35" s="11"/>
      <c r="ET35" s="11"/>
      <c r="EU35" s="11"/>
      <c r="EV35" s="11"/>
      <c r="EW35" s="11"/>
      <c r="EX35" s="10"/>
      <c r="EY35" s="10"/>
      <c r="EZ35" s="11"/>
      <c r="FA35" s="11"/>
      <c r="FB35" s="11"/>
      <c r="FC35" s="11"/>
      <c r="FD35" s="11"/>
      <c r="FE35" s="10"/>
      <c r="FF35" s="10"/>
      <c r="FG35" s="11"/>
      <c r="FH35" s="11"/>
      <c r="FI35" s="11"/>
      <c r="FJ35" s="11"/>
      <c r="FK35" s="11"/>
      <c r="FL35" s="10"/>
      <c r="FM35" s="10"/>
      <c r="FN35" s="11"/>
      <c r="FO35" s="11"/>
      <c r="FP35" s="11"/>
      <c r="FQ35" s="11"/>
      <c r="FR35" s="11"/>
      <c r="FS35" s="10"/>
      <c r="FT35" s="10"/>
      <c r="FU35" s="11"/>
      <c r="FV35" s="11"/>
      <c r="FW35" s="11"/>
      <c r="FX35" s="11"/>
      <c r="FY35" s="11"/>
      <c r="FZ35" s="10"/>
      <c r="GA35" s="10"/>
      <c r="GB35" s="11"/>
      <c r="GC35" s="11"/>
      <c r="GD35" s="11"/>
      <c r="GE35" s="11"/>
      <c r="GF35" s="11"/>
      <c r="GG35" s="10"/>
      <c r="GH35" s="10"/>
      <c r="GI35" s="11"/>
      <c r="GJ35" s="11"/>
      <c r="GK35" s="21" t="s">
        <v>7</v>
      </c>
      <c r="GL35" s="21" t="s">
        <v>7</v>
      </c>
      <c r="GM35" s="21" t="s">
        <v>7</v>
      </c>
      <c r="GN35" s="10"/>
      <c r="GO35" s="10"/>
      <c r="GP35" s="21" t="s">
        <v>7</v>
      </c>
      <c r="GQ35" s="21" t="s">
        <v>7</v>
      </c>
      <c r="GR35" s="21" t="s">
        <v>7</v>
      </c>
      <c r="GS35" s="11"/>
      <c r="GT35" s="11"/>
      <c r="GU35" s="10"/>
      <c r="GV35" s="10"/>
      <c r="GW35" s="15" t="s">
        <v>1</v>
      </c>
      <c r="GX35" s="40"/>
      <c r="GY35" s="11"/>
      <c r="GZ35" s="11"/>
      <c r="HA35" s="11"/>
      <c r="HB35" s="10"/>
      <c r="HC35" s="10"/>
      <c r="HD35" s="11"/>
      <c r="HE35" s="11"/>
      <c r="HF35" s="11"/>
      <c r="HG35" s="11"/>
      <c r="HH35" s="11"/>
      <c r="HI35" s="10"/>
      <c r="HJ35" s="10"/>
      <c r="HK35" s="11"/>
      <c r="HL35" s="11"/>
      <c r="HM35" s="11"/>
      <c r="HN35" s="11"/>
      <c r="HO35" s="11"/>
      <c r="HP35" s="10"/>
      <c r="HQ35" s="10"/>
      <c r="HR35" s="40"/>
      <c r="HS35" s="11"/>
      <c r="HT35" s="11"/>
      <c r="HU35" s="11"/>
      <c r="HV35" s="11"/>
      <c r="HW35" s="10"/>
      <c r="HX35" s="10"/>
      <c r="HY35" s="11"/>
      <c r="HZ35" s="11"/>
      <c r="IA35" s="11"/>
      <c r="IB35" s="11"/>
      <c r="IC35" s="11"/>
      <c r="ID35" s="10"/>
      <c r="IE35" s="10"/>
      <c r="IF35" s="15" t="s">
        <v>1</v>
      </c>
      <c r="IG35" s="15" t="s">
        <v>1</v>
      </c>
      <c r="IH35" s="15" t="s">
        <v>1</v>
      </c>
      <c r="II35" s="11"/>
      <c r="IJ35" s="11"/>
      <c r="IK35" s="10"/>
      <c r="IL35" s="10"/>
      <c r="IM35" s="11"/>
      <c r="IN35" s="11"/>
      <c r="IO35" s="11"/>
      <c r="IP35" s="11"/>
      <c r="IQ35" s="11"/>
      <c r="IR35" s="10"/>
      <c r="IS35" s="10"/>
      <c r="IT35" s="11"/>
      <c r="IU35" s="11"/>
      <c r="IV35" s="11"/>
      <c r="IW35" s="11"/>
      <c r="IX35" s="11"/>
      <c r="IY35" s="10"/>
      <c r="IZ35" s="10"/>
      <c r="JA35" s="40"/>
      <c r="JB35" s="15" t="s">
        <v>1</v>
      </c>
      <c r="JC35" s="40"/>
      <c r="JD35" s="11"/>
      <c r="JE35" s="11"/>
      <c r="JF35" s="10"/>
      <c r="JG35" s="10"/>
      <c r="JH35" s="11"/>
      <c r="JI35" s="11"/>
      <c r="JJ35" s="11"/>
      <c r="JK35" s="11"/>
      <c r="JL35" s="11"/>
      <c r="JM35" s="10"/>
      <c r="JN35" s="10"/>
      <c r="JO35" s="11"/>
      <c r="JP35" s="11"/>
      <c r="JQ35" s="11"/>
      <c r="JR35" s="11"/>
      <c r="JS35" s="40"/>
      <c r="JT35" s="10"/>
      <c r="JU35" s="10"/>
      <c r="JV35" s="11"/>
      <c r="JW35" s="11"/>
      <c r="JX35" s="11"/>
      <c r="JY35" s="11"/>
      <c r="JZ35" s="11"/>
      <c r="KA35" s="10"/>
      <c r="KB35" s="10"/>
      <c r="KC35" s="15" t="s">
        <v>1</v>
      </c>
      <c r="KD35" s="15" t="s">
        <v>1</v>
      </c>
      <c r="KE35" s="15" t="s">
        <v>1</v>
      </c>
      <c r="KF35" s="11"/>
      <c r="KG35" s="11"/>
      <c r="KH35" s="10"/>
      <c r="KI35" s="10"/>
      <c r="KJ35" s="11"/>
      <c r="KK35" s="11"/>
      <c r="KL35" s="11"/>
      <c r="KM35" s="11"/>
      <c r="KN35" s="11"/>
      <c r="KO35" s="10"/>
      <c r="KP35" s="10"/>
      <c r="KQ35" s="11"/>
      <c r="KR35" s="11"/>
      <c r="KS35" s="11"/>
      <c r="KT35" s="11"/>
      <c r="KU35" s="11"/>
      <c r="KV35" s="10"/>
      <c r="KW35" s="10"/>
      <c r="KX35" s="11"/>
      <c r="KY35" s="11"/>
      <c r="KZ35" s="11"/>
      <c r="LA35" s="11"/>
      <c r="LB35" s="11"/>
      <c r="LC35" s="10"/>
      <c r="LD35" s="10"/>
      <c r="LE35" s="11"/>
      <c r="LF35" s="11"/>
      <c r="LG35" s="11"/>
      <c r="LH35" s="11"/>
      <c r="LI35" s="11"/>
      <c r="LJ35" s="10"/>
      <c r="LK35" s="10"/>
      <c r="LL35" s="11"/>
      <c r="LM35" s="11"/>
      <c r="LN35" s="11"/>
      <c r="LO35" s="11"/>
      <c r="LP35" s="11"/>
      <c r="LQ35" s="10"/>
      <c r="LR35" s="10"/>
      <c r="LS35" s="11"/>
      <c r="LT35" s="11"/>
      <c r="LU35" s="11"/>
      <c r="LV35" s="11"/>
      <c r="LW35" s="11"/>
      <c r="LX35" s="10"/>
      <c r="LY35" s="10"/>
      <c r="LZ35" s="11"/>
      <c r="MA35" s="11"/>
      <c r="MB35" s="11"/>
      <c r="MC35" s="11"/>
      <c r="MD35" s="11"/>
      <c r="ME35" s="10"/>
      <c r="MF35" s="10"/>
      <c r="MG35" s="11"/>
      <c r="MH35" s="11"/>
      <c r="MI35" s="11"/>
      <c r="MJ35" s="11"/>
      <c r="MK35" s="11"/>
      <c r="ML35" s="10"/>
      <c r="MM35" s="10"/>
      <c r="MN35" s="11"/>
      <c r="MO35" s="11"/>
      <c r="MP35" s="11"/>
      <c r="MQ35" s="11"/>
      <c r="MR35" s="11"/>
      <c r="MS35" s="10"/>
      <c r="MT35" s="10"/>
      <c r="MU35" s="11"/>
      <c r="MV35" s="11"/>
      <c r="MW35" s="11"/>
      <c r="MX35" s="11"/>
      <c r="MY35" s="11"/>
      <c r="MZ35" s="10"/>
      <c r="NA35" s="10"/>
      <c r="NB35" s="15" t="s">
        <v>1</v>
      </c>
      <c r="NC35" s="11"/>
      <c r="ND35" s="11"/>
      <c r="NE35" s="11"/>
      <c r="NF35" s="11"/>
      <c r="NG35" s="10"/>
      <c r="NH35" s="10"/>
      <c r="NI35" s="11"/>
      <c r="NJ35" s="11"/>
      <c r="NK35" s="11"/>
      <c r="NL35" s="11"/>
    </row>
    <row r="36" spans="1:376" customFormat="1" ht="15" customHeight="1">
      <c r="A36" s="39"/>
      <c r="B36" s="29" t="s">
        <v>52</v>
      </c>
      <c r="C36" s="29" t="s">
        <v>30</v>
      </c>
      <c r="D36" s="29" t="s">
        <v>31</v>
      </c>
      <c r="E36" s="37">
        <v>0</v>
      </c>
      <c r="F36" s="29">
        <v>23</v>
      </c>
      <c r="G36" s="29">
        <v>0</v>
      </c>
      <c r="H36" s="29">
        <f t="shared" si="0"/>
        <v>8</v>
      </c>
      <c r="I36" s="30">
        <f t="shared" si="1"/>
        <v>-1</v>
      </c>
      <c r="J36" s="30">
        <f t="shared" si="2"/>
        <v>2</v>
      </c>
      <c r="K36" s="30">
        <f t="shared" si="3"/>
        <v>7</v>
      </c>
      <c r="L36" s="11"/>
      <c r="M36" s="40"/>
      <c r="N36" s="10"/>
      <c r="O36" s="10"/>
      <c r="P36" s="11"/>
      <c r="Q36" s="11"/>
      <c r="R36" s="11"/>
      <c r="S36" s="11"/>
      <c r="T36" s="11"/>
      <c r="U36" s="10"/>
      <c r="V36" s="10"/>
      <c r="W36" s="11"/>
      <c r="X36" s="11"/>
      <c r="Y36" s="11"/>
      <c r="Z36" s="11"/>
      <c r="AA36" s="11"/>
      <c r="AB36" s="10"/>
      <c r="AC36" s="10"/>
      <c r="AD36" s="11"/>
      <c r="AE36" s="11"/>
      <c r="AF36" s="11"/>
      <c r="AG36" s="11"/>
      <c r="AH36" s="11"/>
      <c r="AI36" s="10"/>
      <c r="AJ36" s="10"/>
      <c r="AK36" s="11"/>
      <c r="AL36" s="11"/>
      <c r="AM36" s="11"/>
      <c r="AN36" s="11"/>
      <c r="AO36" s="11"/>
      <c r="AP36" s="10"/>
      <c r="AQ36" s="10"/>
      <c r="AR36" s="11"/>
      <c r="AS36" s="11"/>
      <c r="AT36" s="11"/>
      <c r="AU36" s="11"/>
      <c r="AV36" s="11"/>
      <c r="AW36" s="10"/>
      <c r="AX36" s="10"/>
      <c r="AY36" s="11"/>
      <c r="AZ36" s="11"/>
      <c r="BA36" s="11"/>
      <c r="BB36" s="11"/>
      <c r="BC36" s="11"/>
      <c r="BD36" s="10"/>
      <c r="BE36" s="10"/>
      <c r="BF36" s="11"/>
      <c r="BG36" s="11"/>
      <c r="BH36" s="11"/>
      <c r="BI36" s="11"/>
      <c r="BJ36" s="40"/>
      <c r="BK36" s="10"/>
      <c r="BL36" s="10"/>
      <c r="BM36" s="11"/>
      <c r="BN36" s="11"/>
      <c r="BO36" s="11"/>
      <c r="BP36" s="11"/>
      <c r="BQ36" s="11"/>
      <c r="BR36" s="10"/>
      <c r="BS36" s="10"/>
      <c r="BT36" s="11"/>
      <c r="BU36" s="21" t="s">
        <v>7</v>
      </c>
      <c r="BV36" s="21" t="s">
        <v>7</v>
      </c>
      <c r="BW36" s="21" t="s">
        <v>7</v>
      </c>
      <c r="BX36" s="21" t="s">
        <v>7</v>
      </c>
      <c r="BY36" s="10"/>
      <c r="BZ36" s="10"/>
      <c r="CA36" s="21" t="s">
        <v>7</v>
      </c>
      <c r="CB36" s="21" t="s">
        <v>7</v>
      </c>
      <c r="CC36" s="11"/>
      <c r="CD36" s="11"/>
      <c r="CE36" s="11"/>
      <c r="CF36" s="10"/>
      <c r="CG36" s="10"/>
      <c r="CH36" s="21" t="s">
        <v>7</v>
      </c>
      <c r="CI36" s="11"/>
      <c r="CJ36" s="11"/>
      <c r="CK36" s="11"/>
      <c r="CL36" s="11"/>
      <c r="CM36" s="10"/>
      <c r="CN36" s="10"/>
      <c r="CO36" s="40"/>
      <c r="CP36" s="11"/>
      <c r="CQ36" s="11"/>
      <c r="CR36" s="11"/>
      <c r="CS36" s="11"/>
      <c r="CT36" s="10"/>
      <c r="CU36" s="10"/>
      <c r="CV36" s="40"/>
      <c r="CW36" s="11"/>
      <c r="CX36" s="11"/>
      <c r="CY36" s="11"/>
      <c r="CZ36" s="11"/>
      <c r="DA36" s="10"/>
      <c r="DB36" s="10"/>
      <c r="DC36" s="11"/>
      <c r="DD36" s="11"/>
      <c r="DE36" s="11"/>
      <c r="DF36" s="11"/>
      <c r="DG36" s="11"/>
      <c r="DH36" s="10"/>
      <c r="DI36" s="10"/>
      <c r="DJ36" s="11"/>
      <c r="DK36" s="11"/>
      <c r="DL36" s="11"/>
      <c r="DM36" s="11"/>
      <c r="DN36" s="40"/>
      <c r="DO36" s="10"/>
      <c r="DP36" s="10"/>
      <c r="DQ36" s="15" t="s">
        <v>1</v>
      </c>
      <c r="DR36" s="15" t="s">
        <v>1</v>
      </c>
      <c r="DS36" s="15" t="s">
        <v>1</v>
      </c>
      <c r="DT36" s="15" t="s">
        <v>1</v>
      </c>
      <c r="DU36" s="15" t="s">
        <v>1</v>
      </c>
      <c r="DV36" s="10"/>
      <c r="DW36" s="10"/>
      <c r="DX36" s="11"/>
      <c r="DY36" s="11"/>
      <c r="DZ36" s="11"/>
      <c r="EA36" s="11"/>
      <c r="EB36" s="11"/>
      <c r="EC36" s="10"/>
      <c r="ED36" s="10"/>
      <c r="EE36" s="11"/>
      <c r="EF36" s="11"/>
      <c r="EG36" s="11"/>
      <c r="EH36" s="11"/>
      <c r="EI36" s="11"/>
      <c r="EJ36" s="10"/>
      <c r="EK36" s="10"/>
      <c r="EL36" s="11"/>
      <c r="EM36" s="11"/>
      <c r="EN36" s="11"/>
      <c r="EO36" s="11"/>
      <c r="EP36" s="11"/>
      <c r="EQ36" s="10"/>
      <c r="ER36" s="10"/>
      <c r="ES36" s="11"/>
      <c r="ET36" s="11"/>
      <c r="EU36" s="11"/>
      <c r="EV36" s="11"/>
      <c r="EW36" s="11"/>
      <c r="EX36" s="10"/>
      <c r="EY36" s="10"/>
      <c r="EZ36" s="11"/>
      <c r="FA36" s="11"/>
      <c r="FB36" s="11"/>
      <c r="FC36" s="11"/>
      <c r="FD36" s="11"/>
      <c r="FE36" s="10"/>
      <c r="FF36" s="10"/>
      <c r="FG36" s="11"/>
      <c r="FH36" s="11"/>
      <c r="FI36" s="11"/>
      <c r="FJ36" s="11"/>
      <c r="FK36" s="11"/>
      <c r="FL36" s="10"/>
      <c r="FM36" s="10"/>
      <c r="FN36" s="11"/>
      <c r="FO36" s="11"/>
      <c r="FP36" s="11"/>
      <c r="FQ36" s="11"/>
      <c r="FR36" s="18" t="s">
        <v>5</v>
      </c>
      <c r="FS36" s="10"/>
      <c r="FT36" s="10"/>
      <c r="FU36" s="11"/>
      <c r="FV36" s="11"/>
      <c r="FW36" s="11"/>
      <c r="FX36" s="18" t="s">
        <v>5</v>
      </c>
      <c r="FY36" s="40"/>
      <c r="FZ36" s="10"/>
      <c r="GA36" s="10"/>
      <c r="GB36" s="11"/>
      <c r="GC36" s="11"/>
      <c r="GD36" s="11"/>
      <c r="GE36" s="11"/>
      <c r="GF36" s="11"/>
      <c r="GG36" s="10"/>
      <c r="GH36" s="10"/>
      <c r="GI36" s="11"/>
      <c r="GJ36" s="11"/>
      <c r="GK36" s="11"/>
      <c r="GL36" s="11"/>
      <c r="GM36" s="11"/>
      <c r="GN36" s="10"/>
      <c r="GO36" s="10"/>
      <c r="GP36" s="11"/>
      <c r="GQ36" s="11"/>
      <c r="GR36" s="11"/>
      <c r="GS36" s="11"/>
      <c r="GT36" s="11"/>
      <c r="GU36" s="10"/>
      <c r="GV36" s="10"/>
      <c r="GW36" s="40"/>
      <c r="GX36" s="40"/>
      <c r="GY36" s="11"/>
      <c r="GZ36" s="11"/>
      <c r="HA36" s="11"/>
      <c r="HB36" s="10"/>
      <c r="HC36" s="10"/>
      <c r="HD36" s="11"/>
      <c r="HE36" s="11"/>
      <c r="HF36" s="11"/>
      <c r="HG36" s="11"/>
      <c r="HH36" s="11"/>
      <c r="HI36" s="10"/>
      <c r="HJ36" s="10"/>
      <c r="HK36" s="11"/>
      <c r="HL36" s="11"/>
      <c r="HM36" s="11"/>
      <c r="HN36" s="11"/>
      <c r="HO36" s="11"/>
      <c r="HP36" s="10"/>
      <c r="HQ36" s="10"/>
      <c r="HR36" s="40"/>
      <c r="HS36" s="11"/>
      <c r="HT36" s="11"/>
      <c r="HU36" s="11"/>
      <c r="HV36" s="11"/>
      <c r="HW36" s="10"/>
      <c r="HX36" s="10"/>
      <c r="HY36" s="11"/>
      <c r="HZ36" s="11"/>
      <c r="IA36" s="11"/>
      <c r="IB36" s="11"/>
      <c r="IC36" s="11"/>
      <c r="ID36" s="10"/>
      <c r="IE36" s="10"/>
      <c r="IF36" s="11"/>
      <c r="IG36" s="11"/>
      <c r="IH36" s="11"/>
      <c r="II36" s="11"/>
      <c r="IJ36" s="11"/>
      <c r="IK36" s="10"/>
      <c r="IL36" s="10"/>
      <c r="IM36" s="11"/>
      <c r="IN36" s="11"/>
      <c r="IO36" s="11"/>
      <c r="IP36" s="11"/>
      <c r="IQ36" s="11"/>
      <c r="IR36" s="10"/>
      <c r="IS36" s="10"/>
      <c r="IT36" s="11"/>
      <c r="IU36" s="11"/>
      <c r="IV36" s="11"/>
      <c r="IW36" s="11"/>
      <c r="IX36" s="11"/>
      <c r="IY36" s="10"/>
      <c r="IZ36" s="10"/>
      <c r="JA36" s="11"/>
      <c r="JB36" s="11"/>
      <c r="JC36" s="40"/>
      <c r="JD36" s="11"/>
      <c r="JE36" s="11"/>
      <c r="JF36" s="10"/>
      <c r="JG36" s="10"/>
      <c r="JH36" s="11"/>
      <c r="JI36" s="11"/>
      <c r="JJ36" s="11"/>
      <c r="JK36" s="11"/>
      <c r="JL36" s="11"/>
      <c r="JM36" s="10"/>
      <c r="JN36" s="10"/>
      <c r="JO36" s="11"/>
      <c r="JP36" s="11"/>
      <c r="JQ36" s="11"/>
      <c r="JR36" s="11"/>
      <c r="JS36" s="11"/>
      <c r="JT36" s="10"/>
      <c r="JU36" s="10"/>
      <c r="JV36" s="11"/>
      <c r="JW36" s="11"/>
      <c r="JX36" s="11"/>
      <c r="JY36" s="11"/>
      <c r="JZ36" s="11"/>
      <c r="KA36" s="10"/>
      <c r="KB36" s="10"/>
      <c r="KC36" s="11"/>
      <c r="KD36" s="11"/>
      <c r="KE36" s="11"/>
      <c r="KF36" s="11"/>
      <c r="KG36" s="11"/>
      <c r="KH36" s="10"/>
      <c r="KI36" s="10"/>
      <c r="KJ36" s="11"/>
      <c r="KK36" s="11"/>
      <c r="KL36" s="11"/>
      <c r="KM36" s="11"/>
      <c r="KN36" s="11"/>
      <c r="KO36" s="10"/>
      <c r="KP36" s="10"/>
      <c r="KQ36" s="11"/>
      <c r="KR36" s="11"/>
      <c r="KS36" s="11"/>
      <c r="KT36" s="11"/>
      <c r="KU36" s="11"/>
      <c r="KV36" s="10"/>
      <c r="KW36" s="10"/>
      <c r="KX36" s="11"/>
      <c r="KY36" s="11"/>
      <c r="KZ36" s="11"/>
      <c r="LA36" s="11"/>
      <c r="LB36" s="11"/>
      <c r="LC36" s="10"/>
      <c r="LD36" s="10"/>
      <c r="LE36" s="11"/>
      <c r="LF36" s="11"/>
      <c r="LG36" s="11"/>
      <c r="LH36" s="11"/>
      <c r="LI36" s="11"/>
      <c r="LJ36" s="10"/>
      <c r="LK36" s="10"/>
      <c r="LL36" s="11"/>
      <c r="LM36" s="11"/>
      <c r="LN36" s="11"/>
      <c r="LO36" s="11"/>
      <c r="LP36" s="11"/>
      <c r="LQ36" s="10"/>
      <c r="LR36" s="10"/>
      <c r="LS36" s="11"/>
      <c r="LT36" s="11"/>
      <c r="LU36" s="11"/>
      <c r="LV36" s="11"/>
      <c r="LW36" s="17" t="s">
        <v>3</v>
      </c>
      <c r="LX36" s="10"/>
      <c r="LY36" s="10"/>
      <c r="LZ36" s="15" t="s">
        <v>1</v>
      </c>
      <c r="MA36" s="15" t="s">
        <v>1</v>
      </c>
      <c r="MB36" s="15" t="s">
        <v>1</v>
      </c>
      <c r="MC36" s="15" t="s">
        <v>1</v>
      </c>
      <c r="MD36" s="15" t="s">
        <v>1</v>
      </c>
      <c r="ME36" s="10"/>
      <c r="MF36" s="10"/>
      <c r="MG36" s="15" t="s">
        <v>1</v>
      </c>
      <c r="MH36" s="15" t="s">
        <v>1</v>
      </c>
      <c r="MI36" s="15" t="s">
        <v>1</v>
      </c>
      <c r="MJ36" s="15" t="s">
        <v>1</v>
      </c>
      <c r="MK36" s="15" t="s">
        <v>1</v>
      </c>
      <c r="ML36" s="10"/>
      <c r="MM36" s="10"/>
      <c r="MN36" s="11"/>
      <c r="MO36" s="11"/>
      <c r="MP36" s="11"/>
      <c r="MQ36" s="11"/>
      <c r="MR36" s="11"/>
      <c r="MS36" s="10"/>
      <c r="MT36" s="10"/>
      <c r="MU36" s="11"/>
      <c r="MV36" s="11"/>
      <c r="MW36" s="11"/>
      <c r="MX36" s="11"/>
      <c r="MY36" s="11"/>
      <c r="MZ36" s="10"/>
      <c r="NA36" s="10"/>
      <c r="NB36" s="11"/>
      <c r="NC36" s="11"/>
      <c r="ND36" s="11"/>
      <c r="NE36" s="11"/>
      <c r="NF36" s="11"/>
      <c r="NG36" s="10"/>
      <c r="NH36" s="10"/>
      <c r="NI36" s="11"/>
      <c r="NJ36" s="11"/>
      <c r="NK36" s="11"/>
      <c r="NL36" s="11"/>
    </row>
    <row r="37" spans="1:376" customFormat="1" ht="15" customHeight="1">
      <c r="A37" s="39"/>
      <c r="B37" s="29" t="s">
        <v>53</v>
      </c>
      <c r="C37" s="29" t="s">
        <v>30</v>
      </c>
      <c r="D37" s="29" t="s">
        <v>31</v>
      </c>
      <c r="E37" s="37">
        <v>0</v>
      </c>
      <c r="F37" s="29">
        <v>23</v>
      </c>
      <c r="G37" s="29">
        <v>0</v>
      </c>
      <c r="H37" s="29">
        <f t="shared" si="0"/>
        <v>1</v>
      </c>
      <c r="I37" s="30">
        <f t="shared" si="1"/>
        <v>0</v>
      </c>
      <c r="J37" s="30">
        <f t="shared" si="2"/>
        <v>5</v>
      </c>
      <c r="K37" s="30">
        <f t="shared" si="3"/>
        <v>4</v>
      </c>
      <c r="L37" s="11"/>
      <c r="M37" s="40"/>
      <c r="N37" s="10"/>
      <c r="O37" s="10"/>
      <c r="P37" s="11"/>
      <c r="Q37" s="11"/>
      <c r="R37" s="11"/>
      <c r="S37" s="11"/>
      <c r="T37" s="18" t="s">
        <v>5</v>
      </c>
      <c r="U37" s="10"/>
      <c r="V37" s="10"/>
      <c r="W37" s="18" t="s">
        <v>5</v>
      </c>
      <c r="X37" s="18" t="s">
        <v>5</v>
      </c>
      <c r="Y37" s="18" t="s">
        <v>5</v>
      </c>
      <c r="Z37" s="18" t="s">
        <v>5</v>
      </c>
      <c r="AA37" s="11"/>
      <c r="AB37" s="10"/>
      <c r="AC37" s="10"/>
      <c r="AD37" s="11"/>
      <c r="AE37" s="11"/>
      <c r="AF37" s="11"/>
      <c r="AG37" s="11"/>
      <c r="AH37" s="11"/>
      <c r="AI37" s="10"/>
      <c r="AJ37" s="10"/>
      <c r="AK37" s="11"/>
      <c r="AL37" s="11"/>
      <c r="AM37" s="11"/>
      <c r="AN37" s="11"/>
      <c r="AO37" s="11"/>
      <c r="AP37" s="10"/>
      <c r="AQ37" s="10"/>
      <c r="AR37" s="11"/>
      <c r="AS37" s="11"/>
      <c r="AT37" s="11"/>
      <c r="AU37" s="11"/>
      <c r="AV37" s="11"/>
      <c r="AW37" s="10"/>
      <c r="AX37" s="10"/>
      <c r="AY37" s="11"/>
      <c r="AZ37" s="11"/>
      <c r="BA37" s="11"/>
      <c r="BB37" s="11"/>
      <c r="BC37" s="11"/>
      <c r="BD37" s="10"/>
      <c r="BE37" s="10"/>
      <c r="BF37" s="11"/>
      <c r="BG37" s="11"/>
      <c r="BH37" s="11"/>
      <c r="BI37" s="11"/>
      <c r="BJ37" s="40"/>
      <c r="BK37" s="10"/>
      <c r="BL37" s="10"/>
      <c r="BM37" s="11"/>
      <c r="BN37" s="11"/>
      <c r="BO37" s="11"/>
      <c r="BP37" s="11"/>
      <c r="BQ37" s="11"/>
      <c r="BR37" s="10"/>
      <c r="BS37" s="10"/>
      <c r="BT37" s="11"/>
      <c r="BU37" s="11"/>
      <c r="BV37" s="11"/>
      <c r="BW37" s="11"/>
      <c r="BX37" s="11"/>
      <c r="BY37" s="10"/>
      <c r="BZ37" s="10"/>
      <c r="CA37" s="11"/>
      <c r="CB37" s="11"/>
      <c r="CC37" s="11"/>
      <c r="CD37" s="11"/>
      <c r="CE37" s="11"/>
      <c r="CF37" s="10"/>
      <c r="CG37" s="10"/>
      <c r="CH37" s="11"/>
      <c r="CI37" s="11"/>
      <c r="CJ37" s="11"/>
      <c r="CK37" s="11"/>
      <c r="CL37" s="11"/>
      <c r="CM37" s="10"/>
      <c r="CN37" s="10"/>
      <c r="CO37" s="40"/>
      <c r="CP37" s="11"/>
      <c r="CQ37" s="11"/>
      <c r="CR37" s="11"/>
      <c r="CS37" s="11"/>
      <c r="CT37" s="10"/>
      <c r="CU37" s="10"/>
      <c r="CV37" s="40"/>
      <c r="CW37" s="21" t="s">
        <v>7</v>
      </c>
      <c r="CX37" s="21" t="s">
        <v>7</v>
      </c>
      <c r="CY37" s="21" t="s">
        <v>7</v>
      </c>
      <c r="CZ37" s="21" t="s">
        <v>7</v>
      </c>
      <c r="DA37" s="10"/>
      <c r="DB37" s="10"/>
      <c r="DC37" s="11"/>
      <c r="DD37" s="11"/>
      <c r="DE37" s="11"/>
      <c r="DF37" s="11"/>
      <c r="DG37" s="11"/>
      <c r="DH37" s="10"/>
      <c r="DI37" s="10"/>
      <c r="DJ37" s="11"/>
      <c r="DK37" s="11"/>
      <c r="DL37" s="11"/>
      <c r="DM37" s="11"/>
      <c r="DN37" s="40"/>
      <c r="DO37" s="10"/>
      <c r="DP37" s="10"/>
      <c r="DQ37" s="11"/>
      <c r="DR37" s="11"/>
      <c r="DS37" s="11"/>
      <c r="DT37" s="11"/>
      <c r="DU37" s="11"/>
      <c r="DV37" s="10"/>
      <c r="DW37" s="10"/>
      <c r="DX37" s="11"/>
      <c r="DY37" s="11"/>
      <c r="DZ37" s="11"/>
      <c r="EA37" s="11"/>
      <c r="EB37" s="11"/>
      <c r="EC37" s="10"/>
      <c r="ED37" s="10"/>
      <c r="EE37" s="11"/>
      <c r="EF37" s="11"/>
      <c r="EG37" s="11"/>
      <c r="EH37" s="11"/>
      <c r="EI37" s="11"/>
      <c r="EJ37" s="10"/>
      <c r="EK37" s="10"/>
      <c r="EL37" s="11"/>
      <c r="EM37" s="11"/>
      <c r="EN37" s="11"/>
      <c r="EO37" s="11"/>
      <c r="EP37" s="11"/>
      <c r="EQ37" s="10"/>
      <c r="ER37" s="10"/>
      <c r="ES37" s="11"/>
      <c r="ET37" s="11"/>
      <c r="EU37" s="11"/>
      <c r="EV37" s="11"/>
      <c r="EW37" s="40"/>
      <c r="EX37" s="10"/>
      <c r="EY37" s="10"/>
      <c r="EZ37" s="11"/>
      <c r="FA37" s="11"/>
      <c r="FB37" s="11"/>
      <c r="FC37" s="11"/>
      <c r="FD37" s="11"/>
      <c r="FE37" s="10"/>
      <c r="FF37" s="10"/>
      <c r="FG37" s="11"/>
      <c r="FH37" s="11"/>
      <c r="FI37" s="11"/>
      <c r="FJ37" s="11"/>
      <c r="FK37" s="11"/>
      <c r="FL37" s="10"/>
      <c r="FM37" s="10"/>
      <c r="FN37" s="11"/>
      <c r="FO37" s="11"/>
      <c r="FP37" s="11"/>
      <c r="FQ37" s="11"/>
      <c r="FR37" s="11"/>
      <c r="FS37" s="10"/>
      <c r="FT37" s="10"/>
      <c r="FU37" s="11"/>
      <c r="FV37" s="11"/>
      <c r="FW37" s="11"/>
      <c r="FX37" s="11"/>
      <c r="FY37" s="40"/>
      <c r="FZ37" s="10"/>
      <c r="GA37" s="10"/>
      <c r="GB37" s="11"/>
      <c r="GC37" s="11"/>
      <c r="GD37" s="11"/>
      <c r="GE37" s="11"/>
      <c r="GF37" s="11"/>
      <c r="GG37" s="10"/>
      <c r="GH37" s="10"/>
      <c r="GI37" s="11"/>
      <c r="GJ37" s="11"/>
      <c r="GK37" s="11"/>
      <c r="GL37" s="11"/>
      <c r="GM37" s="11"/>
      <c r="GN37" s="10"/>
      <c r="GO37" s="10"/>
      <c r="GP37" s="15" t="s">
        <v>1</v>
      </c>
      <c r="GQ37" s="15" t="s">
        <v>1</v>
      </c>
      <c r="GR37" s="15" t="s">
        <v>1</v>
      </c>
      <c r="GS37" s="15" t="s">
        <v>1</v>
      </c>
      <c r="GT37" s="15" t="s">
        <v>1</v>
      </c>
      <c r="GU37" s="10"/>
      <c r="GV37" s="10"/>
      <c r="GW37" s="40"/>
      <c r="GX37" s="40"/>
      <c r="GY37" s="11"/>
      <c r="GZ37" s="11"/>
      <c r="HA37" s="11"/>
      <c r="HB37" s="10"/>
      <c r="HC37" s="10"/>
      <c r="HD37" s="11"/>
      <c r="HE37" s="11"/>
      <c r="HF37" s="11"/>
      <c r="HG37" s="11"/>
      <c r="HH37" s="11"/>
      <c r="HI37" s="10"/>
      <c r="HJ37" s="10"/>
      <c r="HK37" s="11"/>
      <c r="HL37" s="11"/>
      <c r="HM37" s="11"/>
      <c r="HN37" s="11"/>
      <c r="HO37" s="11"/>
      <c r="HP37" s="10"/>
      <c r="HQ37" s="10"/>
      <c r="HR37" s="40"/>
      <c r="HS37" s="15" t="s">
        <v>1</v>
      </c>
      <c r="HT37" s="15" t="s">
        <v>1</v>
      </c>
      <c r="HU37" s="15" t="s">
        <v>1</v>
      </c>
      <c r="HV37" s="15" t="s">
        <v>1</v>
      </c>
      <c r="HW37" s="10"/>
      <c r="HX37" s="10"/>
      <c r="HY37" s="15" t="s">
        <v>1</v>
      </c>
      <c r="HZ37" s="11"/>
      <c r="IA37" s="11"/>
      <c r="IB37" s="11"/>
      <c r="IC37" s="11"/>
      <c r="ID37" s="10"/>
      <c r="IE37" s="10"/>
      <c r="IF37" s="11"/>
      <c r="IG37" s="11"/>
      <c r="IH37" s="11"/>
      <c r="II37" s="11"/>
      <c r="IJ37" s="11"/>
      <c r="IK37" s="10"/>
      <c r="IL37" s="10"/>
      <c r="IM37" s="11"/>
      <c r="IN37" s="11"/>
      <c r="IO37" s="11"/>
      <c r="IP37" s="11"/>
      <c r="IQ37" s="11"/>
      <c r="IR37" s="10"/>
      <c r="IS37" s="10"/>
      <c r="IT37" s="11"/>
      <c r="IU37" s="11"/>
      <c r="IV37" s="11"/>
      <c r="IW37" s="11"/>
      <c r="IX37" s="11"/>
      <c r="IY37" s="10"/>
      <c r="IZ37" s="10"/>
      <c r="JA37" s="11"/>
      <c r="JB37" s="11"/>
      <c r="JC37" s="40"/>
      <c r="JD37" s="11"/>
      <c r="JE37" s="11"/>
      <c r="JF37" s="10"/>
      <c r="JG37" s="10"/>
      <c r="JH37" s="11"/>
      <c r="JI37" s="11"/>
      <c r="JJ37" s="11"/>
      <c r="JK37" s="11"/>
      <c r="JL37" s="11"/>
      <c r="JM37" s="10"/>
      <c r="JN37" s="10"/>
      <c r="JO37" s="11"/>
      <c r="JP37" s="11"/>
      <c r="JQ37" s="11"/>
      <c r="JR37" s="15" t="s">
        <v>1</v>
      </c>
      <c r="JS37" s="15" t="s">
        <v>1</v>
      </c>
      <c r="JT37" s="10"/>
      <c r="JU37" s="10"/>
      <c r="JV37" s="15" t="s">
        <v>1</v>
      </c>
      <c r="JW37" s="15" t="s">
        <v>1</v>
      </c>
      <c r="JX37" s="15" t="s">
        <v>1</v>
      </c>
      <c r="JY37" s="15" t="s">
        <v>1</v>
      </c>
      <c r="JZ37" s="15" t="s">
        <v>1</v>
      </c>
      <c r="KA37" s="10"/>
      <c r="KB37" s="10"/>
      <c r="KC37" s="11"/>
      <c r="KD37" s="11"/>
      <c r="KE37" s="11"/>
      <c r="KF37" s="11"/>
      <c r="KG37" s="11"/>
      <c r="KH37" s="10"/>
      <c r="KI37" s="10"/>
      <c r="KJ37" s="11"/>
      <c r="KK37" s="11"/>
      <c r="KL37" s="11"/>
      <c r="KM37" s="11"/>
      <c r="KN37" s="11"/>
      <c r="KO37" s="10"/>
      <c r="KP37" s="10"/>
      <c r="KQ37" s="11"/>
      <c r="KR37" s="11"/>
      <c r="KS37" s="11"/>
      <c r="KT37" s="11"/>
      <c r="KU37" s="11"/>
      <c r="KV37" s="10"/>
      <c r="KW37" s="10"/>
      <c r="KX37" s="11"/>
      <c r="KY37" s="11"/>
      <c r="KZ37" s="11"/>
      <c r="LA37" s="11"/>
      <c r="LB37" s="11"/>
      <c r="LC37" s="10"/>
      <c r="LD37" s="10"/>
      <c r="LE37" s="11"/>
      <c r="LF37" s="11"/>
      <c r="LG37" s="11"/>
      <c r="LH37" s="11"/>
      <c r="LI37" s="11"/>
      <c r="LJ37" s="10"/>
      <c r="LK37" s="10"/>
      <c r="LL37" s="11"/>
      <c r="LM37" s="11"/>
      <c r="LN37" s="11"/>
      <c r="LO37" s="11"/>
      <c r="LP37" s="11"/>
      <c r="LQ37" s="10"/>
      <c r="LR37" s="10"/>
      <c r="LS37" s="11"/>
      <c r="LT37" s="11"/>
      <c r="LU37" s="11"/>
      <c r="LV37" s="11"/>
      <c r="LW37" s="11"/>
      <c r="LX37" s="10"/>
      <c r="LY37" s="10"/>
      <c r="LZ37" s="11"/>
      <c r="MA37" s="11"/>
      <c r="MB37" s="11"/>
      <c r="MC37" s="11"/>
      <c r="MD37" s="11"/>
      <c r="ME37" s="10"/>
      <c r="MF37" s="10"/>
      <c r="MG37" s="11"/>
      <c r="MH37" s="11"/>
      <c r="MI37" s="11"/>
      <c r="MJ37" s="11"/>
      <c r="MK37" s="11"/>
      <c r="ML37" s="10"/>
      <c r="MM37" s="10"/>
      <c r="MN37" s="15" t="s">
        <v>1</v>
      </c>
      <c r="MO37" s="15" t="s">
        <v>1</v>
      </c>
      <c r="MP37" s="15" t="s">
        <v>1</v>
      </c>
      <c r="MQ37" s="15" t="s">
        <v>1</v>
      </c>
      <c r="MR37" s="15" t="s">
        <v>1</v>
      </c>
      <c r="MS37" s="10"/>
      <c r="MT37" s="10"/>
      <c r="MU37" s="11"/>
      <c r="MV37" s="11"/>
      <c r="MW37" s="11"/>
      <c r="MX37" s="11"/>
      <c r="MY37" s="11"/>
      <c r="MZ37" s="10"/>
      <c r="NA37" s="10"/>
      <c r="NB37" s="11"/>
      <c r="NC37" s="11"/>
      <c r="ND37" s="11"/>
      <c r="NE37" s="11"/>
      <c r="NF37" s="11"/>
      <c r="NG37" s="10"/>
      <c r="NH37" s="10"/>
      <c r="NI37" s="11"/>
      <c r="NJ37" s="11"/>
      <c r="NK37" s="11"/>
      <c r="NL37" s="11"/>
    </row>
    <row r="38" spans="1:376" customFormat="1" ht="15" customHeight="1">
      <c r="A38" s="39"/>
      <c r="B38" s="29" t="s">
        <v>56</v>
      </c>
      <c r="C38" s="29" t="s">
        <v>30</v>
      </c>
      <c r="D38" s="29" t="s">
        <v>31</v>
      </c>
      <c r="E38" s="37">
        <v>0</v>
      </c>
      <c r="F38" s="29">
        <v>23</v>
      </c>
      <c r="G38" s="29">
        <v>0</v>
      </c>
      <c r="H38" s="29">
        <f t="shared" si="0"/>
        <v>3</v>
      </c>
      <c r="I38" s="30">
        <f t="shared" si="1"/>
        <v>0</v>
      </c>
      <c r="J38" s="30">
        <f t="shared" si="2"/>
        <v>0</v>
      </c>
      <c r="K38" s="30">
        <f t="shared" si="3"/>
        <v>1</v>
      </c>
      <c r="L38" s="11"/>
      <c r="M38" s="40"/>
      <c r="N38" s="10"/>
      <c r="O38" s="10"/>
      <c r="P38" s="11"/>
      <c r="Q38" s="11"/>
      <c r="R38" s="15" t="s">
        <v>1</v>
      </c>
      <c r="S38" s="15" t="s">
        <v>1</v>
      </c>
      <c r="T38" s="15" t="s">
        <v>1</v>
      </c>
      <c r="U38" s="10"/>
      <c r="V38" s="10"/>
      <c r="W38" s="11"/>
      <c r="X38" s="11"/>
      <c r="Y38" s="11"/>
      <c r="Z38" s="11"/>
      <c r="AA38" s="11"/>
      <c r="AB38" s="10"/>
      <c r="AC38" s="10"/>
      <c r="AD38" s="11"/>
      <c r="AE38" s="11"/>
      <c r="AF38" s="11"/>
      <c r="AG38" s="11"/>
      <c r="AH38" s="11"/>
      <c r="AI38" s="10"/>
      <c r="AJ38" s="10"/>
      <c r="AK38" s="11"/>
      <c r="AL38" s="11"/>
      <c r="AM38" s="11"/>
      <c r="AN38" s="11"/>
      <c r="AO38" s="11"/>
      <c r="AP38" s="10"/>
      <c r="AQ38" s="10"/>
      <c r="AR38" s="11"/>
      <c r="AS38" s="11"/>
      <c r="AT38" s="11"/>
      <c r="AU38" s="11"/>
      <c r="AV38" s="11"/>
      <c r="AW38" s="10"/>
      <c r="AX38" s="10"/>
      <c r="AY38" s="11"/>
      <c r="AZ38" s="11"/>
      <c r="BA38" s="11"/>
      <c r="BB38" s="11"/>
      <c r="BC38" s="11"/>
      <c r="BD38" s="10"/>
      <c r="BE38" s="10"/>
      <c r="BF38" s="11"/>
      <c r="BG38" s="11"/>
      <c r="BH38" s="11"/>
      <c r="BI38" s="11"/>
      <c r="BJ38" s="40"/>
      <c r="BK38" s="10"/>
      <c r="BL38" s="10"/>
      <c r="BM38" s="11"/>
      <c r="BN38" s="11"/>
      <c r="BO38" s="11"/>
      <c r="BP38" s="11"/>
      <c r="BQ38" s="11"/>
      <c r="BR38" s="10"/>
      <c r="BS38" s="10"/>
      <c r="BT38" s="11"/>
      <c r="BU38" s="11"/>
      <c r="BV38" s="11"/>
      <c r="BW38" s="11"/>
      <c r="BX38" s="21" t="s">
        <v>7</v>
      </c>
      <c r="BY38" s="10"/>
      <c r="BZ38" s="10"/>
      <c r="CA38" s="11"/>
      <c r="CB38" s="11"/>
      <c r="CC38" s="11"/>
      <c r="CD38" s="11"/>
      <c r="CE38" s="11"/>
      <c r="CF38" s="10"/>
      <c r="CG38" s="10"/>
      <c r="CH38" s="11"/>
      <c r="CI38" s="11"/>
      <c r="CJ38" s="11"/>
      <c r="CK38" s="11"/>
      <c r="CL38" s="11"/>
      <c r="CM38" s="10"/>
      <c r="CN38" s="10"/>
      <c r="CO38" s="40"/>
      <c r="CP38" s="11"/>
      <c r="CQ38" s="11"/>
      <c r="CR38" s="11"/>
      <c r="CS38" s="11"/>
      <c r="CT38" s="10"/>
      <c r="CU38" s="10"/>
      <c r="CV38" s="40"/>
      <c r="CW38" s="11"/>
      <c r="CX38" s="11"/>
      <c r="CY38" s="11"/>
      <c r="CZ38" s="11"/>
      <c r="DA38" s="10"/>
      <c r="DB38" s="10"/>
      <c r="DC38" s="11"/>
      <c r="DD38" s="11"/>
      <c r="DE38" s="11"/>
      <c r="DF38" s="11"/>
      <c r="DG38" s="11"/>
      <c r="DH38" s="10"/>
      <c r="DI38" s="10"/>
      <c r="DJ38" s="11"/>
      <c r="DK38" s="11"/>
      <c r="DL38" s="11"/>
      <c r="DM38" s="11"/>
      <c r="DN38" s="40"/>
      <c r="DO38" s="10"/>
      <c r="DP38" s="10"/>
      <c r="DQ38" s="11"/>
      <c r="DR38" s="11"/>
      <c r="DS38" s="11"/>
      <c r="DT38" s="11"/>
      <c r="DU38" s="11"/>
      <c r="DV38" s="10"/>
      <c r="DW38" s="10"/>
      <c r="DX38" s="11"/>
      <c r="DY38" s="11"/>
      <c r="DZ38" s="11"/>
      <c r="EA38" s="11"/>
      <c r="EB38" s="11"/>
      <c r="EC38" s="10"/>
      <c r="ED38" s="10"/>
      <c r="EE38" s="11"/>
      <c r="EF38" s="11"/>
      <c r="EG38" s="11"/>
      <c r="EH38" s="11"/>
      <c r="EI38" s="11"/>
      <c r="EJ38" s="10"/>
      <c r="EK38" s="10"/>
      <c r="EL38" s="11"/>
      <c r="EM38" s="11"/>
      <c r="EN38" s="11"/>
      <c r="EO38" s="11"/>
      <c r="EP38" s="11"/>
      <c r="EQ38" s="10"/>
      <c r="ER38" s="10"/>
      <c r="ES38" s="11"/>
      <c r="ET38" s="11"/>
      <c r="EU38" s="11"/>
      <c r="EV38" s="11"/>
      <c r="EW38" s="11"/>
      <c r="EX38" s="10"/>
      <c r="EY38" s="10"/>
      <c r="EZ38" s="11"/>
      <c r="FA38" s="11"/>
      <c r="FB38" s="11"/>
      <c r="FC38" s="11"/>
      <c r="FD38" s="11"/>
      <c r="FE38" s="10"/>
      <c r="FF38" s="10"/>
      <c r="FG38" s="11"/>
      <c r="FH38" s="11"/>
      <c r="FI38" s="11"/>
      <c r="FJ38" s="11"/>
      <c r="FK38" s="11"/>
      <c r="FL38" s="10"/>
      <c r="FM38" s="10"/>
      <c r="FN38" s="11"/>
      <c r="FO38" s="11"/>
      <c r="FP38" s="11"/>
      <c r="FQ38" s="11"/>
      <c r="FR38" s="11"/>
      <c r="FS38" s="10"/>
      <c r="FT38" s="10"/>
      <c r="FU38" s="11"/>
      <c r="FV38" s="11"/>
      <c r="FW38" s="11"/>
      <c r="FX38" s="11"/>
      <c r="FY38" s="40"/>
      <c r="FZ38" s="10"/>
      <c r="GA38" s="10"/>
      <c r="GB38" s="11"/>
      <c r="GC38" s="11"/>
      <c r="GD38" s="11"/>
      <c r="GE38" s="11"/>
      <c r="GF38" s="11"/>
      <c r="GG38" s="10"/>
      <c r="GH38" s="10"/>
      <c r="GI38" s="11"/>
      <c r="GJ38" s="11"/>
      <c r="GK38" s="11"/>
      <c r="GL38" s="11"/>
      <c r="GM38" s="11"/>
      <c r="GN38" s="10"/>
      <c r="GO38" s="10"/>
      <c r="GP38" s="11"/>
      <c r="GQ38" s="11"/>
      <c r="GR38" s="11"/>
      <c r="GS38" s="11"/>
      <c r="GT38" s="11"/>
      <c r="GU38" s="10"/>
      <c r="GV38" s="10"/>
      <c r="GW38" s="40"/>
      <c r="GX38" s="40"/>
      <c r="GY38" s="11"/>
      <c r="GZ38" s="11"/>
      <c r="HA38" s="11"/>
      <c r="HB38" s="10"/>
      <c r="HC38" s="10"/>
      <c r="HD38" s="11"/>
      <c r="HE38" s="11"/>
      <c r="HF38" s="11"/>
      <c r="HG38" s="11"/>
      <c r="HH38" s="11"/>
      <c r="HI38" s="10"/>
      <c r="HJ38" s="10"/>
      <c r="HK38" s="11"/>
      <c r="HL38" s="11"/>
      <c r="HM38" s="11"/>
      <c r="HN38" s="11"/>
      <c r="HO38" s="11"/>
      <c r="HP38" s="10"/>
      <c r="HQ38" s="10"/>
      <c r="HR38" s="40"/>
      <c r="HS38" s="11"/>
      <c r="HT38" s="11"/>
      <c r="HU38" s="11"/>
      <c r="HV38" s="11"/>
      <c r="HW38" s="10"/>
      <c r="HX38" s="10"/>
      <c r="HY38" s="11"/>
      <c r="HZ38" s="11"/>
      <c r="IA38" s="11"/>
      <c r="IB38" s="11"/>
      <c r="IC38" s="11"/>
      <c r="ID38" s="10"/>
      <c r="IE38" s="10"/>
      <c r="IF38" s="11"/>
      <c r="IG38" s="11"/>
      <c r="IH38" s="11"/>
      <c r="II38" s="11"/>
      <c r="IJ38" s="11"/>
      <c r="IK38" s="10"/>
      <c r="IL38" s="10"/>
      <c r="IM38" s="11"/>
      <c r="IN38" s="11"/>
      <c r="IO38" s="11"/>
      <c r="IP38" s="11"/>
      <c r="IQ38" s="11"/>
      <c r="IR38" s="10"/>
      <c r="IS38" s="10"/>
      <c r="IT38" s="15" t="s">
        <v>1</v>
      </c>
      <c r="IU38" s="15" t="s">
        <v>1</v>
      </c>
      <c r="IV38" s="15" t="s">
        <v>1</v>
      </c>
      <c r="IW38" s="15" t="s">
        <v>1</v>
      </c>
      <c r="IX38" s="15" t="s">
        <v>1</v>
      </c>
      <c r="IY38" s="10"/>
      <c r="IZ38" s="10"/>
      <c r="JA38" s="15" t="s">
        <v>1</v>
      </c>
      <c r="JB38" s="15" t="s">
        <v>1</v>
      </c>
      <c r="JC38" s="40"/>
      <c r="JD38" s="15" t="s">
        <v>1</v>
      </c>
      <c r="JE38" s="15" t="s">
        <v>1</v>
      </c>
      <c r="JF38" s="10"/>
      <c r="JG38" s="10"/>
      <c r="JH38" s="15" t="s">
        <v>1</v>
      </c>
      <c r="JI38" s="15" t="s">
        <v>1</v>
      </c>
      <c r="JJ38" s="15" t="s">
        <v>1</v>
      </c>
      <c r="JK38" s="15" t="s">
        <v>1</v>
      </c>
      <c r="JL38" s="15" t="s">
        <v>1</v>
      </c>
      <c r="JM38" s="10"/>
      <c r="JN38" s="10"/>
      <c r="JO38" s="11"/>
      <c r="JP38" s="11"/>
      <c r="JQ38" s="11"/>
      <c r="JR38" s="11"/>
      <c r="JS38" s="11"/>
      <c r="JT38" s="10"/>
      <c r="JU38" s="10"/>
      <c r="JV38" s="11"/>
      <c r="JW38" s="11"/>
      <c r="JX38" s="11"/>
      <c r="JY38" s="11"/>
      <c r="JZ38" s="11"/>
      <c r="KA38" s="10"/>
      <c r="KB38" s="10"/>
      <c r="KC38" s="11"/>
      <c r="KD38" s="11"/>
      <c r="KE38" s="11"/>
      <c r="KF38" s="11"/>
      <c r="KG38" s="11"/>
      <c r="KH38" s="10"/>
      <c r="KI38" s="10"/>
      <c r="KJ38" s="11"/>
      <c r="KK38" s="11"/>
      <c r="KL38" s="11"/>
      <c r="KM38" s="11"/>
      <c r="KN38" s="11"/>
      <c r="KO38" s="10"/>
      <c r="KP38" s="10"/>
      <c r="KQ38" s="11"/>
      <c r="KR38" s="11"/>
      <c r="KS38" s="11"/>
      <c r="KT38" s="11"/>
      <c r="KU38" s="11"/>
      <c r="KV38" s="10"/>
      <c r="KW38" s="10"/>
      <c r="KX38" s="11"/>
      <c r="KY38" s="11"/>
      <c r="KZ38" s="15" t="s">
        <v>1</v>
      </c>
      <c r="LA38" s="15" t="s">
        <v>1</v>
      </c>
      <c r="LB38" s="15" t="s">
        <v>1</v>
      </c>
      <c r="LC38" s="10"/>
      <c r="LD38" s="10"/>
      <c r="LE38" s="11"/>
      <c r="LF38" s="11"/>
      <c r="LG38" s="11"/>
      <c r="LH38" s="11"/>
      <c r="LI38" s="11"/>
      <c r="LJ38" s="10"/>
      <c r="LK38" s="10"/>
      <c r="LL38" s="11"/>
      <c r="LM38" s="11"/>
      <c r="LN38" s="11"/>
      <c r="LO38" s="11"/>
      <c r="LP38" s="11"/>
      <c r="LQ38" s="10"/>
      <c r="LR38" s="10"/>
      <c r="LS38" s="11"/>
      <c r="LT38" s="11"/>
      <c r="LU38" s="11"/>
      <c r="LV38" s="11"/>
      <c r="LW38" s="11"/>
      <c r="LX38" s="10"/>
      <c r="LY38" s="10"/>
      <c r="LZ38" s="11"/>
      <c r="MA38" s="11"/>
      <c r="MB38" s="11"/>
      <c r="MC38" s="11"/>
      <c r="MD38" s="11"/>
      <c r="ME38" s="10"/>
      <c r="MF38" s="10"/>
      <c r="MG38" s="11"/>
      <c r="MH38" s="33"/>
      <c r="MI38" s="33"/>
      <c r="MJ38" s="33"/>
      <c r="MK38" s="33"/>
      <c r="ML38" s="42"/>
      <c r="MM38" s="42"/>
      <c r="MN38" s="33"/>
      <c r="MO38" s="33"/>
      <c r="MP38" s="33"/>
      <c r="MQ38" s="33"/>
      <c r="MR38" s="33"/>
      <c r="MS38" s="42"/>
      <c r="MT38" s="42"/>
      <c r="MU38" s="33"/>
      <c r="MV38" s="33"/>
      <c r="MW38" s="33"/>
      <c r="MX38" s="33"/>
      <c r="MY38" s="33"/>
      <c r="MZ38" s="42"/>
      <c r="NA38" s="42"/>
      <c r="NB38" s="33"/>
      <c r="NC38" s="33"/>
      <c r="ND38" s="33"/>
      <c r="NE38" s="33"/>
      <c r="NF38" s="33"/>
      <c r="NG38" s="42"/>
      <c r="NH38" s="42"/>
      <c r="NI38" s="33"/>
      <c r="NJ38" s="33"/>
      <c r="NK38" s="33"/>
      <c r="NL38" s="33"/>
    </row>
    <row r="39" spans="1:376" customFormat="1">
      <c r="A39" s="39"/>
      <c r="B39" s="29" t="s">
        <v>57</v>
      </c>
      <c r="C39" s="29" t="s">
        <v>36</v>
      </c>
      <c r="D39" s="29" t="s">
        <v>58</v>
      </c>
      <c r="E39" s="37">
        <v>0</v>
      </c>
      <c r="F39" s="29">
        <v>23</v>
      </c>
      <c r="G39" s="29">
        <v>2</v>
      </c>
      <c r="H39" s="29">
        <f t="shared" si="0"/>
        <v>8</v>
      </c>
      <c r="I39" s="30">
        <f t="shared" si="1"/>
        <v>2</v>
      </c>
      <c r="J39" s="30">
        <f t="shared" si="2"/>
        <v>0</v>
      </c>
      <c r="K39" s="30">
        <f t="shared" si="3"/>
        <v>1</v>
      </c>
      <c r="L39" s="41"/>
      <c r="M39" s="40"/>
      <c r="N39" s="10"/>
      <c r="O39" s="10"/>
      <c r="P39" s="40"/>
      <c r="Q39" s="11"/>
      <c r="R39" s="11"/>
      <c r="S39" s="11"/>
      <c r="T39" s="11"/>
      <c r="U39" s="10"/>
      <c r="V39" s="10"/>
      <c r="W39" s="40"/>
      <c r="X39" s="11"/>
      <c r="Y39" s="11"/>
      <c r="Z39" s="11"/>
      <c r="AA39" s="11"/>
      <c r="AB39" s="10"/>
      <c r="AC39" s="10"/>
      <c r="AD39" s="11"/>
      <c r="AE39" s="11"/>
      <c r="AF39" s="11"/>
      <c r="AG39" s="11"/>
      <c r="AH39" s="11"/>
      <c r="AI39" s="10"/>
      <c r="AJ39" s="10"/>
      <c r="AK39" s="11"/>
      <c r="AL39" s="11"/>
      <c r="AM39" s="11"/>
      <c r="AN39" s="11"/>
      <c r="AO39" s="11"/>
      <c r="AP39" s="10"/>
      <c r="AQ39" s="10"/>
      <c r="AR39" s="11"/>
      <c r="AS39" s="11"/>
      <c r="AT39" s="11"/>
      <c r="AU39" s="11"/>
      <c r="AV39" s="11"/>
      <c r="AW39" s="10"/>
      <c r="AX39" s="10"/>
      <c r="AY39" s="11"/>
      <c r="AZ39" s="11"/>
      <c r="BA39" s="11"/>
      <c r="BB39" s="11"/>
      <c r="BC39" s="11"/>
      <c r="BD39" s="10"/>
      <c r="BE39" s="10"/>
      <c r="BF39" s="11"/>
      <c r="BG39" s="11"/>
      <c r="BH39" s="11"/>
      <c r="BI39" s="11"/>
      <c r="BJ39" s="11"/>
      <c r="BK39" s="10"/>
      <c r="BL39" s="10"/>
      <c r="BM39" s="11"/>
      <c r="BN39" s="11"/>
      <c r="BO39" s="11"/>
      <c r="BP39" s="11"/>
      <c r="BQ39" s="11"/>
      <c r="BR39" s="10"/>
      <c r="BS39" s="10"/>
      <c r="BT39" s="11"/>
      <c r="BU39" s="11"/>
      <c r="BV39" s="11"/>
      <c r="BW39" s="11"/>
      <c r="BX39" s="11"/>
      <c r="BY39" s="10"/>
      <c r="BZ39" s="10"/>
      <c r="CA39" s="11"/>
      <c r="CB39" s="11"/>
      <c r="CC39" s="11"/>
      <c r="CD39" s="11"/>
      <c r="CE39" s="11"/>
      <c r="CF39" s="10"/>
      <c r="CG39" s="10"/>
      <c r="CH39" s="11"/>
      <c r="CI39" s="11"/>
      <c r="CJ39" s="11"/>
      <c r="CK39" s="11"/>
      <c r="CL39" s="11"/>
      <c r="CM39" s="10"/>
      <c r="CN39" s="10"/>
      <c r="CO39" s="11"/>
      <c r="CP39" s="11"/>
      <c r="CQ39" s="11"/>
      <c r="CR39" s="11"/>
      <c r="CS39" s="11"/>
      <c r="CT39" s="10"/>
      <c r="CU39" s="10"/>
      <c r="CV39" s="11"/>
      <c r="CW39" s="11"/>
      <c r="CX39" s="11"/>
      <c r="CY39" s="11"/>
      <c r="CZ39" s="11"/>
      <c r="DA39" s="10"/>
      <c r="DB39" s="10"/>
      <c r="DC39" s="11"/>
      <c r="DD39" s="11"/>
      <c r="DE39" s="11"/>
      <c r="DF39" s="11"/>
      <c r="DG39" s="11"/>
      <c r="DH39" s="10"/>
      <c r="DI39" s="10"/>
      <c r="DJ39" s="11"/>
      <c r="DK39" s="11"/>
      <c r="DL39" s="11"/>
      <c r="DM39" s="11"/>
      <c r="DN39" s="11"/>
      <c r="DO39" s="10"/>
      <c r="DP39" s="10"/>
      <c r="DQ39" s="11"/>
      <c r="DR39" s="11"/>
      <c r="DS39" s="11"/>
      <c r="DT39" s="11"/>
      <c r="DU39" s="11"/>
      <c r="DV39" s="10"/>
      <c r="DW39" s="10"/>
      <c r="DX39" s="11"/>
      <c r="DY39" s="11"/>
      <c r="DZ39" s="11"/>
      <c r="EA39" s="11"/>
      <c r="EB39" s="11"/>
      <c r="EC39" s="10"/>
      <c r="ED39" s="10"/>
      <c r="EE39" s="21" t="s">
        <v>7</v>
      </c>
      <c r="EF39" s="11"/>
      <c r="EG39" s="11"/>
      <c r="EH39" s="11"/>
      <c r="EI39" s="11"/>
      <c r="EJ39" s="10"/>
      <c r="EK39" s="10"/>
      <c r="EL39" s="11"/>
      <c r="EM39" s="11"/>
      <c r="EN39" s="11"/>
      <c r="EO39" s="11"/>
      <c r="EP39" s="11"/>
      <c r="EQ39" s="10"/>
      <c r="ER39" s="10"/>
      <c r="ES39" s="15" t="s">
        <v>1</v>
      </c>
      <c r="ET39" s="15" t="s">
        <v>1</v>
      </c>
      <c r="EU39" s="15" t="s">
        <v>1</v>
      </c>
      <c r="EV39" s="15" t="s">
        <v>1</v>
      </c>
      <c r="EW39" s="15" t="s">
        <v>1</v>
      </c>
      <c r="EX39" s="10"/>
      <c r="EY39" s="10"/>
      <c r="EZ39" s="15" t="s">
        <v>1</v>
      </c>
      <c r="FA39" s="15" t="s">
        <v>1</v>
      </c>
      <c r="FB39" s="15" t="s">
        <v>1</v>
      </c>
      <c r="FC39" s="15" t="s">
        <v>1</v>
      </c>
      <c r="FD39" s="15" t="s">
        <v>1</v>
      </c>
      <c r="FE39" s="10"/>
      <c r="FF39" s="10"/>
      <c r="FG39" s="15" t="s">
        <v>1</v>
      </c>
      <c r="FH39" s="15" t="s">
        <v>1</v>
      </c>
      <c r="FI39" s="15" t="s">
        <v>1</v>
      </c>
      <c r="FJ39" s="15" t="s">
        <v>1</v>
      </c>
      <c r="FK39" s="15" t="s">
        <v>1</v>
      </c>
      <c r="FL39" s="10"/>
      <c r="FM39" s="10"/>
      <c r="FN39" s="11"/>
      <c r="FO39" s="11"/>
      <c r="FP39" s="11"/>
      <c r="FQ39" s="11"/>
      <c r="FR39" s="11"/>
      <c r="FS39" s="10"/>
      <c r="FT39" s="10"/>
      <c r="FU39" s="11"/>
      <c r="FV39" s="11"/>
      <c r="FW39" s="11"/>
      <c r="FX39" s="11"/>
      <c r="FY39" s="11"/>
      <c r="FZ39" s="10"/>
      <c r="GA39" s="10"/>
      <c r="GB39" s="11"/>
      <c r="GC39" s="11"/>
      <c r="GD39" s="11"/>
      <c r="GE39" s="11"/>
      <c r="GF39" s="11"/>
      <c r="GG39" s="10"/>
      <c r="GH39" s="10"/>
      <c r="GI39" s="11"/>
      <c r="GJ39" s="11"/>
      <c r="GK39" s="11"/>
      <c r="GL39" s="11"/>
      <c r="GM39" s="11"/>
      <c r="GN39" s="10"/>
      <c r="GO39" s="10"/>
      <c r="GP39" s="11"/>
      <c r="GQ39" s="11"/>
      <c r="GR39" s="11"/>
      <c r="GS39" s="11"/>
      <c r="GT39" s="11"/>
      <c r="GU39" s="10"/>
      <c r="GV39" s="10"/>
      <c r="GW39" s="11"/>
      <c r="GX39" s="40"/>
      <c r="GY39" s="11"/>
      <c r="GZ39" s="11"/>
      <c r="HA39" s="11"/>
      <c r="HB39" s="10"/>
      <c r="HC39" s="10"/>
      <c r="HD39" s="11"/>
      <c r="HE39" s="11"/>
      <c r="HF39" s="11"/>
      <c r="HG39" s="11"/>
      <c r="HH39" s="11"/>
      <c r="HI39" s="10"/>
      <c r="HJ39" s="10"/>
      <c r="HK39" s="11"/>
      <c r="HL39" s="11"/>
      <c r="HM39" s="11"/>
      <c r="HN39" s="11"/>
      <c r="HO39" s="11"/>
      <c r="HP39" s="10"/>
      <c r="HQ39" s="10"/>
      <c r="HR39" s="40"/>
      <c r="HS39" s="11"/>
      <c r="HT39" s="11"/>
      <c r="HU39" s="11"/>
      <c r="HV39" s="11"/>
      <c r="HW39" s="10"/>
      <c r="HX39" s="10"/>
      <c r="HY39" s="11"/>
      <c r="HZ39" s="11"/>
      <c r="IA39" s="11"/>
      <c r="IB39" s="11"/>
      <c r="IC39" s="11"/>
      <c r="ID39" s="10"/>
      <c r="IE39" s="10"/>
      <c r="IF39" s="11"/>
      <c r="IG39" s="11"/>
      <c r="IH39" s="11"/>
      <c r="II39" s="11"/>
      <c r="IJ39" s="11"/>
      <c r="IK39" s="10"/>
      <c r="IL39" s="10"/>
      <c r="IM39" s="11"/>
      <c r="IN39" s="11"/>
      <c r="IO39" s="11"/>
      <c r="IP39" s="11"/>
      <c r="IQ39" s="11"/>
      <c r="IR39" s="10"/>
      <c r="IS39" s="10"/>
      <c r="IT39" s="11"/>
      <c r="IU39" s="11"/>
      <c r="IV39" s="11"/>
      <c r="IW39" s="11"/>
      <c r="IX39" s="11"/>
      <c r="IY39" s="10"/>
      <c r="IZ39" s="10"/>
      <c r="JA39" s="40"/>
      <c r="JB39" s="11"/>
      <c r="JC39" s="40"/>
      <c r="JD39" s="11"/>
      <c r="JE39" s="11"/>
      <c r="JF39" s="10"/>
      <c r="JG39" s="10"/>
      <c r="JH39" s="11"/>
      <c r="JI39" s="11"/>
      <c r="JJ39" s="11"/>
      <c r="JK39" s="11"/>
      <c r="JL39" s="11"/>
      <c r="JM39" s="10"/>
      <c r="JN39" s="10"/>
      <c r="JO39" s="11"/>
      <c r="JP39" s="11"/>
      <c r="JQ39" s="11"/>
      <c r="JR39" s="11"/>
      <c r="JS39" s="40"/>
      <c r="JT39" s="10"/>
      <c r="JU39" s="10"/>
      <c r="JV39" s="11"/>
      <c r="JW39" s="11"/>
      <c r="JX39" s="11"/>
      <c r="JY39" s="11"/>
      <c r="JZ39" s="40"/>
      <c r="KA39" s="10"/>
      <c r="KB39" s="10"/>
      <c r="KC39" s="11"/>
      <c r="KD39" s="11"/>
      <c r="KE39" s="11"/>
      <c r="KF39" s="40"/>
      <c r="KG39" s="11"/>
      <c r="KH39" s="10"/>
      <c r="KI39" s="10"/>
      <c r="KJ39" s="11"/>
      <c r="KK39" s="11"/>
      <c r="KL39" s="11"/>
      <c r="KM39" s="11"/>
      <c r="KN39" s="11"/>
      <c r="KO39" s="10"/>
      <c r="KP39" s="10"/>
      <c r="KQ39" s="11"/>
      <c r="KR39" s="11"/>
      <c r="KS39" s="11"/>
      <c r="KT39" s="11"/>
      <c r="KU39" s="11"/>
      <c r="KV39" s="10"/>
      <c r="KW39" s="10"/>
      <c r="KX39" s="11"/>
      <c r="KY39" s="11"/>
      <c r="KZ39" s="11"/>
      <c r="LA39" s="11"/>
      <c r="LB39" s="11"/>
      <c r="LC39" s="10"/>
      <c r="LD39" s="10"/>
      <c r="LE39" s="11"/>
      <c r="LF39" s="11"/>
      <c r="LG39" s="11"/>
      <c r="LH39" s="11"/>
      <c r="LI39" s="11"/>
      <c r="LJ39" s="10"/>
      <c r="LK39" s="10"/>
      <c r="LL39" s="11"/>
      <c r="LM39" s="11"/>
      <c r="LN39" s="11"/>
      <c r="LO39" s="11"/>
      <c r="LP39" s="11"/>
      <c r="LQ39" s="10"/>
      <c r="LR39" s="10"/>
      <c r="LS39" s="11"/>
      <c r="LT39" s="11"/>
      <c r="LU39" s="11"/>
      <c r="LV39" s="11"/>
      <c r="LW39" s="11"/>
      <c r="LX39" s="10"/>
      <c r="LY39" s="10"/>
      <c r="LZ39" s="11"/>
      <c r="MA39" s="11"/>
      <c r="MB39" s="11"/>
      <c r="MC39" s="11"/>
      <c r="MD39" s="11"/>
      <c r="ME39" s="10"/>
      <c r="MF39" s="10"/>
      <c r="MG39" s="11"/>
      <c r="MH39" s="11"/>
      <c r="MI39" s="11"/>
      <c r="MJ39" s="11"/>
      <c r="MK39" s="11"/>
      <c r="ML39" s="10"/>
      <c r="MM39" s="10"/>
      <c r="MN39" s="11"/>
      <c r="MO39" s="11"/>
      <c r="MP39" s="11"/>
      <c r="MQ39" s="11"/>
      <c r="MR39" s="11"/>
      <c r="MS39" s="10"/>
      <c r="MT39" s="10"/>
      <c r="MU39" s="11"/>
      <c r="MV39" s="11"/>
      <c r="MW39" s="11"/>
      <c r="MX39" s="11"/>
      <c r="MY39" s="11"/>
      <c r="MZ39" s="10"/>
      <c r="NA39" s="10"/>
      <c r="NB39" s="11"/>
      <c r="NC39" s="11"/>
      <c r="ND39" s="11"/>
      <c r="NE39" s="11"/>
      <c r="NF39" s="11"/>
      <c r="NG39" s="10"/>
      <c r="NH39" s="10"/>
      <c r="NI39" s="11"/>
      <c r="NJ39" s="11"/>
      <c r="NK39" s="11"/>
      <c r="NL39" s="11"/>
    </row>
    <row r="40" spans="1:376" customFormat="1" ht="15" customHeight="1">
      <c r="A40" s="39"/>
      <c r="B40" s="29" t="s">
        <v>59</v>
      </c>
      <c r="C40" s="29" t="s">
        <v>30</v>
      </c>
      <c r="D40" s="29" t="s">
        <v>60</v>
      </c>
      <c r="E40" s="37">
        <v>0</v>
      </c>
      <c r="F40" s="29">
        <v>23</v>
      </c>
      <c r="G40" s="29">
        <v>0</v>
      </c>
      <c r="H40" s="29">
        <f t="shared" si="0"/>
        <v>17</v>
      </c>
      <c r="I40" s="30">
        <f t="shared" si="1"/>
        <v>-3</v>
      </c>
      <c r="J40" s="30">
        <f t="shared" si="2"/>
        <v>0</v>
      </c>
      <c r="K40" s="30">
        <f t="shared" si="3"/>
        <v>0</v>
      </c>
      <c r="L40" s="41"/>
      <c r="M40" s="40"/>
      <c r="N40" s="10"/>
      <c r="O40" s="10"/>
      <c r="P40" s="11"/>
      <c r="Q40" s="11"/>
      <c r="R40" s="11"/>
      <c r="S40" s="11"/>
      <c r="T40" s="11"/>
      <c r="U40" s="10"/>
      <c r="V40" s="10"/>
      <c r="W40" s="11"/>
      <c r="X40" s="11"/>
      <c r="Y40" s="11"/>
      <c r="Z40" s="11"/>
      <c r="AA40" s="11"/>
      <c r="AB40" s="10"/>
      <c r="AC40" s="10"/>
      <c r="AD40" s="11"/>
      <c r="AE40" s="11"/>
      <c r="AF40" s="11"/>
      <c r="AG40" s="11"/>
      <c r="AH40" s="11"/>
      <c r="AI40" s="10"/>
      <c r="AJ40" s="10"/>
      <c r="AK40" s="11"/>
      <c r="AL40" s="11"/>
      <c r="AM40" s="11"/>
      <c r="AN40" s="11"/>
      <c r="AO40" s="11"/>
      <c r="AP40" s="10"/>
      <c r="AQ40" s="10"/>
      <c r="AR40" s="11"/>
      <c r="AS40" s="11"/>
      <c r="AT40" s="11"/>
      <c r="AU40" s="11"/>
      <c r="AV40" s="11"/>
      <c r="AW40" s="10"/>
      <c r="AX40" s="10"/>
      <c r="AY40" s="11"/>
      <c r="AZ40" s="11"/>
      <c r="BA40" s="11"/>
      <c r="BB40" s="11"/>
      <c r="BC40" s="11"/>
      <c r="BD40" s="10"/>
      <c r="BE40" s="10"/>
      <c r="BF40" s="11"/>
      <c r="BG40" s="11"/>
      <c r="BH40" s="11"/>
      <c r="BI40" s="11"/>
      <c r="BJ40" s="40"/>
      <c r="BK40" s="10"/>
      <c r="BL40" s="10"/>
      <c r="BM40" s="11"/>
      <c r="BN40" s="11"/>
      <c r="BO40" s="11"/>
      <c r="BP40" s="11"/>
      <c r="BQ40" s="11"/>
      <c r="BR40" s="10"/>
      <c r="BS40" s="10"/>
      <c r="BT40" s="11"/>
      <c r="BU40" s="11"/>
      <c r="BV40" s="11"/>
      <c r="BW40" s="11"/>
      <c r="BX40" s="11"/>
      <c r="BY40" s="10"/>
      <c r="BZ40" s="10"/>
      <c r="CA40" s="11"/>
      <c r="CB40" s="11"/>
      <c r="CC40" s="11"/>
      <c r="CD40" s="11"/>
      <c r="CE40" s="11"/>
      <c r="CF40" s="10"/>
      <c r="CG40" s="10"/>
      <c r="CH40" s="11"/>
      <c r="CI40" s="11"/>
      <c r="CJ40" s="11"/>
      <c r="CK40" s="11"/>
      <c r="CL40" s="11"/>
      <c r="CM40" s="10"/>
      <c r="CN40" s="10"/>
      <c r="CO40" s="40"/>
      <c r="CP40" s="11"/>
      <c r="CQ40" s="11"/>
      <c r="CR40" s="11"/>
      <c r="CS40" s="11"/>
      <c r="CT40" s="10"/>
      <c r="CU40" s="10"/>
      <c r="CV40" s="40"/>
      <c r="CW40" s="11"/>
      <c r="CX40" s="11"/>
      <c r="CY40" s="11"/>
      <c r="CZ40" s="11"/>
      <c r="DA40" s="10"/>
      <c r="DB40" s="10"/>
      <c r="DC40" s="11"/>
      <c r="DD40" s="11"/>
      <c r="DE40" s="11"/>
      <c r="DF40" s="11"/>
      <c r="DG40" s="11"/>
      <c r="DH40" s="10"/>
      <c r="DI40" s="10"/>
      <c r="DJ40" s="15" t="s">
        <v>1</v>
      </c>
      <c r="DK40" s="15" t="s">
        <v>1</v>
      </c>
      <c r="DL40" s="15" t="s">
        <v>1</v>
      </c>
      <c r="DM40" s="15" t="s">
        <v>1</v>
      </c>
      <c r="DN40" s="40"/>
      <c r="DO40" s="10"/>
      <c r="DP40" s="10"/>
      <c r="DQ40" s="11"/>
      <c r="DR40" s="11"/>
      <c r="DS40" s="11"/>
      <c r="DT40" s="11"/>
      <c r="DU40" s="11"/>
      <c r="DV40" s="10"/>
      <c r="DW40" s="10"/>
      <c r="DX40" s="11"/>
      <c r="DY40" s="11"/>
      <c r="DZ40" s="11"/>
      <c r="EA40" s="11"/>
      <c r="EB40" s="11"/>
      <c r="EC40" s="10"/>
      <c r="ED40" s="10"/>
      <c r="EE40" s="11"/>
      <c r="EF40" s="11"/>
      <c r="EG40" s="11"/>
      <c r="EH40" s="11"/>
      <c r="EI40" s="11"/>
      <c r="EJ40" s="10"/>
      <c r="EK40" s="10"/>
      <c r="EL40" s="11"/>
      <c r="EM40" s="11"/>
      <c r="EN40" s="11"/>
      <c r="EO40" s="11"/>
      <c r="EP40" s="11"/>
      <c r="EQ40" s="10"/>
      <c r="ER40" s="10"/>
      <c r="ES40" s="11"/>
      <c r="ET40" s="11"/>
      <c r="EU40" s="11"/>
      <c r="EV40" s="11"/>
      <c r="EW40" s="11"/>
      <c r="EX40" s="10"/>
      <c r="EY40" s="10"/>
      <c r="EZ40" s="11"/>
      <c r="FA40" s="11"/>
      <c r="FB40" s="11"/>
      <c r="FC40" s="11"/>
      <c r="FD40" s="11"/>
      <c r="FE40" s="10"/>
      <c r="FF40" s="10"/>
      <c r="FG40" s="11"/>
      <c r="FH40" s="11"/>
      <c r="FI40" s="11"/>
      <c r="FJ40" s="11"/>
      <c r="FK40" s="11"/>
      <c r="FL40" s="10"/>
      <c r="FM40" s="10"/>
      <c r="FN40" s="11"/>
      <c r="FO40" s="11"/>
      <c r="FP40" s="11"/>
      <c r="FQ40" s="11"/>
      <c r="FR40" s="11"/>
      <c r="FS40" s="10"/>
      <c r="FT40" s="10"/>
      <c r="FU40" s="11"/>
      <c r="FV40" s="11"/>
      <c r="FW40" s="11"/>
      <c r="FX40" s="11"/>
      <c r="FY40" s="40"/>
      <c r="FZ40" s="10"/>
      <c r="GA40" s="10"/>
      <c r="GB40" s="11"/>
      <c r="GC40" s="11"/>
      <c r="GD40" s="11"/>
      <c r="GE40" s="11"/>
      <c r="GF40" s="11"/>
      <c r="GG40" s="10"/>
      <c r="GH40" s="10"/>
      <c r="GI40" s="11"/>
      <c r="GJ40" s="11"/>
      <c r="GK40" s="11"/>
      <c r="GL40" s="11"/>
      <c r="GM40" s="11"/>
      <c r="GN40" s="10"/>
      <c r="GO40" s="10"/>
      <c r="GP40" s="11"/>
      <c r="GQ40" s="11"/>
      <c r="GR40" s="11"/>
      <c r="GS40" s="11"/>
      <c r="GT40" s="11"/>
      <c r="GU40" s="10"/>
      <c r="GV40" s="10"/>
      <c r="GW40" s="40"/>
      <c r="GX40" s="11"/>
      <c r="GY40" s="11"/>
      <c r="GZ40" s="11"/>
      <c r="HA40" s="11"/>
      <c r="HB40" s="10"/>
      <c r="HC40" s="10"/>
      <c r="HD40" s="11"/>
      <c r="HE40" s="11"/>
      <c r="HF40" s="11"/>
      <c r="HG40" s="11"/>
      <c r="HH40" s="11"/>
      <c r="HI40" s="10"/>
      <c r="HJ40" s="10"/>
      <c r="HK40" s="11"/>
      <c r="HL40" s="11"/>
      <c r="HM40" s="11"/>
      <c r="HN40" s="11"/>
      <c r="HO40" s="11"/>
      <c r="HP40" s="10"/>
      <c r="HQ40" s="10"/>
      <c r="HR40" s="40"/>
      <c r="HS40" s="11"/>
      <c r="HT40" s="11"/>
      <c r="HU40" s="11"/>
      <c r="HV40" s="11"/>
      <c r="HW40" s="10"/>
      <c r="HX40" s="10"/>
      <c r="HY40" s="11"/>
      <c r="HZ40" s="11"/>
      <c r="IA40" s="11"/>
      <c r="IB40" s="11"/>
      <c r="IC40" s="11"/>
      <c r="ID40" s="10"/>
      <c r="IE40" s="10"/>
      <c r="IF40" s="11"/>
      <c r="IG40" s="11"/>
      <c r="IH40" s="11"/>
      <c r="II40" s="11"/>
      <c r="IJ40" s="11"/>
      <c r="IK40" s="10"/>
      <c r="IL40" s="10"/>
      <c r="IM40" s="11"/>
      <c r="IN40" s="11"/>
      <c r="IO40" s="11"/>
      <c r="IP40" s="11"/>
      <c r="IQ40" s="11"/>
      <c r="IR40" s="10"/>
      <c r="IS40" s="10"/>
      <c r="IT40" s="11"/>
      <c r="IU40" s="11"/>
      <c r="IV40" s="11"/>
      <c r="IW40" s="11"/>
      <c r="IX40" s="11"/>
      <c r="IY40" s="10"/>
      <c r="IZ40" s="10"/>
      <c r="JA40" s="11"/>
      <c r="JB40" s="11"/>
      <c r="JC40" s="40"/>
      <c r="JD40" s="11"/>
      <c r="JE40" s="11"/>
      <c r="JF40" s="10"/>
      <c r="JG40" s="10"/>
      <c r="JH40" s="11"/>
      <c r="JI40" s="11"/>
      <c r="JJ40" s="11"/>
      <c r="JK40" s="11"/>
      <c r="JL40" s="11"/>
      <c r="JM40" s="10"/>
      <c r="JN40" s="10"/>
      <c r="JO40" s="11"/>
      <c r="JP40" s="11"/>
      <c r="JQ40" s="11"/>
      <c r="JR40" s="11"/>
      <c r="JS40" s="11"/>
      <c r="JT40" s="10"/>
      <c r="JU40" s="10"/>
      <c r="JV40" s="11"/>
      <c r="JW40" s="11"/>
      <c r="JX40" s="11"/>
      <c r="JY40" s="11"/>
      <c r="JZ40" s="11"/>
      <c r="KA40" s="10"/>
      <c r="KB40" s="10"/>
      <c r="KC40" s="11"/>
      <c r="KD40" s="11"/>
      <c r="KE40" s="11"/>
      <c r="KF40" s="11"/>
      <c r="KG40" s="11"/>
      <c r="KH40" s="10"/>
      <c r="KI40" s="10"/>
      <c r="KJ40" s="11"/>
      <c r="KK40" s="11"/>
      <c r="KL40" s="11"/>
      <c r="KM40" s="11"/>
      <c r="KN40" s="11"/>
      <c r="KO40" s="10"/>
      <c r="KP40" s="10"/>
      <c r="KQ40" s="11"/>
      <c r="KR40" s="11"/>
      <c r="KS40" s="11"/>
      <c r="KT40" s="11"/>
      <c r="KU40" s="11"/>
      <c r="KV40" s="10"/>
      <c r="KW40" s="10"/>
      <c r="KX40" s="11"/>
      <c r="KY40" s="11"/>
      <c r="KZ40" s="11"/>
      <c r="LA40" s="11"/>
      <c r="LB40" s="11"/>
      <c r="LC40" s="10"/>
      <c r="LD40" s="10"/>
      <c r="LE40" s="11"/>
      <c r="LF40" s="11"/>
      <c r="LG40" s="11"/>
      <c r="LH40" s="17" t="s">
        <v>3</v>
      </c>
      <c r="LI40" s="17" t="s">
        <v>3</v>
      </c>
      <c r="LJ40" s="10"/>
      <c r="LK40" s="10"/>
      <c r="LL40" s="17" t="s">
        <v>3</v>
      </c>
      <c r="LM40" s="15" t="s">
        <v>1</v>
      </c>
      <c r="LN40" s="15" t="s">
        <v>1</v>
      </c>
      <c r="LO40" s="11"/>
      <c r="LP40" s="11"/>
      <c r="LQ40" s="10"/>
      <c r="LR40" s="10"/>
      <c r="LS40" s="11"/>
      <c r="LT40" s="11"/>
      <c r="LU40" s="11"/>
      <c r="LV40" s="11"/>
      <c r="LW40" s="11"/>
      <c r="LX40" s="10"/>
      <c r="LY40" s="10"/>
      <c r="LZ40" s="11"/>
      <c r="MA40" s="11"/>
      <c r="MB40" s="11"/>
      <c r="MC40" s="11"/>
      <c r="MD40" s="11"/>
      <c r="ME40" s="10"/>
      <c r="MF40" s="10"/>
      <c r="MG40" s="11"/>
      <c r="MH40" s="11"/>
      <c r="MI40" s="11"/>
      <c r="MJ40" s="11"/>
      <c r="MK40" s="11"/>
      <c r="ML40" s="10"/>
      <c r="MM40" s="10"/>
      <c r="MN40" s="11"/>
      <c r="MO40" s="11"/>
      <c r="MP40" s="11"/>
      <c r="MQ40" s="11"/>
      <c r="MR40" s="11"/>
      <c r="MS40" s="10"/>
      <c r="MT40" s="10"/>
      <c r="MU40" s="11"/>
      <c r="MV40" s="11"/>
      <c r="MW40" s="11"/>
      <c r="MX40" s="11"/>
      <c r="MY40" s="11"/>
      <c r="MZ40" s="10"/>
      <c r="NA40" s="10"/>
      <c r="NB40" s="11"/>
      <c r="NC40" s="11"/>
      <c r="ND40" s="11"/>
      <c r="NE40" s="11"/>
      <c r="NF40" s="11"/>
      <c r="NG40" s="10"/>
      <c r="NH40" s="10"/>
      <c r="NI40" s="11"/>
      <c r="NJ40" s="11"/>
      <c r="NK40" s="11"/>
      <c r="NL40" s="11"/>
    </row>
    <row r="41" spans="1:376" customFormat="1" ht="15" customHeight="1">
      <c r="A41" s="39"/>
      <c r="B41" s="29" t="s">
        <v>61</v>
      </c>
      <c r="C41" s="29" t="s">
        <v>30</v>
      </c>
      <c r="D41" s="29" t="s">
        <v>58</v>
      </c>
      <c r="E41" s="37">
        <v>0</v>
      </c>
      <c r="F41" s="29">
        <v>23</v>
      </c>
      <c r="G41" s="29">
        <v>0</v>
      </c>
      <c r="H41" s="29">
        <f t="shared" si="0"/>
        <v>13</v>
      </c>
      <c r="I41" s="30">
        <f t="shared" si="1"/>
        <v>0</v>
      </c>
      <c r="J41" s="30">
        <f t="shared" si="2"/>
        <v>0</v>
      </c>
      <c r="K41" s="30">
        <f t="shared" si="3"/>
        <v>44</v>
      </c>
      <c r="L41" s="41"/>
      <c r="M41" s="40"/>
      <c r="N41" s="10"/>
      <c r="O41" s="10"/>
      <c r="P41" s="11"/>
      <c r="Q41" s="11"/>
      <c r="R41" s="11"/>
      <c r="S41" s="11"/>
      <c r="T41" s="11"/>
      <c r="U41" s="10"/>
      <c r="V41" s="10"/>
      <c r="W41" s="11"/>
      <c r="X41" s="11"/>
      <c r="Y41" s="11"/>
      <c r="Z41" s="11"/>
      <c r="AA41" s="11"/>
      <c r="AB41" s="10"/>
      <c r="AC41" s="10"/>
      <c r="AD41" s="11"/>
      <c r="AE41" s="11"/>
      <c r="AF41" s="11"/>
      <c r="AG41" s="11"/>
      <c r="AH41" s="11"/>
      <c r="AI41" s="10"/>
      <c r="AJ41" s="10"/>
      <c r="AK41" s="11"/>
      <c r="AL41" s="11"/>
      <c r="AM41" s="11"/>
      <c r="AN41" s="11"/>
      <c r="AO41" s="11"/>
      <c r="AP41" s="10"/>
      <c r="AQ41" s="10"/>
      <c r="AR41" s="11"/>
      <c r="AS41" s="11"/>
      <c r="AT41" s="11"/>
      <c r="AU41" s="11"/>
      <c r="AV41" s="11"/>
      <c r="AW41" s="10"/>
      <c r="AX41" s="10"/>
      <c r="AY41" s="11"/>
      <c r="AZ41" s="11"/>
      <c r="BA41" s="11"/>
      <c r="BB41" s="11"/>
      <c r="BC41" s="11"/>
      <c r="BD41" s="10"/>
      <c r="BE41" s="10"/>
      <c r="BF41" s="11"/>
      <c r="BG41" s="11"/>
      <c r="BH41" s="11"/>
      <c r="BI41" s="11"/>
      <c r="BJ41" s="40"/>
      <c r="BK41" s="10"/>
      <c r="BL41" s="10"/>
      <c r="BM41" s="15" t="s">
        <v>1</v>
      </c>
      <c r="BN41" s="15" t="s">
        <v>1</v>
      </c>
      <c r="BO41" s="15" t="s">
        <v>1</v>
      </c>
      <c r="BP41" s="15" t="s">
        <v>1</v>
      </c>
      <c r="BQ41" s="15" t="s">
        <v>1</v>
      </c>
      <c r="BR41" s="10"/>
      <c r="BS41" s="10"/>
      <c r="BT41" s="11"/>
      <c r="BU41" s="11"/>
      <c r="BV41" s="11"/>
      <c r="BW41" s="11"/>
      <c r="BX41" s="11"/>
      <c r="BY41" s="10"/>
      <c r="BZ41" s="10"/>
      <c r="CA41" s="11"/>
      <c r="CB41" s="11"/>
      <c r="CC41" s="11"/>
      <c r="CD41" s="11"/>
      <c r="CE41" s="11"/>
      <c r="CF41" s="10"/>
      <c r="CG41" s="10"/>
      <c r="CH41" s="11"/>
      <c r="CI41" s="11"/>
      <c r="CJ41" s="11"/>
      <c r="CK41" s="11"/>
      <c r="CL41" s="11"/>
      <c r="CM41" s="10"/>
      <c r="CN41" s="10"/>
      <c r="CO41" s="40"/>
      <c r="CP41" s="11"/>
      <c r="CQ41" s="11"/>
      <c r="CR41" s="11"/>
      <c r="CS41" s="11"/>
      <c r="CT41" s="10"/>
      <c r="CU41" s="10"/>
      <c r="CV41" s="40"/>
      <c r="CW41" s="11"/>
      <c r="CX41" s="11"/>
      <c r="CY41" s="11"/>
      <c r="CZ41" s="11"/>
      <c r="DA41" s="10"/>
      <c r="DB41" s="10"/>
      <c r="DC41" s="11"/>
      <c r="DD41" s="11"/>
      <c r="DE41" s="11"/>
      <c r="DF41" s="11"/>
      <c r="DG41" s="11"/>
      <c r="DH41" s="10"/>
      <c r="DI41" s="10"/>
      <c r="DJ41" s="11"/>
      <c r="DK41" s="11"/>
      <c r="DL41" s="11"/>
      <c r="DM41" s="11"/>
      <c r="DN41" s="40"/>
      <c r="DO41" s="10"/>
      <c r="DP41" s="10"/>
      <c r="DQ41" s="11"/>
      <c r="DR41" s="11"/>
      <c r="DS41" s="11"/>
      <c r="DT41" s="11"/>
      <c r="DU41" s="11"/>
      <c r="DV41" s="10"/>
      <c r="DW41" s="10"/>
      <c r="DX41" s="11"/>
      <c r="DY41" s="11"/>
      <c r="DZ41" s="11"/>
      <c r="EA41" s="11"/>
      <c r="EB41" s="11"/>
      <c r="EC41" s="10"/>
      <c r="ED41" s="10"/>
      <c r="EE41" s="11"/>
      <c r="EF41" s="11"/>
      <c r="EG41" s="11"/>
      <c r="EH41" s="11"/>
      <c r="EI41" s="11"/>
      <c r="EJ41" s="10"/>
      <c r="EK41" s="10"/>
      <c r="EL41" s="11"/>
      <c r="EM41" s="11"/>
      <c r="EN41" s="11"/>
      <c r="EO41" s="11"/>
      <c r="EP41" s="11"/>
      <c r="EQ41" s="10"/>
      <c r="ER41" s="10"/>
      <c r="ES41" s="11"/>
      <c r="ET41" s="11"/>
      <c r="EU41" s="11"/>
      <c r="EV41" s="11"/>
      <c r="EW41" s="11"/>
      <c r="EX41" s="10"/>
      <c r="EY41" s="10"/>
      <c r="EZ41" s="11"/>
      <c r="FA41" s="11"/>
      <c r="FB41" s="11"/>
      <c r="FC41" s="11"/>
      <c r="FD41" s="11"/>
      <c r="FE41" s="10"/>
      <c r="FF41" s="10"/>
      <c r="FG41" s="11"/>
      <c r="FH41" s="11"/>
      <c r="FI41" s="11"/>
      <c r="FJ41" s="11"/>
      <c r="FK41" s="11"/>
      <c r="FL41" s="10"/>
      <c r="FM41" s="10"/>
      <c r="FN41" s="11"/>
      <c r="FO41" s="11"/>
      <c r="FP41" s="11"/>
      <c r="FQ41" s="11"/>
      <c r="FR41" s="11"/>
      <c r="FS41" s="10"/>
      <c r="FT41" s="10"/>
      <c r="FU41" s="11"/>
      <c r="FV41" s="11"/>
      <c r="FW41" s="11"/>
      <c r="FX41" s="11"/>
      <c r="FY41" s="40"/>
      <c r="FZ41" s="10"/>
      <c r="GA41" s="10"/>
      <c r="GB41" s="11"/>
      <c r="GC41" s="11"/>
      <c r="GD41" s="11"/>
      <c r="GE41" s="11"/>
      <c r="GF41" s="11"/>
      <c r="GG41" s="10"/>
      <c r="GH41" s="10"/>
      <c r="GI41" s="11"/>
      <c r="GJ41" s="11"/>
      <c r="GK41" s="11"/>
      <c r="GL41" s="11"/>
      <c r="GM41" s="11"/>
      <c r="GN41" s="10"/>
      <c r="GO41" s="10"/>
      <c r="GP41" s="11"/>
      <c r="GQ41" s="11"/>
      <c r="GR41" s="11"/>
      <c r="GS41" s="11"/>
      <c r="GT41" s="11"/>
      <c r="GU41" s="10"/>
      <c r="GV41" s="10"/>
      <c r="GW41" s="40"/>
      <c r="GX41" s="11"/>
      <c r="GY41" s="11"/>
      <c r="GZ41" s="11"/>
      <c r="HA41" s="11"/>
      <c r="HB41" s="10"/>
      <c r="HC41" s="10"/>
      <c r="HD41" s="11"/>
      <c r="HE41" s="11"/>
      <c r="HF41" s="11"/>
      <c r="HG41" s="11"/>
      <c r="HH41" s="11"/>
      <c r="HI41" s="10"/>
      <c r="HJ41" s="10"/>
      <c r="HK41" s="11"/>
      <c r="HL41" s="11"/>
      <c r="HM41" s="11"/>
      <c r="HN41" s="11"/>
      <c r="HO41" s="11"/>
      <c r="HP41" s="10"/>
      <c r="HQ41" s="10"/>
      <c r="HR41" s="40"/>
      <c r="HS41" s="11"/>
      <c r="HT41" s="11"/>
      <c r="HU41" s="11"/>
      <c r="HV41" s="11"/>
      <c r="HW41" s="10"/>
      <c r="HX41" s="10"/>
      <c r="HY41" s="11"/>
      <c r="HZ41" s="11"/>
      <c r="IA41" s="11"/>
      <c r="IB41" s="11"/>
      <c r="IC41" s="11"/>
      <c r="ID41" s="10"/>
      <c r="IE41" s="10"/>
      <c r="IF41" s="11"/>
      <c r="IG41" s="11"/>
      <c r="IH41" s="11"/>
      <c r="II41" s="11"/>
      <c r="IJ41" s="11"/>
      <c r="IK41" s="10"/>
      <c r="IL41" s="10"/>
      <c r="IM41" s="11"/>
      <c r="IN41" s="11"/>
      <c r="IO41" s="11"/>
      <c r="IP41" s="11"/>
      <c r="IQ41" s="11"/>
      <c r="IR41" s="10"/>
      <c r="IS41" s="10"/>
      <c r="IT41" s="11"/>
      <c r="IU41" s="11"/>
      <c r="IV41" s="11"/>
      <c r="IW41" s="11"/>
      <c r="IX41" s="11"/>
      <c r="IY41" s="10"/>
      <c r="IZ41" s="10"/>
      <c r="JA41" s="11"/>
      <c r="JB41" s="11"/>
      <c r="JC41" s="40"/>
      <c r="JD41" s="11"/>
      <c r="JE41" s="11"/>
      <c r="JF41" s="10"/>
      <c r="JG41" s="10"/>
      <c r="JH41" s="11"/>
      <c r="JI41" s="11"/>
      <c r="JJ41" s="11"/>
      <c r="JK41" s="11"/>
      <c r="JL41" s="11"/>
      <c r="JM41" s="10"/>
      <c r="JN41" s="10"/>
      <c r="JO41" s="11"/>
      <c r="JP41" s="11"/>
      <c r="JQ41" s="11"/>
      <c r="JR41" s="11"/>
      <c r="JS41" s="11"/>
      <c r="JT41" s="10"/>
      <c r="JU41" s="10"/>
      <c r="JV41" s="11"/>
      <c r="JW41" s="11"/>
      <c r="JX41" s="11"/>
      <c r="JY41" s="11"/>
      <c r="JZ41" s="11"/>
      <c r="KA41" s="10"/>
      <c r="KB41" s="10"/>
      <c r="KC41" s="15" t="s">
        <v>1</v>
      </c>
      <c r="KD41" s="15" t="s">
        <v>1</v>
      </c>
      <c r="KE41" s="15" t="s">
        <v>1</v>
      </c>
      <c r="KF41" s="15" t="s">
        <v>1</v>
      </c>
      <c r="KG41" s="15" t="s">
        <v>1</v>
      </c>
      <c r="KH41" s="10"/>
      <c r="KI41" s="10"/>
      <c r="KJ41" s="21" t="s">
        <v>7</v>
      </c>
      <c r="KK41" s="21" t="s">
        <v>7</v>
      </c>
      <c r="KL41" s="21" t="s">
        <v>7</v>
      </c>
      <c r="KM41" s="21" t="s">
        <v>7</v>
      </c>
      <c r="KN41" s="21" t="s">
        <v>7</v>
      </c>
      <c r="KO41" s="10"/>
      <c r="KP41" s="10"/>
      <c r="KQ41" s="21" t="s">
        <v>7</v>
      </c>
      <c r="KR41" s="21" t="s">
        <v>7</v>
      </c>
      <c r="KS41" s="21" t="s">
        <v>7</v>
      </c>
      <c r="KT41" s="21" t="s">
        <v>7</v>
      </c>
      <c r="KU41" s="21" t="s">
        <v>7</v>
      </c>
      <c r="KV41" s="10"/>
      <c r="KW41" s="10"/>
      <c r="KX41" s="21" t="s">
        <v>7</v>
      </c>
      <c r="KY41" s="21" t="s">
        <v>7</v>
      </c>
      <c r="KZ41" s="21" t="s">
        <v>7</v>
      </c>
      <c r="LA41" s="21" t="s">
        <v>7</v>
      </c>
      <c r="LB41" s="21" t="s">
        <v>7</v>
      </c>
      <c r="LC41" s="10"/>
      <c r="LD41" s="10"/>
      <c r="LE41" s="21" t="s">
        <v>7</v>
      </c>
      <c r="LF41" s="21" t="s">
        <v>7</v>
      </c>
      <c r="LG41" s="21" t="s">
        <v>7</v>
      </c>
      <c r="LH41" s="21" t="s">
        <v>7</v>
      </c>
      <c r="LI41" s="21" t="s">
        <v>7</v>
      </c>
      <c r="LJ41" s="10"/>
      <c r="LK41" s="10"/>
      <c r="LL41" s="21" t="s">
        <v>7</v>
      </c>
      <c r="LM41" s="21" t="s">
        <v>7</v>
      </c>
      <c r="LN41" s="21" t="s">
        <v>7</v>
      </c>
      <c r="LO41" s="21" t="s">
        <v>7</v>
      </c>
      <c r="LP41" s="21" t="s">
        <v>7</v>
      </c>
      <c r="LQ41" s="10"/>
      <c r="LR41" s="10"/>
      <c r="LS41" s="21" t="s">
        <v>7</v>
      </c>
      <c r="LT41" s="21" t="s">
        <v>7</v>
      </c>
      <c r="LU41" s="21" t="s">
        <v>7</v>
      </c>
      <c r="LV41" s="21" t="s">
        <v>7</v>
      </c>
      <c r="LW41" s="21" t="s">
        <v>7</v>
      </c>
      <c r="LX41" s="10"/>
      <c r="LY41" s="10"/>
      <c r="LZ41" s="21" t="s">
        <v>7</v>
      </c>
      <c r="MA41" s="21" t="s">
        <v>7</v>
      </c>
      <c r="MB41" s="21" t="s">
        <v>7</v>
      </c>
      <c r="MC41" s="21" t="s">
        <v>7</v>
      </c>
      <c r="MD41" s="21" t="s">
        <v>7</v>
      </c>
      <c r="ME41" s="10"/>
      <c r="MF41" s="10"/>
      <c r="MG41" s="21" t="s">
        <v>7</v>
      </c>
      <c r="MH41" s="21" t="s">
        <v>7</v>
      </c>
      <c r="MI41" s="21" t="s">
        <v>7</v>
      </c>
      <c r="MJ41" s="21" t="s">
        <v>7</v>
      </c>
      <c r="MK41" s="21" t="s">
        <v>7</v>
      </c>
      <c r="ML41" s="10"/>
      <c r="MM41" s="10"/>
      <c r="MN41" s="21" t="s">
        <v>7</v>
      </c>
      <c r="MO41" s="21" t="s">
        <v>7</v>
      </c>
      <c r="MP41" s="21" t="s">
        <v>7</v>
      </c>
      <c r="MQ41" s="21" t="s">
        <v>7</v>
      </c>
      <c r="MR41" s="11"/>
      <c r="MS41" s="10"/>
      <c r="MT41" s="10"/>
      <c r="MU41" s="11"/>
      <c r="MV41" s="11"/>
      <c r="MW41" s="11"/>
      <c r="MX41" s="11"/>
      <c r="MY41" s="11"/>
      <c r="MZ41" s="10"/>
      <c r="NA41" s="10"/>
      <c r="NB41" s="11"/>
      <c r="NC41" s="11"/>
      <c r="ND41" s="11"/>
      <c r="NE41" s="11"/>
      <c r="NF41" s="11"/>
      <c r="NG41" s="10"/>
      <c r="NH41" s="10"/>
      <c r="NI41" s="11"/>
      <c r="NJ41" s="11"/>
      <c r="NK41" s="11"/>
      <c r="NL41" s="11"/>
    </row>
    <row r="42" spans="1:376" customFormat="1" ht="15" customHeight="1">
      <c r="A42" s="39"/>
      <c r="B42" s="29" t="s">
        <v>83</v>
      </c>
      <c r="C42" s="29" t="s">
        <v>30</v>
      </c>
      <c r="D42" s="29" t="s">
        <v>58</v>
      </c>
      <c r="E42" s="37">
        <v>0</v>
      </c>
      <c r="F42" s="29">
        <v>23</v>
      </c>
      <c r="G42" s="29">
        <v>0</v>
      </c>
      <c r="H42" s="29">
        <f t="shared" si="0"/>
        <v>11</v>
      </c>
      <c r="I42" s="30">
        <f t="shared" si="1"/>
        <v>0</v>
      </c>
      <c r="J42" s="30">
        <f t="shared" si="2"/>
        <v>0</v>
      </c>
      <c r="K42" s="30">
        <f t="shared" si="3"/>
        <v>0</v>
      </c>
      <c r="L42" s="41"/>
      <c r="M42" s="40"/>
      <c r="N42" s="10"/>
      <c r="O42" s="10"/>
      <c r="P42" s="45"/>
      <c r="Q42" s="45"/>
      <c r="R42" s="45"/>
      <c r="S42" s="45"/>
      <c r="T42" s="45"/>
      <c r="U42" s="45"/>
      <c r="V42" s="45"/>
      <c r="W42" s="46"/>
      <c r="X42" s="46"/>
      <c r="Y42" s="46"/>
      <c r="Z42" s="46"/>
      <c r="AA42" s="46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10"/>
      <c r="BZ42" s="10"/>
      <c r="CA42" s="11"/>
      <c r="CB42" s="11"/>
      <c r="CC42" s="11"/>
      <c r="CD42" s="11"/>
      <c r="CE42" s="11"/>
      <c r="CF42" s="10"/>
      <c r="CG42" s="10"/>
      <c r="CH42" s="11"/>
      <c r="CI42" s="11"/>
      <c r="CJ42" s="11"/>
      <c r="CK42" s="11"/>
      <c r="CL42" s="11"/>
      <c r="CM42" s="10"/>
      <c r="CN42" s="10"/>
      <c r="CO42" s="40"/>
      <c r="CP42" s="11"/>
      <c r="CQ42" s="11"/>
      <c r="CR42" s="11"/>
      <c r="CS42" s="11"/>
      <c r="CT42" s="10"/>
      <c r="CU42" s="10"/>
      <c r="CV42" s="40"/>
      <c r="CW42" s="11"/>
      <c r="CX42" s="11"/>
      <c r="CY42" s="11"/>
      <c r="CZ42" s="11"/>
      <c r="DA42" s="10"/>
      <c r="DB42" s="10"/>
      <c r="DC42" s="11"/>
      <c r="DD42" s="11"/>
      <c r="DE42" s="11"/>
      <c r="DF42" s="11"/>
      <c r="DG42" s="11"/>
      <c r="DH42" s="10"/>
      <c r="DI42" s="10"/>
      <c r="DJ42" s="11"/>
      <c r="DK42" s="11"/>
      <c r="DL42" s="11"/>
      <c r="DM42" s="11"/>
      <c r="DN42" s="40"/>
      <c r="DO42" s="10"/>
      <c r="DP42" s="10"/>
      <c r="DQ42" s="11"/>
      <c r="DR42" s="11"/>
      <c r="DS42" s="11"/>
      <c r="DT42" s="11"/>
      <c r="DU42" s="11"/>
      <c r="DV42" s="10"/>
      <c r="DW42" s="10"/>
      <c r="DX42" s="11"/>
      <c r="DY42" s="11"/>
      <c r="DZ42" s="11"/>
      <c r="EA42" s="11"/>
      <c r="EB42" s="11"/>
      <c r="EC42" s="10"/>
      <c r="ED42" s="10"/>
      <c r="EE42" s="11"/>
      <c r="EF42" s="11"/>
      <c r="EG42" s="11"/>
      <c r="EH42" s="11"/>
      <c r="EI42" s="11"/>
      <c r="EJ42" s="10"/>
      <c r="EK42" s="10"/>
      <c r="EL42" s="11"/>
      <c r="EM42" s="11"/>
      <c r="EN42" s="11"/>
      <c r="EO42" s="11"/>
      <c r="EP42" s="11"/>
      <c r="EQ42" s="10"/>
      <c r="ER42" s="10"/>
      <c r="ES42" s="11"/>
      <c r="ET42" s="11"/>
      <c r="EU42" s="11"/>
      <c r="EV42" s="11"/>
      <c r="EW42" s="11"/>
      <c r="EX42" s="10"/>
      <c r="EY42" s="10"/>
      <c r="EZ42" s="11"/>
      <c r="FA42" s="11"/>
      <c r="FB42" s="11"/>
      <c r="FC42" s="11"/>
      <c r="FD42" s="11"/>
      <c r="FE42" s="10"/>
      <c r="FF42" s="10"/>
      <c r="FG42" s="11"/>
      <c r="FH42" s="11"/>
      <c r="FI42" s="11"/>
      <c r="FJ42" s="11"/>
      <c r="FK42" s="11"/>
      <c r="FL42" s="10"/>
      <c r="FM42" s="10"/>
      <c r="FN42" s="11"/>
      <c r="FO42" s="11"/>
      <c r="FP42" s="11"/>
      <c r="FQ42" s="11"/>
      <c r="FR42" s="11"/>
      <c r="FS42" s="10"/>
      <c r="FT42" s="10"/>
      <c r="FU42" s="11"/>
      <c r="FV42" s="11"/>
      <c r="FW42" s="15" t="s">
        <v>1</v>
      </c>
      <c r="FX42" s="11"/>
      <c r="FY42" s="40"/>
      <c r="FZ42" s="10"/>
      <c r="GA42" s="10"/>
      <c r="GB42" s="11"/>
      <c r="GC42" s="11"/>
      <c r="GD42" s="11"/>
      <c r="GE42" s="11"/>
      <c r="GF42" s="11"/>
      <c r="GG42" s="10"/>
      <c r="GH42" s="10"/>
      <c r="GI42" s="11"/>
      <c r="GJ42" s="11"/>
      <c r="GK42" s="11"/>
      <c r="GL42" s="11"/>
      <c r="GM42" s="11"/>
      <c r="GN42" s="10"/>
      <c r="GO42" s="10"/>
      <c r="GP42" s="11"/>
      <c r="GQ42" s="11"/>
      <c r="GR42" s="11"/>
      <c r="GS42" s="11"/>
      <c r="GT42" s="11"/>
      <c r="GU42" s="10"/>
      <c r="GV42" s="10"/>
      <c r="GW42" s="40"/>
      <c r="GX42" s="11"/>
      <c r="GY42" s="11"/>
      <c r="GZ42" s="11"/>
      <c r="HA42" s="11"/>
      <c r="HB42" s="10"/>
      <c r="HC42" s="10"/>
      <c r="HD42" s="11"/>
      <c r="HE42" s="11"/>
      <c r="HF42" s="11"/>
      <c r="HG42" s="11"/>
      <c r="HH42" s="11"/>
      <c r="HI42" s="10"/>
      <c r="HJ42" s="10"/>
      <c r="HK42" s="11"/>
      <c r="HL42" s="11"/>
      <c r="HM42" s="11"/>
      <c r="HN42" s="11"/>
      <c r="HO42" s="11"/>
      <c r="HP42" s="10"/>
      <c r="HQ42" s="10"/>
      <c r="HR42" s="40"/>
      <c r="HS42" s="11"/>
      <c r="HT42" s="11"/>
      <c r="HU42" s="11"/>
      <c r="HV42" s="11"/>
      <c r="HW42" s="10"/>
      <c r="HX42" s="10"/>
      <c r="HY42" s="11"/>
      <c r="HZ42" s="11"/>
      <c r="IA42" s="11"/>
      <c r="IB42" s="11"/>
      <c r="IC42" s="11"/>
      <c r="ID42" s="10"/>
      <c r="IE42" s="10"/>
      <c r="IF42" s="11"/>
      <c r="IG42" s="11"/>
      <c r="IH42" s="11"/>
      <c r="II42" s="11"/>
      <c r="IJ42" s="11"/>
      <c r="IK42" s="10"/>
      <c r="IL42" s="10"/>
      <c r="IM42" s="11"/>
      <c r="IN42" s="11"/>
      <c r="IO42" s="11"/>
      <c r="IP42" s="11"/>
      <c r="IQ42" s="11"/>
      <c r="IR42" s="10"/>
      <c r="IS42" s="10"/>
      <c r="IT42" s="11"/>
      <c r="IU42" s="11"/>
      <c r="IV42" s="11"/>
      <c r="IW42" s="11"/>
      <c r="IX42" s="11"/>
      <c r="IY42" s="10"/>
      <c r="IZ42" s="10"/>
      <c r="JA42" s="11"/>
      <c r="JB42" s="11"/>
      <c r="JC42" s="40"/>
      <c r="JD42" s="11"/>
      <c r="JE42" s="11"/>
      <c r="JF42" s="10"/>
      <c r="JG42" s="10"/>
      <c r="JH42" s="11"/>
      <c r="JI42" s="11"/>
      <c r="JJ42" s="11"/>
      <c r="JK42" s="11"/>
      <c r="JL42" s="11"/>
      <c r="JM42" s="10"/>
      <c r="JN42" s="10"/>
      <c r="JO42" s="11"/>
      <c r="JP42" s="11"/>
      <c r="JQ42" s="11"/>
      <c r="JR42" s="11"/>
      <c r="JS42" s="11"/>
      <c r="JT42" s="10"/>
      <c r="JU42" s="10"/>
      <c r="JV42" s="11"/>
      <c r="JW42" s="11"/>
      <c r="JX42" s="11"/>
      <c r="JY42" s="11"/>
      <c r="JZ42" s="11"/>
      <c r="KA42" s="10"/>
      <c r="KB42" s="10"/>
      <c r="KC42" s="11"/>
      <c r="KD42" s="11"/>
      <c r="KE42" s="11"/>
      <c r="KF42" s="11"/>
      <c r="KG42" s="11"/>
      <c r="KH42" s="10"/>
      <c r="KI42" s="10"/>
      <c r="KJ42" s="11"/>
      <c r="KK42" s="11"/>
      <c r="KL42" s="11"/>
      <c r="KM42" s="11"/>
      <c r="KN42" s="11"/>
      <c r="KO42" s="10"/>
      <c r="KP42" s="10"/>
      <c r="KQ42" s="11"/>
      <c r="KR42" s="11"/>
      <c r="KS42" s="11"/>
      <c r="KT42" s="11"/>
      <c r="KU42" s="11"/>
      <c r="KV42" s="10"/>
      <c r="KW42" s="10"/>
      <c r="KX42" s="11"/>
      <c r="KY42" s="11"/>
      <c r="KZ42" s="11"/>
      <c r="LA42" s="11"/>
      <c r="LB42" s="11"/>
      <c r="LC42" s="10"/>
      <c r="LD42" s="10"/>
      <c r="LE42" s="11"/>
      <c r="LF42" s="11"/>
      <c r="LG42" s="11"/>
      <c r="LH42" s="11"/>
      <c r="LI42" s="15" t="s">
        <v>1</v>
      </c>
      <c r="LJ42" s="10"/>
      <c r="LK42" s="10"/>
      <c r="LL42" s="11"/>
      <c r="LM42" s="11"/>
      <c r="LN42" s="11"/>
      <c r="LO42" s="11"/>
      <c r="LP42" s="11"/>
      <c r="LQ42" s="10"/>
      <c r="LR42" s="10"/>
      <c r="LS42" s="15" t="s">
        <v>1</v>
      </c>
      <c r="LT42" s="15" t="s">
        <v>1</v>
      </c>
      <c r="LU42" s="15" t="s">
        <v>1</v>
      </c>
      <c r="LV42" s="15" t="s">
        <v>1</v>
      </c>
      <c r="LW42" s="15" t="s">
        <v>1</v>
      </c>
      <c r="LX42" s="10"/>
      <c r="LY42" s="10"/>
      <c r="LZ42" s="15" t="s">
        <v>1</v>
      </c>
      <c r="MA42" s="15" t="s">
        <v>1</v>
      </c>
      <c r="MB42" s="15" t="s">
        <v>1</v>
      </c>
      <c r="MC42" s="15" t="s">
        <v>1</v>
      </c>
      <c r="MD42" s="15" t="s">
        <v>1</v>
      </c>
      <c r="ME42" s="10"/>
      <c r="MF42" s="10"/>
      <c r="MG42" s="11"/>
      <c r="MH42" s="11"/>
      <c r="MI42" s="11"/>
      <c r="MJ42" s="11"/>
      <c r="MK42" s="11"/>
      <c r="ML42" s="10"/>
      <c r="MM42" s="10"/>
      <c r="MN42" s="11"/>
      <c r="MO42" s="11"/>
      <c r="MP42" s="11"/>
      <c r="MQ42" s="11"/>
      <c r="MR42" s="11"/>
      <c r="MS42" s="10"/>
      <c r="MT42" s="10"/>
      <c r="MU42" s="11"/>
      <c r="MV42" s="11"/>
      <c r="MW42" s="11"/>
      <c r="MX42" s="11"/>
      <c r="MY42" s="11"/>
      <c r="MZ42" s="10"/>
      <c r="NA42" s="10"/>
      <c r="NB42" s="11"/>
      <c r="NC42" s="11"/>
      <c r="ND42" s="11"/>
      <c r="NE42" s="11"/>
      <c r="NF42" s="11"/>
      <c r="NG42" s="10"/>
      <c r="NH42" s="10"/>
      <c r="NI42" s="11"/>
      <c r="NJ42" s="11"/>
      <c r="NK42" s="11"/>
      <c r="NL42" s="11"/>
    </row>
    <row r="43" spans="1:376" customFormat="1" ht="15" customHeight="1">
      <c r="A43" s="39"/>
      <c r="B43" s="29" t="s">
        <v>84</v>
      </c>
      <c r="C43" s="29" t="s">
        <v>30</v>
      </c>
      <c r="D43" s="29" t="s">
        <v>58</v>
      </c>
      <c r="E43" s="37">
        <v>0</v>
      </c>
      <c r="F43" s="29"/>
      <c r="G43" s="29"/>
      <c r="H43" s="29"/>
      <c r="I43" s="30"/>
      <c r="J43" s="30"/>
      <c r="K43" s="30"/>
      <c r="L43" s="41"/>
      <c r="M43" s="40"/>
      <c r="N43" s="10"/>
      <c r="O43" s="10"/>
      <c r="P43" s="11"/>
      <c r="Q43" s="11"/>
      <c r="R43" s="11"/>
      <c r="S43" s="11"/>
      <c r="T43" s="11"/>
      <c r="U43" s="10"/>
      <c r="V43" s="10"/>
      <c r="W43" s="11"/>
      <c r="X43" s="11"/>
      <c r="Y43" s="11"/>
      <c r="Z43" s="11"/>
      <c r="AA43" s="11"/>
      <c r="AB43" s="10"/>
      <c r="AC43" s="10"/>
      <c r="AD43" s="11"/>
      <c r="AE43" s="11"/>
      <c r="AF43" s="11"/>
      <c r="AG43" s="11"/>
      <c r="AH43" s="11"/>
      <c r="AI43" s="10"/>
      <c r="AJ43" s="10"/>
      <c r="AK43" s="11"/>
      <c r="AL43" s="11"/>
      <c r="AM43" s="11"/>
      <c r="AN43" s="11"/>
      <c r="AO43" s="11"/>
      <c r="AP43" s="10"/>
      <c r="AQ43" s="10"/>
      <c r="AR43" s="11"/>
      <c r="AS43" s="11"/>
      <c r="AT43" s="11"/>
      <c r="AU43" s="11"/>
      <c r="AV43" s="11"/>
      <c r="AW43" s="10"/>
      <c r="AX43" s="10"/>
      <c r="AY43" s="11"/>
      <c r="AZ43" s="11"/>
      <c r="BA43" s="11"/>
      <c r="BB43" s="11"/>
      <c r="BC43" s="11"/>
      <c r="BD43" s="10"/>
      <c r="BE43" s="10"/>
      <c r="BF43" s="11"/>
      <c r="BG43" s="11"/>
      <c r="BH43" s="11"/>
      <c r="BI43" s="11"/>
      <c r="BJ43" s="47"/>
      <c r="BK43" s="10"/>
      <c r="BL43" s="10"/>
      <c r="BM43" s="11"/>
      <c r="BN43" s="11"/>
      <c r="BO43" s="11"/>
      <c r="BP43" s="11"/>
      <c r="BQ43" s="11"/>
      <c r="BR43" s="10"/>
      <c r="BS43" s="10"/>
      <c r="BT43" s="11"/>
      <c r="BU43" s="11"/>
      <c r="BV43" s="11"/>
      <c r="BW43" s="11"/>
      <c r="BX43" s="11"/>
      <c r="BY43" s="10"/>
      <c r="BZ43" s="10"/>
      <c r="CA43" s="11"/>
      <c r="CB43" s="11"/>
      <c r="CC43" s="11"/>
      <c r="CD43" s="11"/>
      <c r="CE43" s="11"/>
      <c r="CF43" s="10"/>
      <c r="CG43" s="10"/>
      <c r="CH43" s="11"/>
      <c r="CI43" s="11"/>
      <c r="CJ43" s="11"/>
      <c r="CK43" s="11"/>
      <c r="CL43" s="11"/>
      <c r="CM43" s="10"/>
      <c r="CN43" s="10"/>
      <c r="CO43" s="40"/>
      <c r="CP43" s="11"/>
      <c r="CQ43" s="11"/>
      <c r="CR43" s="11"/>
      <c r="CS43" s="11"/>
      <c r="CT43" s="10"/>
      <c r="CU43" s="10"/>
      <c r="CV43" s="40"/>
      <c r="CW43" s="11"/>
      <c r="CX43" s="11"/>
      <c r="CY43" s="11"/>
      <c r="CZ43" s="11"/>
      <c r="DA43" s="10"/>
      <c r="DB43" s="10"/>
      <c r="DC43" s="11"/>
      <c r="DD43" s="11"/>
      <c r="DE43" s="11"/>
      <c r="DF43" s="11"/>
      <c r="DG43" s="11"/>
      <c r="DH43" s="10"/>
      <c r="DI43" s="10"/>
      <c r="DJ43" s="11"/>
      <c r="DK43" s="11"/>
      <c r="DL43" s="11"/>
      <c r="DM43" s="11"/>
      <c r="DN43" s="40"/>
      <c r="DO43" s="10"/>
      <c r="DP43" s="10"/>
      <c r="DQ43" s="11"/>
      <c r="DR43" s="11"/>
      <c r="DS43" s="11"/>
      <c r="DT43" s="11"/>
      <c r="DU43" s="11"/>
      <c r="DV43" s="10"/>
      <c r="DW43" s="10"/>
      <c r="DX43" s="43"/>
      <c r="DY43" s="43"/>
      <c r="DZ43" s="43"/>
      <c r="EA43" s="43"/>
      <c r="EB43" s="43"/>
      <c r="EC43" s="10"/>
      <c r="ED43" s="10"/>
      <c r="EE43" s="43"/>
      <c r="EF43" s="43"/>
      <c r="EG43" s="43"/>
      <c r="EH43" s="43"/>
      <c r="EI43" s="43"/>
      <c r="EJ43" s="10"/>
      <c r="EK43" s="10"/>
      <c r="EL43" s="43"/>
      <c r="EM43" s="43"/>
      <c r="EN43" s="43"/>
      <c r="EO43" s="43"/>
      <c r="EP43" s="43"/>
      <c r="EQ43" s="10"/>
      <c r="ER43" s="10"/>
      <c r="ES43" s="40"/>
      <c r="ET43" s="43"/>
      <c r="EU43" s="43"/>
      <c r="EV43" s="43"/>
      <c r="EW43" s="43"/>
      <c r="EX43" s="10"/>
      <c r="EY43" s="10"/>
      <c r="EZ43" s="11"/>
      <c r="FA43" s="11"/>
      <c r="FB43" s="11"/>
      <c r="FC43" s="11"/>
      <c r="FD43" s="11"/>
      <c r="FE43" s="10"/>
      <c r="FF43" s="10"/>
      <c r="FG43" s="11"/>
      <c r="FH43" s="11"/>
      <c r="FI43" s="11"/>
      <c r="FJ43" s="11"/>
      <c r="FK43" s="11"/>
      <c r="FL43" s="10"/>
      <c r="FM43" s="10"/>
      <c r="FN43" s="11"/>
      <c r="FO43" s="11"/>
      <c r="FP43" s="11"/>
      <c r="FQ43" s="11"/>
      <c r="FR43" s="11"/>
      <c r="FS43" s="10"/>
      <c r="FT43" s="10"/>
      <c r="FU43" s="11"/>
      <c r="FV43" s="11"/>
      <c r="FW43" s="11"/>
      <c r="FX43" s="11"/>
      <c r="FY43" s="40"/>
      <c r="FZ43" s="10"/>
      <c r="GA43" s="10"/>
      <c r="GB43" s="11"/>
      <c r="GC43" s="11"/>
      <c r="GD43" s="11"/>
      <c r="GE43" s="11"/>
      <c r="GF43" s="11"/>
      <c r="GG43" s="10"/>
      <c r="GH43" s="10"/>
      <c r="GI43" s="11"/>
      <c r="GJ43" s="11"/>
      <c r="GK43" s="11"/>
      <c r="GL43" s="11"/>
      <c r="GM43" s="11"/>
      <c r="GN43" s="10"/>
      <c r="GO43" s="10"/>
      <c r="GP43" s="11"/>
      <c r="GQ43" s="11"/>
      <c r="GR43" s="11"/>
      <c r="GS43" s="11"/>
      <c r="GT43" s="11"/>
      <c r="GU43" s="10"/>
      <c r="GV43" s="10"/>
      <c r="GW43" s="40"/>
      <c r="GX43" s="11"/>
      <c r="GY43" s="11"/>
      <c r="GZ43" s="11"/>
      <c r="HA43" s="11"/>
      <c r="HB43" s="10"/>
      <c r="HC43" s="10"/>
      <c r="HD43" s="11"/>
      <c r="HE43" s="11"/>
      <c r="HF43" s="11"/>
      <c r="HG43" s="11"/>
      <c r="HH43" s="11"/>
      <c r="HI43" s="10"/>
      <c r="HJ43" s="10"/>
      <c r="HK43" s="11"/>
      <c r="HL43" s="11"/>
      <c r="HM43" s="11"/>
      <c r="HN43" s="11"/>
      <c r="HO43" s="11"/>
      <c r="HP43" s="10"/>
      <c r="HQ43" s="10"/>
      <c r="HR43" s="40"/>
      <c r="HS43" s="11"/>
      <c r="HT43" s="11"/>
      <c r="HU43" s="11"/>
      <c r="HV43" s="11"/>
      <c r="HW43" s="10"/>
      <c r="HX43" s="10"/>
      <c r="HY43" s="11"/>
      <c r="HZ43" s="11"/>
      <c r="IA43" s="11"/>
      <c r="IB43" s="11"/>
      <c r="IC43" s="11"/>
      <c r="ID43" s="10"/>
      <c r="IE43" s="10"/>
      <c r="IF43" s="11"/>
      <c r="IG43" s="15" t="s">
        <v>1</v>
      </c>
      <c r="IH43" s="11"/>
      <c r="II43" s="11"/>
      <c r="IJ43" s="11"/>
      <c r="IK43" s="10"/>
      <c r="IL43" s="10"/>
      <c r="IM43" s="11"/>
      <c r="IN43" s="11"/>
      <c r="IO43" s="11"/>
      <c r="IP43" s="11"/>
      <c r="IQ43" s="11"/>
      <c r="IR43" s="10"/>
      <c r="IS43" s="10"/>
      <c r="IT43" s="11"/>
      <c r="IU43" s="11"/>
      <c r="IV43" s="11"/>
      <c r="IW43" s="11"/>
      <c r="IX43" s="11"/>
      <c r="IY43" s="10"/>
      <c r="IZ43" s="10"/>
      <c r="JA43" s="40"/>
      <c r="JB43" s="11"/>
      <c r="JC43" s="40"/>
      <c r="JD43" s="11"/>
      <c r="JE43" s="11"/>
      <c r="JF43" s="10"/>
      <c r="JG43" s="10"/>
      <c r="JH43" s="11"/>
      <c r="JI43" s="11"/>
      <c r="JJ43" s="11"/>
      <c r="JK43" s="11"/>
      <c r="JL43" s="11"/>
      <c r="JM43" s="10"/>
      <c r="JN43" s="10"/>
      <c r="JO43" s="11"/>
      <c r="JP43" s="11"/>
      <c r="JQ43" s="11"/>
      <c r="JR43" s="11"/>
      <c r="JS43" s="40"/>
      <c r="JT43" s="10"/>
      <c r="JU43" s="10"/>
      <c r="JV43" s="11"/>
      <c r="JW43" s="11"/>
      <c r="JX43" s="11"/>
      <c r="JY43" s="11"/>
      <c r="JZ43" s="40"/>
      <c r="KA43" s="10"/>
      <c r="KB43" s="10"/>
      <c r="KC43" s="11"/>
      <c r="KD43" s="11"/>
      <c r="KE43" s="11"/>
      <c r="KF43" s="40"/>
      <c r="KG43" s="11"/>
      <c r="KH43" s="10"/>
      <c r="KI43" s="10"/>
      <c r="KJ43" s="11"/>
      <c r="KK43" s="11"/>
      <c r="KL43" s="11"/>
      <c r="KM43" s="11"/>
      <c r="KN43" s="11"/>
      <c r="KO43" s="10"/>
      <c r="KP43" s="10"/>
      <c r="KQ43" s="11"/>
      <c r="KR43" s="11"/>
      <c r="KS43" s="11"/>
      <c r="KT43" s="11"/>
      <c r="KU43" s="11"/>
      <c r="KV43" s="10"/>
      <c r="KW43" s="10"/>
      <c r="KX43" s="11"/>
      <c r="KY43" s="11"/>
      <c r="KZ43" s="11"/>
      <c r="LA43" s="11"/>
      <c r="LB43" s="11"/>
      <c r="LC43" s="10"/>
      <c r="LD43" s="10"/>
      <c r="LE43" s="11"/>
      <c r="LF43" s="11"/>
      <c r="LG43" s="11"/>
      <c r="LH43" s="11"/>
      <c r="LI43" s="11"/>
      <c r="LJ43" s="10"/>
      <c r="LK43" s="10"/>
      <c r="LL43" s="11"/>
      <c r="LM43" s="11"/>
      <c r="LN43" s="11"/>
      <c r="LO43" s="11"/>
      <c r="LP43" s="11"/>
      <c r="LQ43" s="10"/>
      <c r="LR43" s="10"/>
      <c r="LS43" s="11"/>
      <c r="LT43" s="11"/>
      <c r="LU43" s="11"/>
      <c r="LV43" s="11"/>
      <c r="LW43" s="11"/>
      <c r="LX43" s="10"/>
      <c r="LY43" s="10"/>
      <c r="LZ43" s="11"/>
      <c r="MA43" s="11"/>
      <c r="MB43" s="11"/>
      <c r="MC43" s="11"/>
      <c r="MD43" s="11"/>
      <c r="ME43" s="10"/>
      <c r="MF43" s="10"/>
      <c r="MG43" s="11"/>
      <c r="MH43" s="11"/>
      <c r="MI43" s="11"/>
      <c r="MJ43" s="11"/>
      <c r="MK43" s="11"/>
      <c r="ML43" s="10"/>
      <c r="MM43" s="10"/>
      <c r="MN43" s="11"/>
      <c r="MO43" s="11"/>
      <c r="MP43" s="11"/>
      <c r="MQ43" s="11"/>
      <c r="MR43" s="11"/>
      <c r="MS43" s="10"/>
      <c r="MT43" s="10"/>
      <c r="MU43" s="11"/>
      <c r="MV43" s="11"/>
      <c r="MW43" s="11"/>
      <c r="MX43" s="11"/>
      <c r="MY43" s="11"/>
      <c r="MZ43" s="10"/>
      <c r="NA43" s="10"/>
      <c r="NB43" s="11"/>
      <c r="NC43" s="11"/>
      <c r="ND43" s="11"/>
      <c r="NE43" s="11"/>
      <c r="NF43" s="11"/>
      <c r="NG43" s="10"/>
      <c r="NH43" s="10"/>
      <c r="NI43" s="11"/>
      <c r="NJ43" s="11"/>
      <c r="NK43" s="11"/>
      <c r="NL43" s="11"/>
    </row>
    <row r="44" spans="1:376" customFormat="1" ht="15" customHeight="1">
      <c r="A44" s="39"/>
      <c r="B44" s="29" t="s">
        <v>68</v>
      </c>
      <c r="C44" s="29" t="s">
        <v>30</v>
      </c>
      <c r="D44" s="29" t="s">
        <v>58</v>
      </c>
      <c r="E44" s="37">
        <v>0</v>
      </c>
      <c r="F44" s="29">
        <v>23</v>
      </c>
      <c r="G44" s="29">
        <v>0</v>
      </c>
      <c r="H44" s="29">
        <f>E44+F44-COUNTIF(L44:NL44,$C$2)</f>
        <v>18</v>
      </c>
      <c r="I44" s="30">
        <f>G44-COUNTIF(L44:NL44,$C$3)</f>
        <v>0</v>
      </c>
      <c r="J44" s="30">
        <f>COUNTIF(K44:NJ44,$C$4)</f>
        <v>0</v>
      </c>
      <c r="K44" s="30">
        <f>COUNTIF(L44:NL44,$C$5)</f>
        <v>0</v>
      </c>
      <c r="L44" s="41"/>
      <c r="M44" s="40"/>
      <c r="N44" s="10"/>
      <c r="O44" s="10"/>
      <c r="P44" s="11"/>
      <c r="Q44" s="11"/>
      <c r="R44" s="11"/>
      <c r="S44" s="11"/>
      <c r="T44" s="11"/>
      <c r="U44" s="10"/>
      <c r="V44" s="10"/>
      <c r="W44" s="15" t="s">
        <v>1</v>
      </c>
      <c r="X44" s="15" t="s">
        <v>1</v>
      </c>
      <c r="Y44" s="15" t="s">
        <v>1</v>
      </c>
      <c r="Z44" s="15" t="s">
        <v>1</v>
      </c>
      <c r="AA44" s="15" t="s">
        <v>1</v>
      </c>
      <c r="AB44" s="10"/>
      <c r="AC44" s="10"/>
      <c r="AD44" s="11"/>
      <c r="AE44" s="11"/>
      <c r="AF44" s="11"/>
      <c r="AG44" s="11"/>
      <c r="AH44" s="11"/>
      <c r="AI44" s="10"/>
      <c r="AJ44" s="10"/>
      <c r="AK44" s="11"/>
      <c r="AL44" s="11"/>
      <c r="AM44" s="11"/>
      <c r="AN44" s="11"/>
      <c r="AO44" s="11"/>
      <c r="AP44" s="10"/>
      <c r="AQ44" s="10"/>
      <c r="AR44" s="11"/>
      <c r="AS44" s="11"/>
      <c r="AT44" s="11"/>
      <c r="AU44" s="11"/>
      <c r="AV44" s="11"/>
      <c r="AW44" s="10"/>
      <c r="AX44" s="10"/>
      <c r="AY44" s="11"/>
      <c r="AZ44" s="11"/>
      <c r="BA44" s="11"/>
      <c r="BB44" s="11"/>
      <c r="BC44" s="11"/>
      <c r="BD44" s="10"/>
      <c r="BE44" s="10"/>
      <c r="BF44" s="11"/>
      <c r="BG44" s="11"/>
      <c r="BH44" s="11"/>
      <c r="BI44" s="11"/>
      <c r="BJ44" s="40"/>
      <c r="BK44" s="10"/>
      <c r="BL44" s="10"/>
      <c r="BM44" s="11"/>
      <c r="BN44" s="11"/>
      <c r="BO44" s="11"/>
      <c r="BP44" s="11"/>
      <c r="BQ44" s="11"/>
      <c r="BR44" s="10"/>
      <c r="BS44" s="10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  <c r="ES44" s="45"/>
      <c r="ET44" s="45"/>
      <c r="EU44" s="45"/>
      <c r="EV44" s="45"/>
      <c r="EW44" s="45"/>
      <c r="EX44" s="45"/>
      <c r="EY44" s="45"/>
      <c r="EZ44" s="45"/>
      <c r="FA44" s="45"/>
      <c r="FB44" s="45"/>
      <c r="FC44" s="45"/>
      <c r="FD44" s="45"/>
      <c r="FE44" s="45"/>
      <c r="FF44" s="45"/>
      <c r="FG44" s="45"/>
      <c r="FH44" s="45"/>
      <c r="FI44" s="45"/>
      <c r="FJ44" s="45"/>
      <c r="FK44" s="45"/>
      <c r="FL44" s="45"/>
      <c r="FM44" s="45"/>
      <c r="FN44" s="45"/>
      <c r="FO44" s="45"/>
      <c r="FP44" s="45"/>
      <c r="FQ44" s="45"/>
      <c r="FR44" s="45"/>
      <c r="FS44" s="45"/>
      <c r="FT44" s="45"/>
      <c r="FU44" s="45"/>
      <c r="FV44" s="45"/>
      <c r="FW44" s="45"/>
      <c r="FX44" s="45"/>
      <c r="FY44" s="45"/>
      <c r="FZ44" s="45"/>
      <c r="GA44" s="45"/>
      <c r="GB44" s="45"/>
      <c r="GC44" s="45"/>
      <c r="GD44" s="45"/>
      <c r="GE44" s="45"/>
      <c r="GF44" s="45"/>
      <c r="GG44" s="45"/>
      <c r="GH44" s="45"/>
      <c r="GI44" s="45"/>
      <c r="GJ44" s="45"/>
      <c r="GK44" s="45"/>
      <c r="GL44" s="45"/>
      <c r="GM44" s="45"/>
      <c r="GN44" s="45"/>
      <c r="GO44" s="45"/>
      <c r="GP44" s="45"/>
      <c r="GQ44" s="45"/>
      <c r="GR44" s="45"/>
      <c r="GS44" s="45"/>
      <c r="GT44" s="45"/>
      <c r="GU44" s="45"/>
      <c r="GV44" s="45"/>
      <c r="GW44" s="45"/>
      <c r="GX44" s="45"/>
      <c r="GY44" s="45"/>
      <c r="GZ44" s="45"/>
      <c r="HA44" s="45"/>
      <c r="HB44" s="45"/>
      <c r="HC44" s="45"/>
      <c r="HD44" s="45"/>
      <c r="HE44" s="45"/>
      <c r="HF44" s="45"/>
      <c r="HG44" s="45"/>
      <c r="HH44" s="45"/>
      <c r="HI44" s="45"/>
      <c r="HJ44" s="45"/>
      <c r="HK44" s="45"/>
      <c r="HL44" s="45"/>
      <c r="HM44" s="45"/>
      <c r="HN44" s="45"/>
      <c r="HO44" s="45"/>
      <c r="HP44" s="45"/>
      <c r="HQ44" s="45"/>
      <c r="HR44" s="45"/>
      <c r="HS44" s="45"/>
      <c r="HT44" s="45"/>
      <c r="HU44" s="45"/>
      <c r="HV44" s="45"/>
      <c r="HW44" s="45"/>
      <c r="HX44" s="45"/>
      <c r="HY44" s="45"/>
      <c r="HZ44" s="45"/>
      <c r="IA44" s="45"/>
      <c r="IB44" s="45"/>
      <c r="IC44" s="45"/>
      <c r="ID44" s="45"/>
      <c r="IE44" s="45"/>
      <c r="IF44" s="45"/>
      <c r="IG44" s="45"/>
      <c r="IH44" s="45"/>
      <c r="II44" s="45"/>
      <c r="IJ44" s="45"/>
      <c r="IK44" s="45"/>
      <c r="IL44" s="45"/>
      <c r="IM44" s="45"/>
      <c r="IN44" s="45"/>
      <c r="IO44" s="45"/>
      <c r="IP44" s="45"/>
      <c r="IQ44" s="45"/>
      <c r="IR44" s="45"/>
      <c r="IS44" s="45"/>
      <c r="IT44" s="45"/>
      <c r="IU44" s="45"/>
      <c r="IV44" s="45"/>
      <c r="IW44" s="45"/>
      <c r="IX44" s="45"/>
      <c r="IY44" s="45"/>
      <c r="IZ44" s="45"/>
      <c r="JA44" s="45"/>
      <c r="JB44" s="45"/>
      <c r="JC44" s="45"/>
      <c r="JD44" s="45"/>
      <c r="JE44" s="45"/>
      <c r="JF44" s="45"/>
      <c r="JG44" s="45"/>
      <c r="JH44" s="45"/>
      <c r="JI44" s="45"/>
      <c r="JJ44" s="45"/>
      <c r="JK44" s="45"/>
      <c r="JL44" s="45"/>
      <c r="JM44" s="45"/>
      <c r="JN44" s="45"/>
      <c r="JO44" s="45"/>
      <c r="JP44" s="45"/>
      <c r="JQ44" s="45"/>
      <c r="JR44" s="45"/>
      <c r="JS44" s="45"/>
      <c r="JT44" s="45"/>
      <c r="JU44" s="45"/>
      <c r="JV44" s="45"/>
      <c r="JW44" s="45"/>
      <c r="JX44" s="45"/>
      <c r="JY44" s="45"/>
      <c r="JZ44" s="45"/>
      <c r="KA44" s="45"/>
      <c r="KB44" s="45"/>
      <c r="KC44" s="45"/>
      <c r="KD44" s="45"/>
      <c r="KE44" s="45"/>
      <c r="KF44" s="45"/>
      <c r="KG44" s="45"/>
      <c r="KH44" s="45"/>
      <c r="KI44" s="45"/>
      <c r="KJ44" s="45"/>
      <c r="KK44" s="45"/>
      <c r="KL44" s="45"/>
      <c r="KM44" s="45"/>
      <c r="KN44" s="45"/>
      <c r="KO44" s="45"/>
      <c r="KP44" s="45"/>
      <c r="KQ44" s="45"/>
      <c r="KR44" s="45"/>
      <c r="KS44" s="45"/>
      <c r="KT44" s="45"/>
      <c r="KU44" s="45"/>
      <c r="KV44" s="45"/>
      <c r="KW44" s="45"/>
      <c r="KX44" s="45"/>
      <c r="KY44" s="45"/>
      <c r="KZ44" s="45"/>
      <c r="LA44" s="45"/>
      <c r="LB44" s="45"/>
      <c r="LC44" s="45"/>
      <c r="LD44" s="45"/>
      <c r="LE44" s="45"/>
      <c r="LF44" s="45"/>
      <c r="LG44" s="45"/>
      <c r="LH44" s="45"/>
      <c r="LI44" s="45"/>
      <c r="LJ44" s="45"/>
      <c r="LK44" s="45"/>
      <c r="LL44" s="45"/>
      <c r="LM44" s="45"/>
      <c r="LN44" s="45"/>
      <c r="LO44" s="45"/>
      <c r="LP44" s="45"/>
      <c r="LQ44" s="45"/>
      <c r="LR44" s="45"/>
      <c r="LS44" s="45"/>
      <c r="LT44" s="45"/>
      <c r="LU44" s="45"/>
      <c r="LV44" s="45"/>
      <c r="LW44" s="45"/>
      <c r="LX44" s="45"/>
      <c r="LY44" s="45"/>
      <c r="LZ44" s="45"/>
      <c r="MA44" s="45"/>
      <c r="MB44" s="45"/>
      <c r="MC44" s="45"/>
      <c r="MD44" s="45"/>
      <c r="ME44" s="45"/>
      <c r="MF44" s="45"/>
      <c r="MG44" s="45"/>
      <c r="MH44" s="45"/>
      <c r="MI44" s="45"/>
      <c r="MJ44" s="45"/>
      <c r="MK44" s="45"/>
      <c r="ML44" s="45"/>
      <c r="MM44" s="45"/>
      <c r="MN44" s="45"/>
      <c r="MO44" s="45"/>
      <c r="MP44" s="45"/>
      <c r="MQ44" s="45"/>
      <c r="MR44" s="45"/>
      <c r="MS44" s="45"/>
      <c r="MT44" s="45"/>
      <c r="MU44" s="45"/>
      <c r="MV44" s="45"/>
      <c r="MW44" s="45"/>
      <c r="MX44" s="45"/>
      <c r="MY44" s="45"/>
      <c r="MZ44" s="45"/>
      <c r="NA44" s="45"/>
      <c r="NB44" s="45"/>
      <c r="NC44" s="45"/>
      <c r="ND44" s="45"/>
      <c r="NE44" s="45"/>
      <c r="NF44" s="45"/>
      <c r="NG44" s="45"/>
      <c r="NH44" s="45"/>
      <c r="NI44" s="45"/>
      <c r="NJ44" s="45"/>
      <c r="NK44" s="45"/>
      <c r="NL44" s="45"/>
    </row>
    <row r="45" spans="1:376" customFormat="1" ht="15" customHeight="1">
      <c r="A45" s="39"/>
      <c r="B45" s="29" t="s">
        <v>69</v>
      </c>
      <c r="C45" s="29" t="s">
        <v>30</v>
      </c>
      <c r="D45" s="29" t="s">
        <v>70</v>
      </c>
      <c r="E45" s="37">
        <v>0</v>
      </c>
      <c r="F45" s="29">
        <v>23</v>
      </c>
      <c r="G45" s="29">
        <v>0</v>
      </c>
      <c r="H45" s="29">
        <f>E45+F45-COUNTIF(L45:NL45,$C$2)</f>
        <v>12</v>
      </c>
      <c r="I45" s="30">
        <f>G45-COUNTIF(L45:NL45,$C$3)</f>
        <v>-3</v>
      </c>
      <c r="J45" s="30">
        <f>COUNTIF(K45:NJ45,$C$4)</f>
        <v>0</v>
      </c>
      <c r="K45" s="30">
        <f>COUNTIF(L45:NL45,$C$5)</f>
        <v>0</v>
      </c>
      <c r="L45" s="11"/>
      <c r="M45" s="40"/>
      <c r="N45" s="10"/>
      <c r="O45" s="10"/>
      <c r="P45" s="11"/>
      <c r="Q45" s="11"/>
      <c r="R45" s="11"/>
      <c r="S45" s="11"/>
      <c r="T45" s="11"/>
      <c r="U45" s="10"/>
      <c r="V45" s="10"/>
      <c r="W45" s="11"/>
      <c r="X45" s="11"/>
      <c r="Y45" s="11"/>
      <c r="Z45" s="11"/>
      <c r="AA45" s="11"/>
      <c r="AB45" s="10"/>
      <c r="AC45" s="10"/>
      <c r="AD45" s="11"/>
      <c r="AE45" s="11"/>
      <c r="AF45" s="11"/>
      <c r="AG45" s="11"/>
      <c r="AH45" s="11"/>
      <c r="AI45" s="10"/>
      <c r="AJ45" s="10"/>
      <c r="AK45" s="11"/>
      <c r="AL45" s="11"/>
      <c r="AM45" s="11"/>
      <c r="AN45" s="11"/>
      <c r="AO45" s="11"/>
      <c r="AP45" s="10"/>
      <c r="AQ45" s="10"/>
      <c r="AR45" s="11"/>
      <c r="AS45" s="11"/>
      <c r="AT45" s="11"/>
      <c r="AU45" s="11"/>
      <c r="AV45" s="11"/>
      <c r="AW45" s="10"/>
      <c r="AX45" s="10"/>
      <c r="AY45" s="11"/>
      <c r="AZ45" s="11"/>
      <c r="BA45" s="11"/>
      <c r="BB45" s="11"/>
      <c r="BC45" s="11"/>
      <c r="BD45" s="10"/>
      <c r="BE45" s="10"/>
      <c r="BF45" s="11"/>
      <c r="BG45" s="11"/>
      <c r="BH45" s="11"/>
      <c r="BI45" s="11"/>
      <c r="BJ45" s="40"/>
      <c r="BK45" s="10"/>
      <c r="BL45" s="10"/>
      <c r="BM45" s="11"/>
      <c r="BN45" s="11"/>
      <c r="BO45" s="11"/>
      <c r="BP45" s="11"/>
      <c r="BQ45" s="11"/>
      <c r="BR45" s="10"/>
      <c r="BS45" s="10"/>
      <c r="BT45" s="11"/>
      <c r="BU45" s="11"/>
      <c r="BV45" s="11"/>
      <c r="BW45" s="11"/>
      <c r="BX45" s="11"/>
      <c r="BY45" s="10"/>
      <c r="BZ45" s="10"/>
      <c r="CA45" s="11"/>
      <c r="CB45" s="11"/>
      <c r="CC45" s="11"/>
      <c r="CD45" s="11"/>
      <c r="CE45" s="11"/>
      <c r="CF45" s="10"/>
      <c r="CG45" s="10"/>
      <c r="CH45" s="11"/>
      <c r="CI45" s="11"/>
      <c r="CJ45" s="11"/>
      <c r="CK45" s="11"/>
      <c r="CL45" s="11"/>
      <c r="CM45" s="10"/>
      <c r="CN45" s="10"/>
      <c r="CO45" s="40"/>
      <c r="CP45" s="11"/>
      <c r="CQ45" s="11"/>
      <c r="CR45" s="11"/>
      <c r="CS45" s="11"/>
      <c r="CT45" s="10"/>
      <c r="CU45" s="10"/>
      <c r="CV45" s="40"/>
      <c r="CW45" s="11"/>
      <c r="CX45" s="11"/>
      <c r="CY45" s="11"/>
      <c r="CZ45" s="11"/>
      <c r="DA45" s="10"/>
      <c r="DB45" s="10"/>
      <c r="DC45" s="11"/>
      <c r="DD45" s="11"/>
      <c r="DE45" s="11"/>
      <c r="DF45" s="11"/>
      <c r="DG45" s="11"/>
      <c r="DH45" s="10"/>
      <c r="DI45" s="10"/>
      <c r="DJ45" s="11"/>
      <c r="DK45" s="11"/>
      <c r="DL45" s="11"/>
      <c r="DM45" s="11"/>
      <c r="DN45" s="40"/>
      <c r="DO45" s="10"/>
      <c r="DP45" s="10"/>
      <c r="DQ45" s="11"/>
      <c r="DR45" s="11"/>
      <c r="DS45" s="11"/>
      <c r="DT45" s="11"/>
      <c r="DU45" s="11"/>
      <c r="DV45" s="10"/>
      <c r="DW45" s="10"/>
      <c r="DX45" s="11"/>
      <c r="DY45" s="11"/>
      <c r="DZ45" s="11"/>
      <c r="EA45" s="11"/>
      <c r="EB45" s="11"/>
      <c r="EC45" s="10"/>
      <c r="ED45" s="10"/>
      <c r="EE45" s="11"/>
      <c r="EF45" s="11"/>
      <c r="EG45" s="11"/>
      <c r="EH45" s="11"/>
      <c r="EI45" s="11"/>
      <c r="EJ45" s="10"/>
      <c r="EK45" s="10"/>
      <c r="EL45" s="11"/>
      <c r="EM45" s="11"/>
      <c r="EN45" s="11"/>
      <c r="EO45" s="11"/>
      <c r="EP45" s="11"/>
      <c r="EQ45" s="10"/>
      <c r="ER45" s="10"/>
      <c r="ES45" s="11"/>
      <c r="ET45" s="11"/>
      <c r="EU45" s="11"/>
      <c r="EV45" s="11"/>
      <c r="EW45" s="11"/>
      <c r="EX45" s="10"/>
      <c r="EY45" s="10"/>
      <c r="EZ45" s="11"/>
      <c r="FA45" s="11"/>
      <c r="FB45" s="11"/>
      <c r="FC45" s="11"/>
      <c r="FD45" s="11"/>
      <c r="FE45" s="10"/>
      <c r="FF45" s="10"/>
      <c r="FG45" s="11"/>
      <c r="FH45" s="11"/>
      <c r="FI45" s="11"/>
      <c r="FJ45" s="11"/>
      <c r="FK45" s="11"/>
      <c r="FL45" s="10"/>
      <c r="FM45" s="10"/>
      <c r="FN45" s="11"/>
      <c r="FO45" s="11"/>
      <c r="FP45" s="11"/>
      <c r="FQ45" s="11"/>
      <c r="FR45" s="11"/>
      <c r="FS45" s="10"/>
      <c r="FT45" s="10"/>
      <c r="FU45" s="11"/>
      <c r="FV45" s="11"/>
      <c r="FW45" s="11"/>
      <c r="FX45" s="11"/>
      <c r="FY45" s="40"/>
      <c r="FZ45" s="10"/>
      <c r="GA45" s="10"/>
      <c r="GB45" s="11"/>
      <c r="GC45" s="11"/>
      <c r="GD45" s="11"/>
      <c r="GE45" s="11"/>
      <c r="GF45" s="11"/>
      <c r="GG45" s="10"/>
      <c r="GH45" s="10"/>
      <c r="GI45" s="11"/>
      <c r="GJ45" s="11"/>
      <c r="GK45" s="11"/>
      <c r="GL45" s="11"/>
      <c r="GM45" s="11"/>
      <c r="GN45" s="10"/>
      <c r="GO45" s="10"/>
      <c r="GP45" s="11"/>
      <c r="GQ45" s="11"/>
      <c r="GR45" s="11"/>
      <c r="GS45" s="11"/>
      <c r="GT45" s="11"/>
      <c r="GU45" s="10"/>
      <c r="GV45" s="10"/>
      <c r="GW45" s="40"/>
      <c r="GX45" s="17" t="s">
        <v>3</v>
      </c>
      <c r="GY45" s="11"/>
      <c r="GZ45" s="11"/>
      <c r="HA45" s="11"/>
      <c r="HB45" s="10"/>
      <c r="HC45" s="10"/>
      <c r="HD45" s="11"/>
      <c r="HE45" s="11"/>
      <c r="HF45" s="11"/>
      <c r="HG45" s="11"/>
      <c r="HH45" s="11"/>
      <c r="HI45" s="10"/>
      <c r="HJ45" s="10"/>
      <c r="HK45" s="11"/>
      <c r="HL45" s="11"/>
      <c r="HM45" s="11"/>
      <c r="HN45" s="11"/>
      <c r="HO45" s="11"/>
      <c r="HP45" s="10"/>
      <c r="HQ45" s="10"/>
      <c r="HR45" s="40"/>
      <c r="HS45" s="11"/>
      <c r="HT45" s="11"/>
      <c r="HU45" s="11"/>
      <c r="HV45" s="11"/>
      <c r="HW45" s="10"/>
      <c r="HX45" s="10"/>
      <c r="HY45" s="11"/>
      <c r="HZ45" s="11"/>
      <c r="IA45" s="11"/>
      <c r="IB45" s="11"/>
      <c r="IC45" s="11"/>
      <c r="ID45" s="10"/>
      <c r="IE45" s="10"/>
      <c r="IF45" s="11"/>
      <c r="IG45" s="11"/>
      <c r="IH45" s="11"/>
      <c r="II45" s="11"/>
      <c r="IJ45" s="11"/>
      <c r="IK45" s="10"/>
      <c r="IL45" s="10"/>
      <c r="IM45" s="11"/>
      <c r="IN45" s="11"/>
      <c r="IO45" s="11"/>
      <c r="IP45" s="11"/>
      <c r="IQ45" s="11"/>
      <c r="IR45" s="10"/>
      <c r="IS45" s="10"/>
      <c r="IT45" s="11"/>
      <c r="IU45" s="11"/>
      <c r="IV45" s="11"/>
      <c r="IW45" s="11"/>
      <c r="IX45" s="11"/>
      <c r="IY45" s="10"/>
      <c r="IZ45" s="10"/>
      <c r="JA45" s="11"/>
      <c r="JB45" s="11"/>
      <c r="JC45" s="40"/>
      <c r="JD45" s="11"/>
      <c r="JE45" s="11"/>
      <c r="JF45" s="10"/>
      <c r="JG45" s="10"/>
      <c r="JH45" s="11"/>
      <c r="JI45" s="11"/>
      <c r="JJ45" s="11"/>
      <c r="JK45" s="11"/>
      <c r="JL45" s="11"/>
      <c r="JM45" s="10"/>
      <c r="JN45" s="10"/>
      <c r="JO45" s="11"/>
      <c r="JP45" s="11"/>
      <c r="JQ45" s="11"/>
      <c r="JR45" s="11"/>
      <c r="JS45" s="11"/>
      <c r="JT45" s="10"/>
      <c r="JU45" s="10"/>
      <c r="JV45" s="11"/>
      <c r="JW45" s="11"/>
      <c r="JX45" s="11"/>
      <c r="JY45" s="11"/>
      <c r="JZ45" s="11"/>
      <c r="KA45" s="10"/>
      <c r="KB45" s="10"/>
      <c r="KC45" s="17" t="s">
        <v>3</v>
      </c>
      <c r="KD45" s="11"/>
      <c r="KE45" s="11"/>
      <c r="KF45" s="11"/>
      <c r="KG45" s="11"/>
      <c r="KH45" s="10"/>
      <c r="KI45" s="10"/>
      <c r="KJ45" s="11"/>
      <c r="KK45" s="11"/>
      <c r="KL45" s="11"/>
      <c r="KM45" s="11"/>
      <c r="KN45" s="11"/>
      <c r="KO45" s="10"/>
      <c r="KP45" s="10"/>
      <c r="KQ45" s="11"/>
      <c r="KR45" s="11"/>
      <c r="KS45" s="11"/>
      <c r="KT45" s="11"/>
      <c r="KU45" s="11"/>
      <c r="KV45" s="10"/>
      <c r="KW45" s="10"/>
      <c r="KX45" s="17" t="s">
        <v>3</v>
      </c>
      <c r="KY45" s="11"/>
      <c r="KZ45" s="11"/>
      <c r="LA45" s="11"/>
      <c r="LB45" s="11"/>
      <c r="LC45" s="10"/>
      <c r="LD45" s="10"/>
      <c r="LE45" s="15" t="s">
        <v>1</v>
      </c>
      <c r="LF45" s="15" t="s">
        <v>1</v>
      </c>
      <c r="LG45" s="15" t="s">
        <v>1</v>
      </c>
      <c r="LH45" s="15" t="s">
        <v>1</v>
      </c>
      <c r="LI45" s="15" t="s">
        <v>1</v>
      </c>
      <c r="LJ45" s="10"/>
      <c r="LK45" s="10"/>
      <c r="LL45" s="15" t="s">
        <v>1</v>
      </c>
      <c r="LM45" s="15" t="s">
        <v>1</v>
      </c>
      <c r="LN45" s="15" t="s">
        <v>1</v>
      </c>
      <c r="LO45" s="15" t="s">
        <v>1</v>
      </c>
      <c r="LP45" s="15" t="s">
        <v>1</v>
      </c>
      <c r="LQ45" s="10"/>
      <c r="LR45" s="10"/>
      <c r="LS45" s="15" t="s">
        <v>1</v>
      </c>
      <c r="LT45" s="11"/>
      <c r="LU45" s="11"/>
      <c r="LV45" s="11"/>
      <c r="LW45" s="11"/>
      <c r="LX45" s="10"/>
      <c r="LY45" s="10"/>
      <c r="LZ45" s="11"/>
      <c r="MA45" s="11"/>
      <c r="MB45" s="11"/>
      <c r="MC45" s="11"/>
      <c r="MD45" s="11"/>
      <c r="ME45" s="10"/>
      <c r="MF45" s="10"/>
      <c r="MG45" s="11"/>
      <c r="MH45" s="11"/>
      <c r="MI45" s="11"/>
      <c r="MJ45" s="11"/>
      <c r="MK45" s="11"/>
      <c r="ML45" s="10"/>
      <c r="MM45" s="10"/>
      <c r="MN45" s="11"/>
      <c r="MO45" s="11"/>
      <c r="MP45" s="11"/>
      <c r="MQ45" s="11"/>
      <c r="MR45" s="11"/>
      <c r="MS45" s="10"/>
      <c r="MT45" s="10"/>
      <c r="MU45" s="11"/>
      <c r="MV45" s="11"/>
      <c r="MW45" s="11"/>
      <c r="MX45" s="11"/>
      <c r="MY45" s="11"/>
      <c r="MZ45" s="10"/>
      <c r="NA45" s="10"/>
      <c r="NB45" s="11"/>
      <c r="NC45" s="11"/>
      <c r="ND45" s="11"/>
      <c r="NE45" s="11"/>
      <c r="NF45" s="11"/>
      <c r="NG45" s="10"/>
      <c r="NH45" s="10"/>
      <c r="NI45" s="11"/>
      <c r="NJ45" s="11"/>
      <c r="NK45" s="11"/>
      <c r="NL45" s="11"/>
    </row>
    <row r="46" spans="1:376" customFormat="1" ht="15" customHeight="1">
      <c r="A46" s="39"/>
      <c r="B46" s="29" t="s">
        <v>62</v>
      </c>
      <c r="C46" s="29" t="s">
        <v>30</v>
      </c>
      <c r="D46" s="29" t="s">
        <v>58</v>
      </c>
      <c r="E46" s="37">
        <v>0</v>
      </c>
      <c r="F46" s="29">
        <v>23</v>
      </c>
      <c r="G46" s="29">
        <v>0</v>
      </c>
      <c r="H46" s="29">
        <f>E46+F46-COUNTIF(L46:NL46,$C$2)</f>
        <v>23</v>
      </c>
      <c r="I46" s="30">
        <f>G46-COUNTIF(L46:NL46,$C$3)</f>
        <v>0</v>
      </c>
      <c r="J46" s="30">
        <f>COUNTIF(K46:NJ46,$C$4)</f>
        <v>0</v>
      </c>
      <c r="K46" s="30">
        <f>COUNTIF(L46:NL46,$C$5)</f>
        <v>0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  <c r="FK46" s="42"/>
      <c r="FL46" s="42"/>
      <c r="FM46" s="42"/>
      <c r="FN46" s="42"/>
      <c r="FO46" s="42"/>
      <c r="FP46" s="42"/>
      <c r="FQ46" s="42"/>
      <c r="FR46" s="42"/>
      <c r="FS46" s="42"/>
      <c r="FT46" s="42"/>
      <c r="FU46" s="42"/>
      <c r="FV46" s="42"/>
      <c r="FW46" s="42"/>
      <c r="FX46" s="42"/>
      <c r="FY46" s="42"/>
      <c r="FZ46" s="42"/>
      <c r="GA46" s="42"/>
      <c r="GB46" s="42"/>
      <c r="GC46" s="42"/>
      <c r="GD46" s="42"/>
      <c r="GE46" s="42"/>
      <c r="GF46" s="42"/>
      <c r="GG46" s="42"/>
      <c r="GH46" s="42"/>
      <c r="GI46" s="42"/>
      <c r="GJ46" s="42"/>
      <c r="GK46" s="42"/>
      <c r="GL46" s="42"/>
      <c r="GM46" s="42"/>
      <c r="GN46" s="42"/>
      <c r="GO46" s="42"/>
      <c r="GP46" s="42"/>
      <c r="GQ46" s="42"/>
      <c r="GR46" s="42"/>
      <c r="GS46" s="42"/>
      <c r="GT46" s="42"/>
      <c r="GU46" s="42"/>
      <c r="GV46" s="42"/>
      <c r="GW46" s="42"/>
      <c r="GX46" s="42"/>
      <c r="GY46" s="42"/>
      <c r="GZ46" s="42"/>
      <c r="HA46" s="42"/>
      <c r="HB46" s="42"/>
      <c r="HC46" s="42"/>
      <c r="HD46" s="42"/>
      <c r="HE46" s="42"/>
      <c r="HF46" s="42"/>
      <c r="HG46" s="42"/>
      <c r="HH46" s="42"/>
      <c r="HI46" s="42"/>
      <c r="HJ46" s="42"/>
      <c r="HK46" s="42"/>
      <c r="HL46" s="42"/>
      <c r="HM46" s="42"/>
      <c r="HN46" s="42"/>
      <c r="HO46" s="42"/>
      <c r="HP46" s="42"/>
      <c r="HQ46" s="42"/>
      <c r="HR46" s="42"/>
      <c r="HS46" s="42"/>
      <c r="HT46" s="42"/>
      <c r="HU46" s="42"/>
      <c r="HV46" s="42"/>
      <c r="HW46" s="42"/>
      <c r="HX46" s="42"/>
      <c r="HY46" s="42"/>
      <c r="HZ46" s="42"/>
      <c r="IA46" s="42"/>
      <c r="IB46" s="42"/>
      <c r="IC46" s="42"/>
      <c r="ID46" s="42"/>
      <c r="IE46" s="42"/>
      <c r="IF46" s="42"/>
      <c r="IG46" s="42"/>
      <c r="IH46" s="42"/>
      <c r="II46" s="42"/>
      <c r="IJ46" s="42"/>
      <c r="IK46" s="42"/>
      <c r="IL46" s="42"/>
      <c r="IM46" s="42"/>
      <c r="IN46" s="42"/>
      <c r="IO46" s="42"/>
      <c r="IP46" s="42"/>
      <c r="IQ46" s="42"/>
      <c r="IR46" s="42"/>
      <c r="IS46" s="42"/>
      <c r="IT46" s="42"/>
      <c r="IU46" s="42"/>
      <c r="IV46" s="42"/>
      <c r="IW46" s="42"/>
      <c r="IX46" s="42"/>
      <c r="IY46" s="42"/>
      <c r="IZ46" s="42"/>
      <c r="JA46" s="42"/>
      <c r="JB46" s="42"/>
      <c r="JC46" s="42"/>
      <c r="JD46" s="42"/>
      <c r="JE46" s="42"/>
      <c r="JF46" s="42"/>
      <c r="JG46" s="42"/>
      <c r="JH46" s="42"/>
      <c r="JI46" s="42"/>
      <c r="JJ46" s="42"/>
      <c r="JK46" s="42"/>
      <c r="JL46" s="42"/>
      <c r="JM46" s="42"/>
      <c r="JN46" s="42"/>
      <c r="JO46" s="42"/>
      <c r="JP46" s="42"/>
      <c r="JQ46" s="42"/>
      <c r="JR46" s="42"/>
      <c r="JS46" s="42"/>
      <c r="JT46" s="42"/>
      <c r="JU46" s="42"/>
      <c r="JV46" s="42"/>
      <c r="JW46" s="42"/>
      <c r="JX46" s="42"/>
      <c r="JY46" s="42"/>
      <c r="JZ46" s="42"/>
      <c r="KA46" s="42"/>
      <c r="KB46" s="42"/>
      <c r="KC46" s="42"/>
      <c r="KD46" s="42"/>
      <c r="KE46" s="42"/>
      <c r="KF46" s="42"/>
      <c r="KG46" s="42"/>
      <c r="KH46" s="42"/>
      <c r="KI46" s="42"/>
      <c r="KJ46" s="42"/>
      <c r="KK46" s="42"/>
      <c r="KL46" s="42"/>
      <c r="KM46" s="42"/>
      <c r="KN46" s="42"/>
      <c r="KO46" s="42"/>
      <c r="KP46" s="42"/>
      <c r="KQ46" s="42"/>
      <c r="KR46" s="42"/>
      <c r="KS46" s="42"/>
      <c r="KT46" s="42"/>
      <c r="KU46" s="42"/>
      <c r="KV46" s="42"/>
      <c r="KW46" s="42"/>
      <c r="KX46" s="42"/>
      <c r="KY46" s="42"/>
      <c r="KZ46" s="42"/>
      <c r="LA46" s="42"/>
      <c r="LB46" s="42"/>
      <c r="LC46" s="42"/>
      <c r="LD46" s="42"/>
      <c r="LE46" s="42"/>
      <c r="LF46" s="42"/>
      <c r="LG46" s="42"/>
      <c r="LH46" s="42"/>
      <c r="LI46" s="42"/>
      <c r="LJ46" s="42"/>
      <c r="LK46" s="42"/>
      <c r="LL46" s="42"/>
      <c r="LM46" s="42"/>
      <c r="LN46" s="42"/>
      <c r="LO46" s="42"/>
      <c r="LP46" s="42"/>
      <c r="LQ46" s="42"/>
      <c r="LR46" s="42"/>
      <c r="LS46" s="42"/>
      <c r="LT46" s="42"/>
      <c r="LU46" s="42"/>
      <c r="LV46" s="42"/>
      <c r="LW46" s="42"/>
      <c r="LX46" s="42"/>
      <c r="LY46" s="42"/>
      <c r="LZ46" s="42"/>
      <c r="MA46" s="42"/>
      <c r="MB46" s="42"/>
      <c r="MC46" s="42"/>
      <c r="MD46" s="42"/>
      <c r="ME46" s="42"/>
      <c r="MF46" s="42"/>
      <c r="MG46" s="42"/>
      <c r="MH46" s="42"/>
      <c r="MI46" s="42"/>
      <c r="MJ46" s="42"/>
      <c r="MK46" s="42"/>
      <c r="ML46" s="42"/>
      <c r="MM46" s="42"/>
      <c r="MN46" s="42"/>
      <c r="MO46" s="42"/>
      <c r="MP46" s="42"/>
      <c r="MQ46" s="42"/>
      <c r="MR46" s="42"/>
      <c r="MS46" s="42"/>
      <c r="MT46" s="42"/>
      <c r="MU46" s="42"/>
      <c r="MV46" s="42"/>
      <c r="MW46" s="42"/>
      <c r="MX46" s="42"/>
      <c r="MY46" s="42"/>
      <c r="MZ46" s="42"/>
      <c r="NA46" s="42"/>
      <c r="NB46" s="42"/>
      <c r="NC46" s="42"/>
      <c r="ND46" s="42"/>
      <c r="NE46" s="42"/>
      <c r="NF46" s="42"/>
      <c r="NG46" s="42"/>
      <c r="NH46" s="42"/>
      <c r="NI46" s="42"/>
      <c r="NJ46" s="42"/>
      <c r="NK46" s="42"/>
      <c r="NL46" s="42"/>
    </row>
  </sheetData>
  <autoFilter ref="B8:D46" xr:uid="{00000000-0009-0000-0000-000002000000}"/>
  <mergeCells count="12">
    <mergeCell ref="MH6:NL6"/>
    <mergeCell ref="L6:AO6"/>
    <mergeCell ref="AP6:BT6"/>
    <mergeCell ref="BU6:CX6"/>
    <mergeCell ref="CY6:EC6"/>
    <mergeCell ref="ED6:FH6"/>
    <mergeCell ref="FI6:GL6"/>
    <mergeCell ref="GM6:HQ6"/>
    <mergeCell ref="HR6:IU6"/>
    <mergeCell ref="IV6:JZ6"/>
    <mergeCell ref="KA6:LE6"/>
    <mergeCell ref="LF6:MG6"/>
  </mergeCells>
  <pageMargins left="0.70000000000000007" right="0.70000000000000007" top="0.75" bottom="0.75" header="0.30000000000000004" footer="0.30000000000000004"/>
  <pageSetup paperSize="9" fitToWidth="0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2:NL47"/>
  <sheetViews>
    <sheetView zoomScale="85" zoomScaleNormal="85" workbookViewId="0">
      <pane xSplit="4" ySplit="9" topLeftCell="LS24" activePane="bottomRight" state="frozen"/>
      <selection pane="bottomRight" activeCell="NP37" sqref="NP37"/>
      <selection pane="bottomLeft" activeCell="A9" sqref="A9"/>
      <selection pane="topRight" activeCell="E1" sqref="E1"/>
    </sheetView>
  </sheetViews>
  <sheetFormatPr defaultColWidth="5.42578125" defaultRowHeight="15" outlineLevelCol="1"/>
  <cols>
    <col min="1" max="1" width="5" style="1" customWidth="1"/>
    <col min="2" max="2" width="18.28515625" style="1" bestFit="1" customWidth="1"/>
    <col min="3" max="3" width="17.42578125" style="1" bestFit="1" customWidth="1"/>
    <col min="4" max="4" width="15.5703125" style="1" customWidth="1"/>
    <col min="5" max="6" width="12.28515625" style="1" bestFit="1" customWidth="1"/>
    <col min="7" max="7" width="12.7109375" style="1" bestFit="1" customWidth="1"/>
    <col min="8" max="8" width="17.7109375" style="1" bestFit="1" customWidth="1"/>
    <col min="9" max="9" width="15.5703125" style="1" bestFit="1" customWidth="1"/>
    <col min="10" max="10" width="7.7109375" style="1" bestFit="1" customWidth="1"/>
    <col min="11" max="11" width="7.42578125" style="1" bestFit="1" customWidth="1"/>
    <col min="12" max="12" width="3.7109375" style="2" customWidth="1"/>
    <col min="13" max="40" width="3.7109375" style="2" hidden="1" customWidth="1" outlineLevel="1"/>
    <col min="41" max="41" width="3.7109375" style="2" customWidth="1" collapsed="1"/>
    <col min="42" max="42" width="3.7109375" style="2" customWidth="1"/>
    <col min="43" max="71" width="3.7109375" style="2" hidden="1" customWidth="1" outlineLevel="1"/>
    <col min="72" max="72" width="3.7109375" style="2" customWidth="1" collapsed="1"/>
    <col min="73" max="73" width="3.7109375" style="2" customWidth="1"/>
    <col min="74" max="101" width="3.7109375" style="2" hidden="1" customWidth="1" outlineLevel="1"/>
    <col min="102" max="102" width="3.7109375" style="2" customWidth="1" collapsed="1"/>
    <col min="103" max="103" width="3.7109375" style="2" customWidth="1"/>
    <col min="104" max="132" width="3.7109375" style="2" hidden="1" customWidth="1" outlineLevel="1"/>
    <col min="133" max="133" width="3.7109375" style="2" customWidth="1" collapsed="1"/>
    <col min="134" max="134" width="3.7109375" style="2" customWidth="1"/>
    <col min="135" max="163" width="3.7109375" style="2" hidden="1" customWidth="1" outlineLevel="1"/>
    <col min="164" max="164" width="3.7109375" style="2" customWidth="1" collapsed="1"/>
    <col min="165" max="165" width="3.7109375" style="2" customWidth="1"/>
    <col min="166" max="193" width="3.7109375" style="2" hidden="1" customWidth="1" outlineLevel="1"/>
    <col min="194" max="194" width="3.7109375" style="2" customWidth="1" collapsed="1"/>
    <col min="195" max="195" width="3.7109375" style="2" customWidth="1"/>
    <col min="196" max="224" width="3.7109375" style="2" hidden="1" customWidth="1" outlineLevel="1"/>
    <col min="225" max="225" width="3.7109375" style="2" customWidth="1" collapsed="1"/>
    <col min="226" max="226" width="3.7109375" style="2" customWidth="1"/>
    <col min="227" max="254" width="3.7109375" style="2" hidden="1" customWidth="1" outlineLevel="1"/>
    <col min="255" max="255" width="3.7109375" style="2" customWidth="1" collapsed="1"/>
    <col min="256" max="256" width="3.7109375" style="2" customWidth="1"/>
    <col min="257" max="285" width="3.7109375" style="2" hidden="1" customWidth="1" outlineLevel="1"/>
    <col min="286" max="286" width="3.7109375" style="2" customWidth="1" collapsed="1"/>
    <col min="287" max="287" width="3.7109375" style="2" customWidth="1"/>
    <col min="288" max="316" width="3.7109375" style="2" hidden="1" customWidth="1" outlineLevel="1"/>
    <col min="317" max="317" width="3.7109375" style="2" customWidth="1" collapsed="1"/>
    <col min="318" max="318" width="3.7109375" style="2" customWidth="1"/>
    <col min="319" max="344" width="3.7109375" style="2" customWidth="1" outlineLevel="1"/>
    <col min="345" max="346" width="3.7109375" style="2" customWidth="1"/>
    <col min="347" max="375" width="3.7109375" style="2" customWidth="1" outlineLevel="1"/>
    <col min="376" max="376" width="3.7109375" style="2" customWidth="1"/>
    <col min="377" max="16384" width="5.42578125" style="2"/>
  </cols>
  <sheetData>
    <row r="2" spans="1:376">
      <c r="B2" s="65" t="s">
        <v>0</v>
      </c>
      <c r="C2" s="66" t="s">
        <v>1</v>
      </c>
      <c r="D2" s="2"/>
      <c r="E2" s="2"/>
      <c r="F2" s="2"/>
      <c r="G2" s="2"/>
      <c r="I2" s="2"/>
      <c r="J2" s="2"/>
      <c r="K2" s="2"/>
    </row>
    <row r="3" spans="1:376">
      <c r="B3" s="65" t="s">
        <v>2</v>
      </c>
      <c r="C3" s="66" t="s">
        <v>3</v>
      </c>
      <c r="D3" s="2"/>
      <c r="E3" s="2"/>
      <c r="F3" s="2"/>
      <c r="G3" s="2"/>
      <c r="I3" s="2"/>
      <c r="J3" s="2"/>
      <c r="K3" s="2"/>
    </row>
    <row r="4" spans="1:376">
      <c r="B4" s="65" t="s">
        <v>4</v>
      </c>
      <c r="C4" s="67" t="s">
        <v>5</v>
      </c>
      <c r="D4" s="2"/>
      <c r="E4" s="2"/>
      <c r="F4" s="2"/>
      <c r="G4" s="2"/>
      <c r="I4" s="2"/>
      <c r="J4" s="2"/>
      <c r="K4" s="2"/>
    </row>
    <row r="5" spans="1:376">
      <c r="B5" s="65" t="s">
        <v>6</v>
      </c>
      <c r="C5" s="68" t="s">
        <v>7</v>
      </c>
      <c r="D5" s="2"/>
      <c r="E5" s="2"/>
      <c r="F5" s="2"/>
      <c r="G5" s="2"/>
      <c r="I5" s="2"/>
      <c r="J5" s="2"/>
      <c r="K5" s="2"/>
    </row>
    <row r="6" spans="1:376" ht="15.75" thickBot="1">
      <c r="B6" s="65" t="s">
        <v>85</v>
      </c>
      <c r="C6" s="69"/>
      <c r="D6" s="2"/>
      <c r="E6" s="2"/>
      <c r="F6" s="2"/>
      <c r="G6" s="2"/>
      <c r="I6" s="2"/>
      <c r="J6" s="2"/>
      <c r="K6" s="2"/>
    </row>
    <row r="7" spans="1:376" ht="16.5" customHeight="1" thickBot="1">
      <c r="L7" s="353" t="s">
        <v>8</v>
      </c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3" t="s">
        <v>9</v>
      </c>
      <c r="AQ7" s="354"/>
      <c r="AR7" s="354"/>
      <c r="AS7" s="354"/>
      <c r="AT7" s="354"/>
      <c r="AU7" s="354"/>
      <c r="AV7" s="354"/>
      <c r="AW7" s="354"/>
      <c r="AX7" s="354"/>
      <c r="AY7" s="354"/>
      <c r="AZ7" s="354"/>
      <c r="BA7" s="354"/>
      <c r="BB7" s="354"/>
      <c r="BC7" s="354"/>
      <c r="BD7" s="354"/>
      <c r="BE7" s="354"/>
      <c r="BF7" s="354"/>
      <c r="BG7" s="354"/>
      <c r="BH7" s="354"/>
      <c r="BI7" s="354"/>
      <c r="BJ7" s="354"/>
      <c r="BK7" s="354"/>
      <c r="BL7" s="354"/>
      <c r="BM7" s="354"/>
      <c r="BN7" s="354"/>
      <c r="BO7" s="354"/>
      <c r="BP7" s="354"/>
      <c r="BQ7" s="354"/>
      <c r="BR7" s="354"/>
      <c r="BS7" s="354"/>
      <c r="BT7" s="354"/>
      <c r="BU7" s="361" t="s">
        <v>10</v>
      </c>
      <c r="BV7" s="362"/>
      <c r="BW7" s="362"/>
      <c r="BX7" s="362"/>
      <c r="BY7" s="362"/>
      <c r="BZ7" s="362"/>
      <c r="CA7" s="362"/>
      <c r="CB7" s="362"/>
      <c r="CC7" s="362"/>
      <c r="CD7" s="362"/>
      <c r="CE7" s="362"/>
      <c r="CF7" s="362"/>
      <c r="CG7" s="362"/>
      <c r="CH7" s="362"/>
      <c r="CI7" s="362"/>
      <c r="CJ7" s="362"/>
      <c r="CK7" s="362"/>
      <c r="CL7" s="362"/>
      <c r="CM7" s="362"/>
      <c r="CN7" s="362"/>
      <c r="CO7" s="362"/>
      <c r="CP7" s="362"/>
      <c r="CQ7" s="362"/>
      <c r="CR7" s="362"/>
      <c r="CS7" s="362"/>
      <c r="CT7" s="362"/>
      <c r="CU7" s="362"/>
      <c r="CV7" s="362"/>
      <c r="CW7" s="362"/>
      <c r="CX7" s="362"/>
      <c r="CY7" s="361" t="s">
        <v>11</v>
      </c>
      <c r="CZ7" s="362"/>
      <c r="DA7" s="362"/>
      <c r="DB7" s="362"/>
      <c r="DC7" s="362"/>
      <c r="DD7" s="362"/>
      <c r="DE7" s="362"/>
      <c r="DF7" s="362"/>
      <c r="DG7" s="362"/>
      <c r="DH7" s="362"/>
      <c r="DI7" s="362"/>
      <c r="DJ7" s="362"/>
      <c r="DK7" s="362"/>
      <c r="DL7" s="362"/>
      <c r="DM7" s="362"/>
      <c r="DN7" s="362"/>
      <c r="DO7" s="362"/>
      <c r="DP7" s="362"/>
      <c r="DQ7" s="362"/>
      <c r="DR7" s="362"/>
      <c r="DS7" s="362"/>
      <c r="DT7" s="362"/>
      <c r="DU7" s="362"/>
      <c r="DV7" s="362"/>
      <c r="DW7" s="362"/>
      <c r="DX7" s="362"/>
      <c r="DY7" s="362"/>
      <c r="DZ7" s="362"/>
      <c r="EA7" s="362"/>
      <c r="EB7" s="362"/>
      <c r="EC7" s="362"/>
      <c r="ED7" s="361" t="s">
        <v>12</v>
      </c>
      <c r="EE7" s="362"/>
      <c r="EF7" s="362"/>
      <c r="EG7" s="362"/>
      <c r="EH7" s="362"/>
      <c r="EI7" s="362"/>
      <c r="EJ7" s="362"/>
      <c r="EK7" s="362"/>
      <c r="EL7" s="362"/>
      <c r="EM7" s="362"/>
      <c r="EN7" s="362"/>
      <c r="EO7" s="362"/>
      <c r="EP7" s="362"/>
      <c r="EQ7" s="362"/>
      <c r="ER7" s="362"/>
      <c r="ES7" s="362"/>
      <c r="ET7" s="362"/>
      <c r="EU7" s="362"/>
      <c r="EV7" s="362"/>
      <c r="EW7" s="362"/>
      <c r="EX7" s="362"/>
      <c r="EY7" s="362"/>
      <c r="EZ7" s="362"/>
      <c r="FA7" s="362"/>
      <c r="FB7" s="362"/>
      <c r="FC7" s="362"/>
      <c r="FD7" s="362"/>
      <c r="FE7" s="362"/>
      <c r="FF7" s="362"/>
      <c r="FG7" s="362"/>
      <c r="FH7" s="362"/>
      <c r="FI7" s="361" t="s">
        <v>13</v>
      </c>
      <c r="FJ7" s="362"/>
      <c r="FK7" s="362"/>
      <c r="FL7" s="362"/>
      <c r="FM7" s="362"/>
      <c r="FN7" s="362"/>
      <c r="FO7" s="362"/>
      <c r="FP7" s="362"/>
      <c r="FQ7" s="362"/>
      <c r="FR7" s="362"/>
      <c r="FS7" s="362"/>
      <c r="FT7" s="362"/>
      <c r="FU7" s="362"/>
      <c r="FV7" s="362"/>
      <c r="FW7" s="362"/>
      <c r="FX7" s="362"/>
      <c r="FY7" s="362"/>
      <c r="FZ7" s="362"/>
      <c r="GA7" s="362"/>
      <c r="GB7" s="362"/>
      <c r="GC7" s="362"/>
      <c r="GD7" s="362"/>
      <c r="GE7" s="362"/>
      <c r="GF7" s="362"/>
      <c r="GG7" s="362"/>
      <c r="GH7" s="362"/>
      <c r="GI7" s="362"/>
      <c r="GJ7" s="362"/>
      <c r="GK7" s="362"/>
      <c r="GL7" s="362"/>
      <c r="GM7" s="363" t="s">
        <v>14</v>
      </c>
      <c r="GN7" s="359"/>
      <c r="GO7" s="359"/>
      <c r="GP7" s="359"/>
      <c r="GQ7" s="359"/>
      <c r="GR7" s="359"/>
      <c r="GS7" s="359"/>
      <c r="GT7" s="359"/>
      <c r="GU7" s="359"/>
      <c r="GV7" s="359"/>
      <c r="GW7" s="359"/>
      <c r="GX7" s="359"/>
      <c r="GY7" s="359"/>
      <c r="GZ7" s="359"/>
      <c r="HA7" s="359"/>
      <c r="HB7" s="359"/>
      <c r="HC7" s="359"/>
      <c r="HD7" s="359"/>
      <c r="HE7" s="359"/>
      <c r="HF7" s="359"/>
      <c r="HG7" s="359"/>
      <c r="HH7" s="359"/>
      <c r="HI7" s="359"/>
      <c r="HJ7" s="359"/>
      <c r="HK7" s="359"/>
      <c r="HL7" s="359"/>
      <c r="HM7" s="359"/>
      <c r="HN7" s="359"/>
      <c r="HO7" s="359"/>
      <c r="HP7" s="359"/>
      <c r="HQ7" s="359"/>
      <c r="HR7" s="363" t="s">
        <v>15</v>
      </c>
      <c r="HS7" s="359"/>
      <c r="HT7" s="359"/>
      <c r="HU7" s="359"/>
      <c r="HV7" s="359"/>
      <c r="HW7" s="359"/>
      <c r="HX7" s="359"/>
      <c r="HY7" s="359"/>
      <c r="HZ7" s="359"/>
      <c r="IA7" s="359"/>
      <c r="IB7" s="359"/>
      <c r="IC7" s="359"/>
      <c r="ID7" s="359"/>
      <c r="IE7" s="359"/>
      <c r="IF7" s="359"/>
      <c r="IG7" s="359"/>
      <c r="IH7" s="359"/>
      <c r="II7" s="359"/>
      <c r="IJ7" s="359"/>
      <c r="IK7" s="359"/>
      <c r="IL7" s="359"/>
      <c r="IM7" s="359"/>
      <c r="IN7" s="359"/>
      <c r="IO7" s="359"/>
      <c r="IP7" s="359"/>
      <c r="IQ7" s="359"/>
      <c r="IR7" s="359"/>
      <c r="IS7" s="359"/>
      <c r="IT7" s="359"/>
      <c r="IU7" s="359"/>
      <c r="IV7" s="363" t="s">
        <v>16</v>
      </c>
      <c r="IW7" s="359"/>
      <c r="IX7" s="359"/>
      <c r="IY7" s="359"/>
      <c r="IZ7" s="359"/>
      <c r="JA7" s="359"/>
      <c r="JB7" s="359"/>
      <c r="JC7" s="359"/>
      <c r="JD7" s="359"/>
      <c r="JE7" s="359"/>
      <c r="JF7" s="359"/>
      <c r="JG7" s="359"/>
      <c r="JH7" s="359"/>
      <c r="JI7" s="359"/>
      <c r="JJ7" s="359"/>
      <c r="JK7" s="359"/>
      <c r="JL7" s="359"/>
      <c r="JM7" s="359"/>
      <c r="JN7" s="359"/>
      <c r="JO7" s="359"/>
      <c r="JP7" s="359"/>
      <c r="JQ7" s="359"/>
      <c r="JR7" s="359"/>
      <c r="JS7" s="359"/>
      <c r="JT7" s="359"/>
      <c r="JU7" s="359"/>
      <c r="JV7" s="359"/>
      <c r="JW7" s="359"/>
      <c r="JX7" s="359"/>
      <c r="JY7" s="359"/>
      <c r="JZ7" s="359"/>
      <c r="KA7" s="363" t="s">
        <v>17</v>
      </c>
      <c r="KB7" s="359"/>
      <c r="KC7" s="359"/>
      <c r="KD7" s="359"/>
      <c r="KE7" s="359"/>
      <c r="KF7" s="359"/>
      <c r="KG7" s="359"/>
      <c r="KH7" s="359"/>
      <c r="KI7" s="359"/>
      <c r="KJ7" s="359"/>
      <c r="KK7" s="359"/>
      <c r="KL7" s="359"/>
      <c r="KM7" s="359"/>
      <c r="KN7" s="359"/>
      <c r="KO7" s="359"/>
      <c r="KP7" s="359"/>
      <c r="KQ7" s="359"/>
      <c r="KR7" s="359"/>
      <c r="KS7" s="359"/>
      <c r="KT7" s="359"/>
      <c r="KU7" s="359"/>
      <c r="KV7" s="359"/>
      <c r="KW7" s="359"/>
      <c r="KX7" s="359"/>
      <c r="KY7" s="359"/>
      <c r="KZ7" s="359"/>
      <c r="LA7" s="359"/>
      <c r="LB7" s="359"/>
      <c r="LC7" s="359"/>
      <c r="LD7" s="359"/>
      <c r="LE7" s="359"/>
      <c r="LF7" s="364" t="s">
        <v>18</v>
      </c>
      <c r="LG7" s="365"/>
      <c r="LH7" s="365"/>
      <c r="LI7" s="365"/>
      <c r="LJ7" s="365"/>
      <c r="LK7" s="365"/>
      <c r="LL7" s="365"/>
      <c r="LM7" s="365"/>
      <c r="LN7" s="365"/>
      <c r="LO7" s="365"/>
      <c r="LP7" s="365"/>
      <c r="LQ7" s="365"/>
      <c r="LR7" s="365"/>
      <c r="LS7" s="365"/>
      <c r="LT7" s="365"/>
      <c r="LU7" s="365"/>
      <c r="LV7" s="365"/>
      <c r="LW7" s="365"/>
      <c r="LX7" s="365"/>
      <c r="LY7" s="365"/>
      <c r="LZ7" s="365"/>
      <c r="MA7" s="365"/>
      <c r="MB7" s="365"/>
      <c r="MC7" s="365"/>
      <c r="MD7" s="365"/>
      <c r="ME7" s="365"/>
      <c r="MF7" s="365"/>
      <c r="MG7" s="366"/>
      <c r="MH7" s="359" t="s">
        <v>19</v>
      </c>
      <c r="MI7" s="359"/>
      <c r="MJ7" s="359"/>
      <c r="MK7" s="359"/>
      <c r="ML7" s="359"/>
      <c r="MM7" s="359"/>
      <c r="MN7" s="359"/>
      <c r="MO7" s="359"/>
      <c r="MP7" s="359"/>
      <c r="MQ7" s="359"/>
      <c r="MR7" s="359"/>
      <c r="MS7" s="359"/>
      <c r="MT7" s="359"/>
      <c r="MU7" s="359"/>
      <c r="MV7" s="359"/>
      <c r="MW7" s="359"/>
      <c r="MX7" s="359"/>
      <c r="MY7" s="359"/>
      <c r="MZ7" s="359"/>
      <c r="NA7" s="359"/>
      <c r="NB7" s="359"/>
      <c r="NC7" s="359"/>
      <c r="ND7" s="359"/>
      <c r="NE7" s="359"/>
      <c r="NF7" s="359"/>
      <c r="NG7" s="359"/>
      <c r="NH7" s="359"/>
      <c r="NI7" s="359"/>
      <c r="NJ7" s="359"/>
      <c r="NK7" s="359"/>
      <c r="NL7" s="360"/>
    </row>
    <row r="8" spans="1:376" s="3" customFormat="1">
      <c r="A8" s="1"/>
      <c r="L8" s="75">
        <v>1</v>
      </c>
      <c r="M8" s="5">
        <v>2</v>
      </c>
      <c r="N8" s="5">
        <v>3</v>
      </c>
      <c r="O8" s="5">
        <v>4</v>
      </c>
      <c r="P8" s="5">
        <v>5</v>
      </c>
      <c r="Q8" s="5">
        <v>6</v>
      </c>
      <c r="R8" s="5">
        <v>7</v>
      </c>
      <c r="S8" s="5">
        <v>8</v>
      </c>
      <c r="T8" s="5">
        <v>9</v>
      </c>
      <c r="U8" s="5">
        <v>10</v>
      </c>
      <c r="V8" s="5">
        <v>11</v>
      </c>
      <c r="W8" s="5">
        <v>12</v>
      </c>
      <c r="X8" s="5">
        <v>13</v>
      </c>
      <c r="Y8" s="5">
        <v>14</v>
      </c>
      <c r="Z8" s="5">
        <v>15</v>
      </c>
      <c r="AA8" s="5">
        <v>16</v>
      </c>
      <c r="AB8" s="5">
        <v>17</v>
      </c>
      <c r="AC8" s="5">
        <v>18</v>
      </c>
      <c r="AD8" s="5">
        <v>19</v>
      </c>
      <c r="AE8" s="5">
        <v>20</v>
      </c>
      <c r="AF8" s="5">
        <v>21</v>
      </c>
      <c r="AG8" s="5">
        <v>22</v>
      </c>
      <c r="AH8" s="5">
        <v>23</v>
      </c>
      <c r="AI8" s="5">
        <v>24</v>
      </c>
      <c r="AJ8" s="5">
        <v>25</v>
      </c>
      <c r="AK8" s="5">
        <v>26</v>
      </c>
      <c r="AL8" s="5">
        <v>27</v>
      </c>
      <c r="AM8" s="5">
        <v>28</v>
      </c>
      <c r="AN8" s="5">
        <v>29</v>
      </c>
      <c r="AO8" s="72">
        <v>30</v>
      </c>
      <c r="AP8" s="75">
        <v>1</v>
      </c>
      <c r="AQ8" s="5">
        <v>2</v>
      </c>
      <c r="AR8" s="5">
        <v>3</v>
      </c>
      <c r="AS8" s="5">
        <v>4</v>
      </c>
      <c r="AT8" s="5">
        <v>5</v>
      </c>
      <c r="AU8" s="5">
        <v>6</v>
      </c>
      <c r="AV8" s="5">
        <v>7</v>
      </c>
      <c r="AW8" s="5">
        <v>8</v>
      </c>
      <c r="AX8" s="5">
        <v>9</v>
      </c>
      <c r="AY8" s="5">
        <v>10</v>
      </c>
      <c r="AZ8" s="5">
        <v>11</v>
      </c>
      <c r="BA8" s="5">
        <v>12</v>
      </c>
      <c r="BB8" s="5">
        <v>13</v>
      </c>
      <c r="BC8" s="5">
        <v>14</v>
      </c>
      <c r="BD8" s="5">
        <v>15</v>
      </c>
      <c r="BE8" s="5">
        <v>16</v>
      </c>
      <c r="BF8" s="5">
        <v>17</v>
      </c>
      <c r="BG8" s="5">
        <v>18</v>
      </c>
      <c r="BH8" s="5">
        <v>19</v>
      </c>
      <c r="BI8" s="5">
        <v>20</v>
      </c>
      <c r="BJ8" s="5">
        <v>21</v>
      </c>
      <c r="BK8" s="5">
        <v>22</v>
      </c>
      <c r="BL8" s="5">
        <v>23</v>
      </c>
      <c r="BM8" s="5">
        <v>24</v>
      </c>
      <c r="BN8" s="5">
        <v>25</v>
      </c>
      <c r="BO8" s="5">
        <v>26</v>
      </c>
      <c r="BP8" s="5">
        <v>27</v>
      </c>
      <c r="BQ8" s="5">
        <v>28</v>
      </c>
      <c r="BR8" s="5">
        <v>29</v>
      </c>
      <c r="BS8" s="5">
        <v>30</v>
      </c>
      <c r="BT8" s="72">
        <v>31</v>
      </c>
      <c r="BU8" s="89">
        <v>1</v>
      </c>
      <c r="BV8" s="6">
        <v>2</v>
      </c>
      <c r="BW8" s="6">
        <v>3</v>
      </c>
      <c r="BX8" s="6">
        <v>4</v>
      </c>
      <c r="BY8" s="6">
        <v>5</v>
      </c>
      <c r="BZ8" s="6">
        <v>6</v>
      </c>
      <c r="CA8" s="6">
        <v>7</v>
      </c>
      <c r="CB8" s="6">
        <v>8</v>
      </c>
      <c r="CC8" s="6">
        <v>9</v>
      </c>
      <c r="CD8" s="6">
        <v>10</v>
      </c>
      <c r="CE8" s="6">
        <v>11</v>
      </c>
      <c r="CF8" s="6">
        <v>12</v>
      </c>
      <c r="CG8" s="6">
        <v>13</v>
      </c>
      <c r="CH8" s="6">
        <v>14</v>
      </c>
      <c r="CI8" s="6">
        <v>15</v>
      </c>
      <c r="CJ8" s="6">
        <v>16</v>
      </c>
      <c r="CK8" s="6">
        <v>17</v>
      </c>
      <c r="CL8" s="6">
        <v>18</v>
      </c>
      <c r="CM8" s="6">
        <v>19</v>
      </c>
      <c r="CN8" s="6">
        <v>20</v>
      </c>
      <c r="CO8" s="6">
        <v>21</v>
      </c>
      <c r="CP8" s="6">
        <v>22</v>
      </c>
      <c r="CQ8" s="6">
        <v>23</v>
      </c>
      <c r="CR8" s="6">
        <v>24</v>
      </c>
      <c r="CS8" s="6">
        <v>25</v>
      </c>
      <c r="CT8" s="6">
        <v>26</v>
      </c>
      <c r="CU8" s="6">
        <v>27</v>
      </c>
      <c r="CV8" s="6">
        <v>28</v>
      </c>
      <c r="CW8" s="6">
        <v>29</v>
      </c>
      <c r="CX8" s="96">
        <v>30</v>
      </c>
      <c r="CY8" s="89">
        <v>1</v>
      </c>
      <c r="CZ8" s="6">
        <v>2</v>
      </c>
      <c r="DA8" s="6">
        <v>3</v>
      </c>
      <c r="DB8" s="6">
        <v>4</v>
      </c>
      <c r="DC8" s="6">
        <v>5</v>
      </c>
      <c r="DD8" s="6">
        <v>6</v>
      </c>
      <c r="DE8" s="6">
        <v>7</v>
      </c>
      <c r="DF8" s="6">
        <v>8</v>
      </c>
      <c r="DG8" s="6">
        <v>9</v>
      </c>
      <c r="DH8" s="6">
        <v>10</v>
      </c>
      <c r="DI8" s="6">
        <v>11</v>
      </c>
      <c r="DJ8" s="6">
        <v>12</v>
      </c>
      <c r="DK8" s="6">
        <v>13</v>
      </c>
      <c r="DL8" s="6">
        <v>14</v>
      </c>
      <c r="DM8" s="6">
        <v>15</v>
      </c>
      <c r="DN8" s="6">
        <v>16</v>
      </c>
      <c r="DO8" s="6">
        <v>17</v>
      </c>
      <c r="DP8" s="6">
        <v>18</v>
      </c>
      <c r="DQ8" s="6">
        <v>19</v>
      </c>
      <c r="DR8" s="6">
        <v>20</v>
      </c>
      <c r="DS8" s="6">
        <v>21</v>
      </c>
      <c r="DT8" s="6">
        <v>22</v>
      </c>
      <c r="DU8" s="6">
        <v>23</v>
      </c>
      <c r="DV8" s="6">
        <v>24</v>
      </c>
      <c r="DW8" s="6">
        <v>25</v>
      </c>
      <c r="DX8" s="6">
        <v>26</v>
      </c>
      <c r="DY8" s="6">
        <v>27</v>
      </c>
      <c r="DZ8" s="6">
        <v>28</v>
      </c>
      <c r="EA8" s="6">
        <v>29</v>
      </c>
      <c r="EB8" s="6">
        <v>30</v>
      </c>
      <c r="EC8" s="96">
        <v>31</v>
      </c>
      <c r="ED8" s="89">
        <v>1</v>
      </c>
      <c r="EE8" s="6">
        <v>2</v>
      </c>
      <c r="EF8" s="6">
        <v>3</v>
      </c>
      <c r="EG8" s="6">
        <v>4</v>
      </c>
      <c r="EH8" s="6">
        <v>5</v>
      </c>
      <c r="EI8" s="6">
        <v>6</v>
      </c>
      <c r="EJ8" s="6">
        <v>7</v>
      </c>
      <c r="EK8" s="6">
        <v>8</v>
      </c>
      <c r="EL8" s="6">
        <v>9</v>
      </c>
      <c r="EM8" s="6">
        <v>10</v>
      </c>
      <c r="EN8" s="6">
        <v>11</v>
      </c>
      <c r="EO8" s="6">
        <v>12</v>
      </c>
      <c r="EP8" s="6">
        <v>13</v>
      </c>
      <c r="EQ8" s="6">
        <v>14</v>
      </c>
      <c r="ER8" s="6">
        <v>15</v>
      </c>
      <c r="ES8" s="6">
        <v>16</v>
      </c>
      <c r="ET8" s="6">
        <v>17</v>
      </c>
      <c r="EU8" s="6">
        <v>18</v>
      </c>
      <c r="EV8" s="6">
        <v>19</v>
      </c>
      <c r="EW8" s="6">
        <v>20</v>
      </c>
      <c r="EX8" s="6">
        <v>21</v>
      </c>
      <c r="EY8" s="6">
        <v>22</v>
      </c>
      <c r="EZ8" s="6">
        <v>23</v>
      </c>
      <c r="FA8" s="6">
        <v>24</v>
      </c>
      <c r="FB8" s="6">
        <v>25</v>
      </c>
      <c r="FC8" s="6">
        <v>26</v>
      </c>
      <c r="FD8" s="6">
        <v>27</v>
      </c>
      <c r="FE8" s="6">
        <v>28</v>
      </c>
      <c r="FF8" s="6">
        <v>29</v>
      </c>
      <c r="FG8" s="6">
        <v>30</v>
      </c>
      <c r="FH8" s="96">
        <v>31</v>
      </c>
      <c r="FI8" s="89">
        <v>1</v>
      </c>
      <c r="FJ8" s="6">
        <v>2</v>
      </c>
      <c r="FK8" s="6">
        <v>3</v>
      </c>
      <c r="FL8" s="6">
        <v>4</v>
      </c>
      <c r="FM8" s="6">
        <v>5</v>
      </c>
      <c r="FN8" s="6">
        <v>6</v>
      </c>
      <c r="FO8" s="6">
        <v>7</v>
      </c>
      <c r="FP8" s="6">
        <v>8</v>
      </c>
      <c r="FQ8" s="6">
        <v>9</v>
      </c>
      <c r="FR8" s="6">
        <v>10</v>
      </c>
      <c r="FS8" s="6">
        <v>11</v>
      </c>
      <c r="FT8" s="6">
        <v>12</v>
      </c>
      <c r="FU8" s="6">
        <v>13</v>
      </c>
      <c r="FV8" s="6">
        <v>14</v>
      </c>
      <c r="FW8" s="6">
        <v>15</v>
      </c>
      <c r="FX8" s="6">
        <v>16</v>
      </c>
      <c r="FY8" s="6">
        <v>17</v>
      </c>
      <c r="FZ8" s="6">
        <v>18</v>
      </c>
      <c r="GA8" s="6">
        <v>19</v>
      </c>
      <c r="GB8" s="6">
        <v>20</v>
      </c>
      <c r="GC8" s="6">
        <v>21</v>
      </c>
      <c r="GD8" s="6">
        <v>22</v>
      </c>
      <c r="GE8" s="6">
        <v>23</v>
      </c>
      <c r="GF8" s="6">
        <v>24</v>
      </c>
      <c r="GG8" s="6">
        <v>25</v>
      </c>
      <c r="GH8" s="6">
        <v>26</v>
      </c>
      <c r="GI8" s="6">
        <v>27</v>
      </c>
      <c r="GJ8" s="6">
        <v>28</v>
      </c>
      <c r="GK8" s="6">
        <v>29</v>
      </c>
      <c r="GL8" s="96">
        <v>30</v>
      </c>
      <c r="GM8" s="89">
        <v>1</v>
      </c>
      <c r="GN8" s="6">
        <v>2</v>
      </c>
      <c r="GO8" s="6">
        <v>3</v>
      </c>
      <c r="GP8" s="6">
        <v>4</v>
      </c>
      <c r="GQ8" s="6">
        <v>5</v>
      </c>
      <c r="GR8" s="6">
        <v>6</v>
      </c>
      <c r="GS8" s="6">
        <v>7</v>
      </c>
      <c r="GT8" s="6">
        <v>8</v>
      </c>
      <c r="GU8" s="6">
        <v>9</v>
      </c>
      <c r="GV8" s="6">
        <v>10</v>
      </c>
      <c r="GW8" s="6">
        <v>11</v>
      </c>
      <c r="GX8" s="6">
        <v>12</v>
      </c>
      <c r="GY8" s="6">
        <v>13</v>
      </c>
      <c r="GZ8" s="6">
        <v>14</v>
      </c>
      <c r="HA8" s="6">
        <v>15</v>
      </c>
      <c r="HB8" s="6">
        <v>16</v>
      </c>
      <c r="HC8" s="6">
        <v>17</v>
      </c>
      <c r="HD8" s="6">
        <v>18</v>
      </c>
      <c r="HE8" s="6">
        <v>19</v>
      </c>
      <c r="HF8" s="6">
        <v>20</v>
      </c>
      <c r="HG8" s="6">
        <v>21</v>
      </c>
      <c r="HH8" s="6">
        <v>22</v>
      </c>
      <c r="HI8" s="6">
        <v>23</v>
      </c>
      <c r="HJ8" s="6">
        <v>24</v>
      </c>
      <c r="HK8" s="6">
        <v>25</v>
      </c>
      <c r="HL8" s="6">
        <v>26</v>
      </c>
      <c r="HM8" s="6">
        <v>27</v>
      </c>
      <c r="HN8" s="6">
        <v>28</v>
      </c>
      <c r="HO8" s="6">
        <v>29</v>
      </c>
      <c r="HP8" s="6">
        <v>30</v>
      </c>
      <c r="HQ8" s="96">
        <v>31</v>
      </c>
      <c r="HR8" s="89">
        <v>1</v>
      </c>
      <c r="HS8" s="6">
        <v>2</v>
      </c>
      <c r="HT8" s="6">
        <v>3</v>
      </c>
      <c r="HU8" s="6">
        <v>4</v>
      </c>
      <c r="HV8" s="6">
        <v>5</v>
      </c>
      <c r="HW8" s="6">
        <v>6</v>
      </c>
      <c r="HX8" s="6">
        <v>7</v>
      </c>
      <c r="HY8" s="6">
        <v>8</v>
      </c>
      <c r="HZ8" s="6">
        <v>9</v>
      </c>
      <c r="IA8" s="6">
        <v>10</v>
      </c>
      <c r="IB8" s="6">
        <v>11</v>
      </c>
      <c r="IC8" s="6">
        <v>12</v>
      </c>
      <c r="ID8" s="6">
        <v>13</v>
      </c>
      <c r="IE8" s="6">
        <v>14</v>
      </c>
      <c r="IF8" s="6">
        <v>15</v>
      </c>
      <c r="IG8" s="6">
        <v>16</v>
      </c>
      <c r="IH8" s="6">
        <v>17</v>
      </c>
      <c r="II8" s="6">
        <v>18</v>
      </c>
      <c r="IJ8" s="6">
        <v>19</v>
      </c>
      <c r="IK8" s="6">
        <v>20</v>
      </c>
      <c r="IL8" s="6">
        <v>21</v>
      </c>
      <c r="IM8" s="6">
        <v>22</v>
      </c>
      <c r="IN8" s="6">
        <v>23</v>
      </c>
      <c r="IO8" s="6">
        <v>24</v>
      </c>
      <c r="IP8" s="6">
        <v>25</v>
      </c>
      <c r="IQ8" s="6">
        <v>26</v>
      </c>
      <c r="IR8" s="6">
        <v>27</v>
      </c>
      <c r="IS8" s="6">
        <v>28</v>
      </c>
      <c r="IT8" s="6">
        <v>29</v>
      </c>
      <c r="IU8" s="96">
        <v>30</v>
      </c>
      <c r="IV8" s="89">
        <v>1</v>
      </c>
      <c r="IW8" s="6">
        <v>2</v>
      </c>
      <c r="IX8" s="6">
        <v>3</v>
      </c>
      <c r="IY8" s="6">
        <v>4</v>
      </c>
      <c r="IZ8" s="6">
        <v>5</v>
      </c>
      <c r="JA8" s="6">
        <v>6</v>
      </c>
      <c r="JB8" s="6">
        <v>7</v>
      </c>
      <c r="JC8" s="6">
        <v>8</v>
      </c>
      <c r="JD8" s="6">
        <v>9</v>
      </c>
      <c r="JE8" s="6">
        <v>10</v>
      </c>
      <c r="JF8" s="6">
        <v>11</v>
      </c>
      <c r="JG8" s="6">
        <v>12</v>
      </c>
      <c r="JH8" s="6">
        <v>13</v>
      </c>
      <c r="JI8" s="6">
        <v>14</v>
      </c>
      <c r="JJ8" s="6">
        <v>15</v>
      </c>
      <c r="JK8" s="6">
        <v>16</v>
      </c>
      <c r="JL8" s="6">
        <v>17</v>
      </c>
      <c r="JM8" s="6">
        <v>18</v>
      </c>
      <c r="JN8" s="6">
        <v>19</v>
      </c>
      <c r="JO8" s="6">
        <v>20</v>
      </c>
      <c r="JP8" s="6">
        <v>21</v>
      </c>
      <c r="JQ8" s="6">
        <v>22</v>
      </c>
      <c r="JR8" s="6">
        <v>23</v>
      </c>
      <c r="JS8" s="6">
        <v>24</v>
      </c>
      <c r="JT8" s="6">
        <v>25</v>
      </c>
      <c r="JU8" s="6">
        <v>26</v>
      </c>
      <c r="JV8" s="6">
        <v>27</v>
      </c>
      <c r="JW8" s="6">
        <v>28</v>
      </c>
      <c r="JX8" s="6">
        <v>29</v>
      </c>
      <c r="JY8" s="6">
        <v>30</v>
      </c>
      <c r="JZ8" s="96">
        <v>31</v>
      </c>
      <c r="KA8" s="89">
        <v>1</v>
      </c>
      <c r="KB8" s="6">
        <v>2</v>
      </c>
      <c r="KC8" s="6">
        <v>3</v>
      </c>
      <c r="KD8" s="6">
        <v>4</v>
      </c>
      <c r="KE8" s="6">
        <v>5</v>
      </c>
      <c r="KF8" s="6">
        <v>6</v>
      </c>
      <c r="KG8" s="6">
        <v>7</v>
      </c>
      <c r="KH8" s="6">
        <v>8</v>
      </c>
      <c r="KI8" s="6">
        <v>9</v>
      </c>
      <c r="KJ8" s="6">
        <v>10</v>
      </c>
      <c r="KK8" s="6">
        <v>11</v>
      </c>
      <c r="KL8" s="6">
        <v>12</v>
      </c>
      <c r="KM8" s="6">
        <v>13</v>
      </c>
      <c r="KN8" s="6">
        <v>14</v>
      </c>
      <c r="KO8" s="6">
        <v>15</v>
      </c>
      <c r="KP8" s="6">
        <v>16</v>
      </c>
      <c r="KQ8" s="6">
        <v>17</v>
      </c>
      <c r="KR8" s="6">
        <v>18</v>
      </c>
      <c r="KS8" s="6">
        <v>19</v>
      </c>
      <c r="KT8" s="6">
        <v>20</v>
      </c>
      <c r="KU8" s="6">
        <v>21</v>
      </c>
      <c r="KV8" s="6">
        <v>22</v>
      </c>
      <c r="KW8" s="6">
        <v>23</v>
      </c>
      <c r="KX8" s="6">
        <v>24</v>
      </c>
      <c r="KY8" s="6">
        <v>25</v>
      </c>
      <c r="KZ8" s="6">
        <v>26</v>
      </c>
      <c r="LA8" s="6">
        <v>27</v>
      </c>
      <c r="LB8" s="6">
        <v>28</v>
      </c>
      <c r="LC8" s="6">
        <v>29</v>
      </c>
      <c r="LD8" s="6">
        <v>30</v>
      </c>
      <c r="LE8" s="96">
        <v>31</v>
      </c>
      <c r="LF8" s="138">
        <v>1</v>
      </c>
      <c r="LG8" s="6">
        <v>2</v>
      </c>
      <c r="LH8" s="6">
        <v>3</v>
      </c>
      <c r="LI8" s="6">
        <v>4</v>
      </c>
      <c r="LJ8" s="6">
        <v>5</v>
      </c>
      <c r="LK8" s="6">
        <v>6</v>
      </c>
      <c r="LL8" s="6">
        <v>7</v>
      </c>
      <c r="LM8" s="6">
        <v>8</v>
      </c>
      <c r="LN8" s="6">
        <v>9</v>
      </c>
      <c r="LO8" s="6">
        <v>10</v>
      </c>
      <c r="LP8" s="6">
        <v>11</v>
      </c>
      <c r="LQ8" s="6">
        <v>12</v>
      </c>
      <c r="LR8" s="6">
        <v>13</v>
      </c>
      <c r="LS8" s="6">
        <v>14</v>
      </c>
      <c r="LT8" s="6">
        <v>15</v>
      </c>
      <c r="LU8" s="6">
        <v>16</v>
      </c>
      <c r="LV8" s="6">
        <v>17</v>
      </c>
      <c r="LW8" s="6">
        <v>18</v>
      </c>
      <c r="LX8" s="6">
        <v>19</v>
      </c>
      <c r="LY8" s="6">
        <v>20</v>
      </c>
      <c r="LZ8" s="6">
        <v>21</v>
      </c>
      <c r="MA8" s="6">
        <v>22</v>
      </c>
      <c r="MB8" s="6">
        <v>23</v>
      </c>
      <c r="MC8" s="6">
        <v>24</v>
      </c>
      <c r="MD8" s="6">
        <v>25</v>
      </c>
      <c r="ME8" s="6">
        <v>26</v>
      </c>
      <c r="MF8" s="6">
        <v>27</v>
      </c>
      <c r="MG8" s="139">
        <v>28</v>
      </c>
      <c r="MH8" s="119">
        <v>1</v>
      </c>
      <c r="MI8" s="6">
        <v>2</v>
      </c>
      <c r="MJ8" s="6">
        <v>3</v>
      </c>
      <c r="MK8" s="6">
        <v>4</v>
      </c>
      <c r="ML8" s="6">
        <v>5</v>
      </c>
      <c r="MM8" s="6">
        <v>6</v>
      </c>
      <c r="MN8" s="6">
        <v>7</v>
      </c>
      <c r="MO8" s="6">
        <v>8</v>
      </c>
      <c r="MP8" s="6">
        <v>9</v>
      </c>
      <c r="MQ8" s="6">
        <v>10</v>
      </c>
      <c r="MR8" s="6">
        <v>11</v>
      </c>
      <c r="MS8" s="6">
        <v>12</v>
      </c>
      <c r="MT8" s="6">
        <v>13</v>
      </c>
      <c r="MU8" s="6">
        <v>14</v>
      </c>
      <c r="MV8" s="6">
        <v>15</v>
      </c>
      <c r="MW8" s="6">
        <v>16</v>
      </c>
      <c r="MX8" s="6">
        <v>17</v>
      </c>
      <c r="MY8" s="6">
        <v>18</v>
      </c>
      <c r="MZ8" s="6">
        <v>19</v>
      </c>
      <c r="NA8" s="6">
        <v>20</v>
      </c>
      <c r="NB8" s="6">
        <v>21</v>
      </c>
      <c r="NC8" s="6">
        <v>22</v>
      </c>
      <c r="ND8" s="6">
        <v>23</v>
      </c>
      <c r="NE8" s="6">
        <v>24</v>
      </c>
      <c r="NF8" s="6">
        <v>25</v>
      </c>
      <c r="NG8" s="6">
        <v>26</v>
      </c>
      <c r="NH8" s="6">
        <v>27</v>
      </c>
      <c r="NI8" s="6">
        <v>28</v>
      </c>
      <c r="NJ8" s="6">
        <v>29</v>
      </c>
      <c r="NK8" s="6">
        <v>30</v>
      </c>
      <c r="NL8" s="90">
        <v>31</v>
      </c>
    </row>
    <row r="9" spans="1:376" s="4" customFormat="1" ht="19.5" customHeight="1" thickBot="1">
      <c r="A9" s="1"/>
      <c r="B9" s="31" t="s">
        <v>20</v>
      </c>
      <c r="C9" s="31" t="s">
        <v>21</v>
      </c>
      <c r="D9" s="31" t="s">
        <v>22</v>
      </c>
      <c r="E9" s="31" t="s">
        <v>24</v>
      </c>
      <c r="F9" s="31" t="s">
        <v>71</v>
      </c>
      <c r="G9" s="31" t="s">
        <v>25</v>
      </c>
      <c r="H9" s="31" t="s">
        <v>26</v>
      </c>
      <c r="I9" s="31" t="s">
        <v>27</v>
      </c>
      <c r="J9" s="31" t="s">
        <v>4</v>
      </c>
      <c r="K9" s="70" t="s">
        <v>28</v>
      </c>
      <c r="L9" s="76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73"/>
      <c r="AP9" s="76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73"/>
      <c r="BU9" s="76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73"/>
      <c r="CY9" s="76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73"/>
      <c r="ED9" s="76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73"/>
      <c r="FI9" s="76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73"/>
      <c r="GM9" s="76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73"/>
      <c r="HR9" s="76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73"/>
      <c r="IV9" s="76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73"/>
      <c r="KA9" s="76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73"/>
      <c r="LF9" s="140"/>
      <c r="LG9" s="141"/>
      <c r="LH9" s="141"/>
      <c r="LI9" s="141"/>
      <c r="LJ9" s="141"/>
      <c r="LK9" s="141"/>
      <c r="LL9" s="141"/>
      <c r="LM9" s="141"/>
      <c r="LN9" s="141"/>
      <c r="LO9" s="141"/>
      <c r="LP9" s="141"/>
      <c r="LQ9" s="141"/>
      <c r="LR9" s="141"/>
      <c r="LS9" s="141"/>
      <c r="LT9" s="141"/>
      <c r="LU9" s="141"/>
      <c r="LV9" s="141"/>
      <c r="LW9" s="141"/>
      <c r="LX9" s="141"/>
      <c r="LY9" s="141"/>
      <c r="LZ9" s="141"/>
      <c r="MA9" s="141"/>
      <c r="MB9" s="141"/>
      <c r="MC9" s="141"/>
      <c r="MD9" s="141"/>
      <c r="ME9" s="141"/>
      <c r="MF9" s="141"/>
      <c r="MG9" s="142"/>
      <c r="MH9" s="118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77"/>
    </row>
    <row r="10" spans="1:376" ht="15.75" customHeight="1" thickBot="1">
      <c r="B10" s="29" t="s">
        <v>39</v>
      </c>
      <c r="C10" s="29" t="s">
        <v>36</v>
      </c>
      <c r="D10" s="29" t="s">
        <v>86</v>
      </c>
      <c r="E10" s="37">
        <v>0</v>
      </c>
      <c r="F10" s="29">
        <v>23</v>
      </c>
      <c r="G10" s="29">
        <v>0</v>
      </c>
      <c r="H10" s="29">
        <f t="shared" ref="H10:H47" si="0">E10+F10-COUNTIF(L10:NL10,$LY$39)</f>
        <v>6</v>
      </c>
      <c r="I10" s="30">
        <f t="shared" ref="I10:I41" si="1">G10-COUNTIF(L10:NL10,$C$3)</f>
        <v>-3</v>
      </c>
      <c r="J10" s="30">
        <f t="shared" ref="J10:J41" si="2">COUNTIF(K10:NI10,$C$4)</f>
        <v>0</v>
      </c>
      <c r="K10" s="71">
        <f t="shared" ref="K10:K41" si="3">COUNTIF(L10:NL10,$C$5)</f>
        <v>0</v>
      </c>
      <c r="L10" s="78"/>
      <c r="M10" s="7"/>
      <c r="N10" s="7"/>
      <c r="O10" s="8"/>
      <c r="P10" s="8"/>
      <c r="Q10" s="8"/>
      <c r="R10" s="8"/>
      <c r="S10" s="8"/>
      <c r="T10" s="7"/>
      <c r="U10" s="7"/>
      <c r="V10" s="8"/>
      <c r="W10" s="8"/>
      <c r="X10" s="8"/>
      <c r="Y10" s="8"/>
      <c r="Z10" s="26"/>
      <c r="AA10" s="7"/>
      <c r="AB10" s="7"/>
      <c r="AC10" s="15" t="s">
        <v>1</v>
      </c>
      <c r="AD10" s="15" t="s">
        <v>1</v>
      </c>
      <c r="AE10" s="15" t="s">
        <v>1</v>
      </c>
      <c r="AF10" s="15" t="s">
        <v>1</v>
      </c>
      <c r="AG10" s="15" t="s">
        <v>1</v>
      </c>
      <c r="AH10" s="7"/>
      <c r="AI10" s="7"/>
      <c r="AJ10" s="15" t="s">
        <v>1</v>
      </c>
      <c r="AK10" s="15" t="s">
        <v>1</v>
      </c>
      <c r="AL10" s="15" t="s">
        <v>1</v>
      </c>
      <c r="AM10" s="15" t="s">
        <v>1</v>
      </c>
      <c r="AN10" s="15" t="s">
        <v>1</v>
      </c>
      <c r="AO10" s="87"/>
      <c r="AP10" s="83"/>
      <c r="AQ10" s="15" t="s">
        <v>1</v>
      </c>
      <c r="AR10" s="15" t="s">
        <v>1</v>
      </c>
      <c r="AS10" s="15" t="s">
        <v>1</v>
      </c>
      <c r="AT10" s="15" t="s">
        <v>1</v>
      </c>
      <c r="AU10" s="15" t="s">
        <v>1</v>
      </c>
      <c r="AV10" s="7"/>
      <c r="AW10" s="7"/>
      <c r="AX10" s="8"/>
      <c r="AY10" s="8"/>
      <c r="AZ10" s="8"/>
      <c r="BA10" s="8"/>
      <c r="BB10" s="8"/>
      <c r="BC10" s="7"/>
      <c r="BD10" s="7"/>
      <c r="BE10" s="8"/>
      <c r="BF10" s="8"/>
      <c r="BG10" s="8"/>
      <c r="BH10" s="8"/>
      <c r="BI10" s="8"/>
      <c r="BJ10" s="7"/>
      <c r="BK10" s="7"/>
      <c r="BL10" s="8"/>
      <c r="BM10" s="8"/>
      <c r="BN10" s="8"/>
      <c r="BO10" s="8"/>
      <c r="BP10" s="8"/>
      <c r="BQ10" s="7"/>
      <c r="BR10" s="7"/>
      <c r="BS10" s="8"/>
      <c r="BT10" s="58"/>
      <c r="BU10" s="78"/>
      <c r="BV10" s="8"/>
      <c r="BW10" s="8"/>
      <c r="BX10" s="7"/>
      <c r="BY10" s="7"/>
      <c r="BZ10" s="8"/>
      <c r="CA10" s="8"/>
      <c r="CB10" s="8"/>
      <c r="CC10" s="8"/>
      <c r="CD10" s="8"/>
      <c r="CE10" s="7"/>
      <c r="CF10" s="7"/>
      <c r="CG10" s="8"/>
      <c r="CH10" s="8"/>
      <c r="CI10" s="8"/>
      <c r="CJ10" s="8"/>
      <c r="CK10" s="8"/>
      <c r="CL10" s="7"/>
      <c r="CM10" s="7"/>
      <c r="CN10" s="8"/>
      <c r="CO10" s="8"/>
      <c r="CP10" s="8"/>
      <c r="CQ10" s="8"/>
      <c r="CR10" s="26"/>
      <c r="CS10" s="7"/>
      <c r="CT10" s="7"/>
      <c r="CU10" s="26"/>
      <c r="CV10" s="8"/>
      <c r="CW10" s="8"/>
      <c r="CX10" s="58"/>
      <c r="CY10" s="78"/>
      <c r="CZ10" s="7"/>
      <c r="DA10" s="7"/>
      <c r="DB10" s="8"/>
      <c r="DC10" s="8"/>
      <c r="DD10" s="8"/>
      <c r="DE10" s="8"/>
      <c r="DF10" s="8"/>
      <c r="DG10" s="7"/>
      <c r="DH10" s="7"/>
      <c r="DI10" s="8"/>
      <c r="DJ10" s="8"/>
      <c r="DK10" s="8"/>
      <c r="DL10" s="8"/>
      <c r="DM10" s="8"/>
      <c r="DN10" s="7"/>
      <c r="DO10" s="7"/>
      <c r="DP10" s="8"/>
      <c r="DQ10" s="8"/>
      <c r="DR10" s="8"/>
      <c r="DS10" s="8"/>
      <c r="DT10" s="8"/>
      <c r="DU10" s="7"/>
      <c r="DV10" s="7"/>
      <c r="DW10" s="8"/>
      <c r="DX10" s="8"/>
      <c r="DY10" s="8"/>
      <c r="DZ10" s="8"/>
      <c r="EA10" s="8"/>
      <c r="EB10" s="7"/>
      <c r="EC10" s="87"/>
      <c r="ED10" s="78"/>
      <c r="EE10" s="8"/>
      <c r="EF10" s="8"/>
      <c r="EG10" s="8"/>
      <c r="EH10" s="8"/>
      <c r="EI10" s="7"/>
      <c r="EJ10" s="7"/>
      <c r="EK10" s="8"/>
      <c r="EL10" s="8"/>
      <c r="EM10" s="8"/>
      <c r="EN10" s="8"/>
      <c r="EO10" s="8"/>
      <c r="EP10" s="7"/>
      <c r="EQ10" s="7"/>
      <c r="ER10" s="26"/>
      <c r="ES10" s="8"/>
      <c r="ET10" s="8"/>
      <c r="EU10" s="8"/>
      <c r="EV10" s="8"/>
      <c r="EW10" s="7"/>
      <c r="EX10" s="7"/>
      <c r="EY10" s="8"/>
      <c r="EZ10" s="8"/>
      <c r="FA10" s="8"/>
      <c r="FB10" s="8"/>
      <c r="FC10" s="8"/>
      <c r="FD10" s="7"/>
      <c r="FE10" s="7"/>
      <c r="FF10" s="8"/>
      <c r="FG10" s="8"/>
      <c r="FH10" s="58"/>
      <c r="FI10" s="78"/>
      <c r="FJ10" s="8"/>
      <c r="FK10" s="7"/>
      <c r="FL10" s="7"/>
      <c r="FM10" s="8"/>
      <c r="FN10" s="8"/>
      <c r="FO10" s="8"/>
      <c r="FP10" s="8"/>
      <c r="FQ10" s="8"/>
      <c r="FR10" s="7"/>
      <c r="FS10" s="7"/>
      <c r="FT10" s="8"/>
      <c r="FU10" s="8"/>
      <c r="FV10" s="8"/>
      <c r="FW10" s="8"/>
      <c r="FX10" s="26"/>
      <c r="FY10" s="7"/>
      <c r="FZ10" s="7"/>
      <c r="GA10" s="26"/>
      <c r="GB10" s="8"/>
      <c r="GC10" s="8"/>
      <c r="GD10" s="8"/>
      <c r="GE10" s="8"/>
      <c r="GF10" s="7"/>
      <c r="GG10" s="7"/>
      <c r="GH10" s="8"/>
      <c r="GI10" s="8"/>
      <c r="GJ10" s="17" t="s">
        <v>3</v>
      </c>
      <c r="GK10" s="8"/>
      <c r="GL10" s="58"/>
      <c r="GM10" s="83"/>
      <c r="GN10" s="7"/>
      <c r="GO10" s="8"/>
      <c r="GP10" s="8"/>
      <c r="GQ10" s="8"/>
      <c r="GR10" s="8"/>
      <c r="GS10" s="8"/>
      <c r="GT10" s="7"/>
      <c r="GU10" s="7"/>
      <c r="GV10" s="26"/>
      <c r="GW10" s="8"/>
      <c r="GX10" s="8"/>
      <c r="GY10" s="8"/>
      <c r="GZ10" s="8"/>
      <c r="HA10" s="7"/>
      <c r="HB10" s="7"/>
      <c r="HC10" s="8"/>
      <c r="HD10" s="8"/>
      <c r="HE10" s="8"/>
      <c r="HF10" s="8"/>
      <c r="HG10" s="8"/>
      <c r="HH10" s="7"/>
      <c r="HI10" s="7"/>
      <c r="HJ10" s="8"/>
      <c r="HK10" s="8"/>
      <c r="HL10" s="8"/>
      <c r="HM10" s="8"/>
      <c r="HN10" s="8"/>
      <c r="HO10" s="7"/>
      <c r="HP10" s="7"/>
      <c r="HQ10" s="106"/>
      <c r="HR10" s="104"/>
      <c r="HS10" s="8"/>
      <c r="HT10" s="8"/>
      <c r="HU10" s="8"/>
      <c r="HV10" s="7"/>
      <c r="HW10" s="7"/>
      <c r="HX10" s="8"/>
      <c r="HY10" s="8"/>
      <c r="HZ10" s="8"/>
      <c r="IA10" s="8"/>
      <c r="IB10" s="8"/>
      <c r="IC10" s="7"/>
      <c r="ID10" s="7"/>
      <c r="IE10" s="8"/>
      <c r="IF10" s="8"/>
      <c r="IG10" s="8"/>
      <c r="IH10" s="8"/>
      <c r="II10" s="8"/>
      <c r="IJ10" s="7"/>
      <c r="IK10" s="7"/>
      <c r="IL10" s="8"/>
      <c r="IM10" s="8"/>
      <c r="IN10" s="8"/>
      <c r="IO10" s="8"/>
      <c r="IP10" s="8"/>
      <c r="IQ10" s="7"/>
      <c r="IR10" s="7"/>
      <c r="IS10" s="8"/>
      <c r="IT10" s="8"/>
      <c r="IU10" s="58"/>
      <c r="IV10" s="78"/>
      <c r="IW10" s="15" t="s">
        <v>1</v>
      </c>
      <c r="IX10" s="7"/>
      <c r="IY10" s="7"/>
      <c r="IZ10" s="8"/>
      <c r="JA10" s="8"/>
      <c r="JB10" s="8"/>
      <c r="JC10" s="26"/>
      <c r="JD10" s="8"/>
      <c r="JE10" s="7"/>
      <c r="JF10" s="7"/>
      <c r="JG10" s="8"/>
      <c r="JH10" s="8"/>
      <c r="JI10" s="8"/>
      <c r="JJ10" s="17" t="s">
        <v>3</v>
      </c>
      <c r="JK10" s="17" t="s">
        <v>3</v>
      </c>
      <c r="JL10" s="7"/>
      <c r="JM10" s="7"/>
      <c r="JN10" s="8"/>
      <c r="JO10" s="8"/>
      <c r="JP10" s="8"/>
      <c r="JQ10" s="8"/>
      <c r="JR10" s="8"/>
      <c r="JS10" s="7"/>
      <c r="JT10" s="7"/>
      <c r="JU10" s="8"/>
      <c r="JV10" s="8"/>
      <c r="JW10" s="8"/>
      <c r="JX10" s="8"/>
      <c r="JY10" s="8"/>
      <c r="JZ10" s="87"/>
      <c r="KA10" s="83"/>
      <c r="KB10" s="26"/>
      <c r="KC10" s="8"/>
      <c r="KD10" s="8"/>
      <c r="KE10" s="8"/>
      <c r="KF10" s="8"/>
      <c r="KG10" s="7"/>
      <c r="KH10" s="7"/>
      <c r="KI10" s="8"/>
      <c r="KJ10" s="8"/>
      <c r="KK10" s="8"/>
      <c r="KL10" s="8"/>
      <c r="KM10" s="8"/>
      <c r="KN10" s="7"/>
      <c r="KO10" s="7"/>
      <c r="KP10" s="8"/>
      <c r="KQ10" s="8"/>
      <c r="KR10" s="8"/>
      <c r="KS10" s="8"/>
      <c r="KT10" s="8"/>
      <c r="KU10" s="7"/>
      <c r="KV10" s="7"/>
      <c r="KW10" s="8"/>
      <c r="KX10" s="8"/>
      <c r="KY10" s="8"/>
      <c r="KZ10" s="8"/>
      <c r="LA10" s="66" t="s">
        <v>1</v>
      </c>
      <c r="LB10" s="7"/>
      <c r="LC10" s="7"/>
      <c r="LD10" s="8"/>
      <c r="LE10" s="58"/>
      <c r="LF10" s="127"/>
      <c r="LG10" s="128"/>
      <c r="LH10" s="128"/>
      <c r="LI10" s="129"/>
      <c r="LJ10" s="129"/>
      <c r="LK10" s="128"/>
      <c r="LL10" s="128"/>
      <c r="LM10" s="128"/>
      <c r="LN10" s="128"/>
      <c r="LO10" s="128"/>
      <c r="LP10" s="129"/>
      <c r="LQ10" s="129"/>
      <c r="LR10" s="128"/>
      <c r="LS10" s="128"/>
      <c r="LT10" s="128"/>
      <c r="LU10" s="128"/>
      <c r="LV10" s="128"/>
      <c r="LW10" s="129"/>
      <c r="LX10" s="129"/>
      <c r="LY10" s="128"/>
      <c r="LZ10" s="128"/>
      <c r="MA10" s="128"/>
      <c r="MB10" s="128"/>
      <c r="MC10" s="128"/>
      <c r="MD10" s="129"/>
      <c r="ME10" s="129"/>
      <c r="MF10" s="128"/>
      <c r="MG10" s="130"/>
      <c r="MH10" s="78"/>
      <c r="MI10" s="8"/>
      <c r="MJ10" s="8"/>
      <c r="MK10" s="7"/>
      <c r="ML10" s="7"/>
      <c r="MM10" s="8"/>
      <c r="MN10" s="8"/>
      <c r="MO10" s="8"/>
      <c r="MP10" s="8"/>
      <c r="MQ10" s="8"/>
      <c r="MR10" s="7"/>
      <c r="MS10" s="7"/>
      <c r="MT10" s="8"/>
      <c r="MU10" s="8"/>
      <c r="MV10" s="8"/>
      <c r="MW10" s="8"/>
      <c r="MX10" s="8"/>
      <c r="MY10" s="7"/>
      <c r="MZ10" s="7"/>
      <c r="NA10" s="8"/>
      <c r="NB10" s="8"/>
      <c r="NC10" s="8"/>
      <c r="ND10" s="8"/>
      <c r="NE10" s="8"/>
      <c r="NF10" s="7"/>
      <c r="NG10" s="7"/>
      <c r="NH10" s="8"/>
      <c r="NI10" s="8"/>
      <c r="NJ10" s="8"/>
      <c r="NK10" s="8"/>
      <c r="NL10" s="84"/>
    </row>
    <row r="11" spans="1:376" ht="15" customHeight="1" thickBot="1">
      <c r="B11" s="29" t="s">
        <v>29</v>
      </c>
      <c r="C11" s="29" t="s">
        <v>30</v>
      </c>
      <c r="D11" s="29" t="s">
        <v>31</v>
      </c>
      <c r="E11" s="37">
        <v>0</v>
      </c>
      <c r="F11" s="29">
        <v>23</v>
      </c>
      <c r="G11" s="29">
        <v>0</v>
      </c>
      <c r="H11" s="29">
        <f t="shared" si="0"/>
        <v>22</v>
      </c>
      <c r="I11" s="30">
        <f t="shared" si="1"/>
        <v>-1</v>
      </c>
      <c r="J11" s="30">
        <f t="shared" si="2"/>
        <v>0</v>
      </c>
      <c r="K11" s="71">
        <f t="shared" si="3"/>
        <v>18</v>
      </c>
      <c r="L11" s="78"/>
      <c r="M11" s="7"/>
      <c r="N11" s="7"/>
      <c r="O11" s="8"/>
      <c r="P11" s="8"/>
      <c r="Q11" s="8"/>
      <c r="R11" s="8"/>
      <c r="S11" s="8"/>
      <c r="T11" s="7"/>
      <c r="U11" s="7"/>
      <c r="V11" s="8"/>
      <c r="W11" s="8"/>
      <c r="X11" s="8"/>
      <c r="Y11" s="8"/>
      <c r="Z11" s="26"/>
      <c r="AA11" s="7"/>
      <c r="AB11" s="7"/>
      <c r="AC11" s="8"/>
      <c r="AD11" s="8"/>
      <c r="AE11" s="8"/>
      <c r="AF11" s="8"/>
      <c r="AG11" s="8"/>
      <c r="AH11" s="7"/>
      <c r="AI11" s="7"/>
      <c r="AJ11" s="8"/>
      <c r="AK11" s="8"/>
      <c r="AL11" s="8"/>
      <c r="AM11" s="8"/>
      <c r="AN11" s="8"/>
      <c r="AO11" s="87"/>
      <c r="AP11" s="83"/>
      <c r="AQ11" s="8"/>
      <c r="AR11" s="21" t="s">
        <v>7</v>
      </c>
      <c r="AS11" s="21" t="s">
        <v>7</v>
      </c>
      <c r="AT11" s="21" t="s">
        <v>7</v>
      </c>
      <c r="AU11" s="21" t="s">
        <v>7</v>
      </c>
      <c r="AV11" s="7"/>
      <c r="AW11" s="7"/>
      <c r="AX11" s="21" t="s">
        <v>7</v>
      </c>
      <c r="AY11" s="21" t="s">
        <v>7</v>
      </c>
      <c r="AZ11" s="21" t="s">
        <v>7</v>
      </c>
      <c r="BA11" s="21" t="s">
        <v>7</v>
      </c>
      <c r="BB11" s="21" t="s">
        <v>7</v>
      </c>
      <c r="BC11" s="7"/>
      <c r="BD11" s="7"/>
      <c r="BE11" s="8"/>
      <c r="BF11" s="8"/>
      <c r="BG11" s="8"/>
      <c r="BH11" s="21" t="s">
        <v>7</v>
      </c>
      <c r="BI11" s="21" t="s">
        <v>7</v>
      </c>
      <c r="BJ11" s="7"/>
      <c r="BK11" s="7"/>
      <c r="BL11" s="8"/>
      <c r="BM11" s="8"/>
      <c r="BN11" s="8"/>
      <c r="BO11" s="8"/>
      <c r="BP11" s="8"/>
      <c r="BQ11" s="7"/>
      <c r="BR11" s="7"/>
      <c r="BS11" s="8"/>
      <c r="BT11" s="58"/>
      <c r="BU11" s="78"/>
      <c r="BV11" s="8"/>
      <c r="BW11" s="8"/>
      <c r="BX11" s="7"/>
      <c r="BY11" s="7"/>
      <c r="BZ11" s="8"/>
      <c r="CA11" s="8"/>
      <c r="CB11" s="8"/>
      <c r="CC11" s="8"/>
      <c r="CD11" s="8"/>
      <c r="CE11" s="7"/>
      <c r="CF11" s="7"/>
      <c r="CG11" s="8"/>
      <c r="CH11" s="8"/>
      <c r="CI11" s="8"/>
      <c r="CJ11" s="8"/>
      <c r="CK11" s="8"/>
      <c r="CL11" s="7"/>
      <c r="CM11" s="7"/>
      <c r="CN11" s="8"/>
      <c r="CO11" s="8"/>
      <c r="CP11" s="8"/>
      <c r="CQ11" s="8"/>
      <c r="CR11" s="26"/>
      <c r="CS11" s="7"/>
      <c r="CT11" s="7"/>
      <c r="CU11" s="26"/>
      <c r="CV11" s="15" t="s">
        <v>1</v>
      </c>
      <c r="CW11" s="8"/>
      <c r="CX11" s="58"/>
      <c r="CY11" s="78"/>
      <c r="CZ11" s="7"/>
      <c r="DA11" s="7"/>
      <c r="DB11" s="8"/>
      <c r="DC11" s="8"/>
      <c r="DD11" s="8"/>
      <c r="DE11" s="8"/>
      <c r="DF11" s="8"/>
      <c r="DG11" s="7"/>
      <c r="DH11" s="7"/>
      <c r="DI11" s="8"/>
      <c r="DJ11" s="8"/>
      <c r="DK11" s="8"/>
      <c r="DL11" s="8"/>
      <c r="DM11" s="21" t="s">
        <v>7</v>
      </c>
      <c r="DN11" s="7"/>
      <c r="DO11" s="7"/>
      <c r="DP11" s="21" t="s">
        <v>7</v>
      </c>
      <c r="DQ11" s="21" t="s">
        <v>7</v>
      </c>
      <c r="DR11" s="21" t="s">
        <v>7</v>
      </c>
      <c r="DS11" s="8"/>
      <c r="DT11" s="8"/>
      <c r="DU11" s="7"/>
      <c r="DV11" s="7"/>
      <c r="DW11" s="8"/>
      <c r="DX11" s="8"/>
      <c r="DY11" s="8"/>
      <c r="DZ11" s="8"/>
      <c r="EA11" s="8"/>
      <c r="EB11" s="7"/>
      <c r="EC11" s="87"/>
      <c r="ED11" s="78"/>
      <c r="EE11" s="8"/>
      <c r="EF11" s="8"/>
      <c r="EG11" s="8"/>
      <c r="EH11" s="8"/>
      <c r="EI11" s="7"/>
      <c r="EJ11" s="7"/>
      <c r="EK11" s="8"/>
      <c r="EL11" s="8"/>
      <c r="EM11" s="8"/>
      <c r="EN11" s="8"/>
      <c r="EO11" s="8"/>
      <c r="EP11" s="7"/>
      <c r="EQ11" s="7"/>
      <c r="ER11" s="26"/>
      <c r="ES11" s="8"/>
      <c r="ET11" s="8"/>
      <c r="EU11" s="8"/>
      <c r="EV11" s="8"/>
      <c r="EW11" s="7"/>
      <c r="EX11" s="7"/>
      <c r="EY11" s="8"/>
      <c r="EZ11" s="8"/>
      <c r="FA11" s="8"/>
      <c r="FB11" s="8"/>
      <c r="FC11" s="8"/>
      <c r="FD11" s="7"/>
      <c r="FE11" s="7"/>
      <c r="FF11" s="8"/>
      <c r="FG11" s="8"/>
      <c r="FH11" s="58"/>
      <c r="FI11" s="78"/>
      <c r="FJ11" s="8"/>
      <c r="FK11" s="7"/>
      <c r="FL11" s="7"/>
      <c r="FM11" s="8"/>
      <c r="FN11" s="8"/>
      <c r="FO11" s="8"/>
      <c r="FP11" s="8"/>
      <c r="FQ11" s="8"/>
      <c r="FR11" s="7"/>
      <c r="FS11" s="7"/>
      <c r="FT11" s="8"/>
      <c r="FU11" s="8"/>
      <c r="FV11" s="8"/>
      <c r="FW11" s="8"/>
      <c r="FX11" s="26"/>
      <c r="FY11" s="7"/>
      <c r="FZ11" s="7"/>
      <c r="GA11" s="26"/>
      <c r="GB11" s="17" t="s">
        <v>3</v>
      </c>
      <c r="GC11" s="8"/>
      <c r="GD11" s="8"/>
      <c r="GE11" s="8"/>
      <c r="GF11" s="7"/>
      <c r="GG11" s="7"/>
      <c r="GH11" s="8"/>
      <c r="GI11" s="8"/>
      <c r="GJ11" s="8"/>
      <c r="GK11" s="8"/>
      <c r="GL11" s="58"/>
      <c r="GM11" s="83"/>
      <c r="GN11" s="7"/>
      <c r="GO11" s="8"/>
      <c r="GP11" s="8"/>
      <c r="GQ11" s="8"/>
      <c r="GR11" s="8"/>
      <c r="GS11" s="8"/>
      <c r="GT11" s="7"/>
      <c r="GU11" s="7"/>
      <c r="GV11" s="26"/>
      <c r="GW11" s="8"/>
      <c r="GX11" s="8"/>
      <c r="GY11" s="8"/>
      <c r="GZ11" s="8"/>
      <c r="HA11" s="7"/>
      <c r="HB11" s="7"/>
      <c r="HC11" s="8"/>
      <c r="HD11" s="8"/>
      <c r="HE11" s="8"/>
      <c r="HF11" s="8"/>
      <c r="HG11" s="8"/>
      <c r="HH11" s="7"/>
      <c r="HI11" s="7"/>
      <c r="HJ11" s="8"/>
      <c r="HK11" s="8"/>
      <c r="HL11" s="8"/>
      <c r="HM11" s="8"/>
      <c r="HN11" s="8"/>
      <c r="HO11" s="7"/>
      <c r="HP11" s="7"/>
      <c r="HQ11" s="106"/>
      <c r="HR11" s="104"/>
      <c r="HS11" s="8"/>
      <c r="HT11" s="8"/>
      <c r="HU11" s="8"/>
      <c r="HV11" s="7"/>
      <c r="HW11" s="7"/>
      <c r="HX11" s="21" t="s">
        <v>7</v>
      </c>
      <c r="HY11" s="21" t="s">
        <v>7</v>
      </c>
      <c r="HZ11" s="21" t="s">
        <v>7</v>
      </c>
      <c r="IA11" s="8"/>
      <c r="IB11" s="8"/>
      <c r="IC11" s="7"/>
      <c r="ID11" s="7"/>
      <c r="IE11" s="8"/>
      <c r="IF11" s="8"/>
      <c r="IG11" s="8"/>
      <c r="IH11" s="8"/>
      <c r="II11" s="8"/>
      <c r="IJ11" s="7"/>
      <c r="IK11" s="7"/>
      <c r="IL11" s="8"/>
      <c r="IM11" s="8"/>
      <c r="IN11" s="8"/>
      <c r="IO11" s="8"/>
      <c r="IP11" s="8"/>
      <c r="IQ11" s="7"/>
      <c r="IR11" s="7"/>
      <c r="IS11" s="8"/>
      <c r="IT11" s="8"/>
      <c r="IU11" s="47">
        <v>4.5</v>
      </c>
      <c r="IV11" s="78"/>
      <c r="IW11" s="8"/>
      <c r="IX11" s="7"/>
      <c r="IY11" s="7"/>
      <c r="IZ11" s="8"/>
      <c r="JA11" s="8"/>
      <c r="JB11" s="8"/>
      <c r="JC11" s="26"/>
      <c r="JD11" s="8"/>
      <c r="JE11" s="7"/>
      <c r="JF11" s="7"/>
      <c r="JG11" s="8"/>
      <c r="JH11" s="8"/>
      <c r="JI11" s="8"/>
      <c r="JJ11" s="8"/>
      <c r="JK11" s="8"/>
      <c r="JL11" s="7"/>
      <c r="JM11" s="7"/>
      <c r="JN11" s="8"/>
      <c r="JO11" s="8"/>
      <c r="JP11" s="8"/>
      <c r="JQ11" s="8"/>
      <c r="JR11" s="8"/>
      <c r="JS11" s="7"/>
      <c r="JT11" s="7"/>
      <c r="JU11" s="8"/>
      <c r="JV11" s="8"/>
      <c r="JW11" s="8"/>
      <c r="JX11" s="8"/>
      <c r="JY11" s="8"/>
      <c r="JZ11" s="87"/>
      <c r="KA11" s="83"/>
      <c r="KB11" s="26"/>
      <c r="KC11" s="8"/>
      <c r="KD11" s="8"/>
      <c r="KE11" s="8"/>
      <c r="KF11" s="8"/>
      <c r="KG11" s="7"/>
      <c r="KH11" s="7"/>
      <c r="KI11" s="8"/>
      <c r="KJ11" s="8"/>
      <c r="KK11" s="8"/>
      <c r="KL11" s="8"/>
      <c r="KM11" s="8"/>
      <c r="KN11" s="7"/>
      <c r="KO11" s="7"/>
      <c r="KP11" s="8"/>
      <c r="KQ11" s="8"/>
      <c r="KR11" s="8"/>
      <c r="KS11" s="8"/>
      <c r="KT11" s="8"/>
      <c r="KU11" s="7"/>
      <c r="KV11" s="7"/>
      <c r="KW11" s="8"/>
      <c r="KX11" s="8"/>
      <c r="KY11" s="8"/>
      <c r="KZ11" s="8"/>
      <c r="LA11" s="8"/>
      <c r="LB11" s="7"/>
      <c r="LC11" s="7"/>
      <c r="LD11" s="8"/>
      <c r="LE11" s="58"/>
      <c r="LF11" s="143"/>
      <c r="LG11" s="144"/>
      <c r="LH11" s="144"/>
      <c r="LI11" s="145"/>
      <c r="LJ11" s="145"/>
      <c r="LK11" s="144"/>
      <c r="LL11" s="144"/>
      <c r="LM11" s="144"/>
      <c r="LN11" s="144"/>
      <c r="LO11" s="144"/>
      <c r="LP11" s="145"/>
      <c r="LQ11" s="145"/>
      <c r="LR11" s="144"/>
      <c r="LS11" s="144"/>
      <c r="LT11" s="144"/>
      <c r="LU11" s="144"/>
      <c r="LV11" s="144"/>
      <c r="LW11" s="145"/>
      <c r="LX11" s="145"/>
      <c r="LY11" s="144"/>
      <c r="LZ11" s="144"/>
      <c r="MA11" s="144"/>
      <c r="MB11" s="144"/>
      <c r="MC11" s="144"/>
      <c r="MD11" s="145"/>
      <c r="ME11" s="145"/>
      <c r="MF11" s="144"/>
      <c r="MG11" s="146"/>
      <c r="MH11" s="121"/>
      <c r="MI11" s="114"/>
      <c r="MJ11" s="114"/>
      <c r="MK11" s="115"/>
      <c r="ML11" s="115"/>
      <c r="MM11" s="8"/>
      <c r="MN11" s="8"/>
      <c r="MO11" s="8"/>
      <c r="MP11" s="8"/>
      <c r="MQ11" s="8"/>
      <c r="MR11" s="7"/>
      <c r="MS11" s="7"/>
      <c r="MT11" s="8"/>
      <c r="MU11" s="8"/>
      <c r="MV11" s="8"/>
      <c r="MW11" s="8"/>
      <c r="MX11" s="8"/>
      <c r="MY11" s="7"/>
      <c r="MZ11" s="7"/>
      <c r="NA11" s="8"/>
      <c r="NB11" s="8"/>
      <c r="NC11" s="8"/>
      <c r="ND11" s="8"/>
      <c r="NE11" s="8"/>
      <c r="NF11" s="7"/>
      <c r="NG11" s="7"/>
      <c r="NH11" s="8"/>
      <c r="NI11" s="8"/>
      <c r="NJ11" s="8"/>
      <c r="NK11" s="8"/>
      <c r="NL11" s="84"/>
    </row>
    <row r="12" spans="1:376" ht="15" customHeight="1" thickBot="1">
      <c r="B12" s="29" t="s">
        <v>33</v>
      </c>
      <c r="C12" s="29" t="s">
        <v>30</v>
      </c>
      <c r="D12" s="29" t="s">
        <v>31</v>
      </c>
      <c r="E12" s="37">
        <v>0</v>
      </c>
      <c r="F12" s="29">
        <v>23</v>
      </c>
      <c r="G12" s="29">
        <v>0</v>
      </c>
      <c r="H12" s="29">
        <f t="shared" si="0"/>
        <v>7</v>
      </c>
      <c r="I12" s="30">
        <f t="shared" si="1"/>
        <v>-2</v>
      </c>
      <c r="J12" s="30">
        <f t="shared" si="2"/>
        <v>0</v>
      </c>
      <c r="K12" s="71">
        <f t="shared" si="3"/>
        <v>11</v>
      </c>
      <c r="L12" s="78"/>
      <c r="M12" s="7"/>
      <c r="N12" s="7"/>
      <c r="O12" s="8"/>
      <c r="P12" s="8"/>
      <c r="Q12" s="8"/>
      <c r="R12" s="8"/>
      <c r="S12" s="8"/>
      <c r="T12" s="7"/>
      <c r="U12" s="7"/>
      <c r="V12" s="8"/>
      <c r="W12" s="8"/>
      <c r="X12" s="8"/>
      <c r="Y12" s="8"/>
      <c r="Z12" s="26"/>
      <c r="AA12" s="7"/>
      <c r="AB12" s="7"/>
      <c r="AC12" s="8"/>
      <c r="AD12" s="8"/>
      <c r="AE12" s="8"/>
      <c r="AF12" s="8"/>
      <c r="AG12" s="8"/>
      <c r="AH12" s="7"/>
      <c r="AI12" s="7"/>
      <c r="AJ12" s="8"/>
      <c r="AK12" s="8"/>
      <c r="AL12" s="8"/>
      <c r="AM12" s="8"/>
      <c r="AN12" s="8"/>
      <c r="AO12" s="87"/>
      <c r="AP12" s="83"/>
      <c r="AQ12" s="8"/>
      <c r="AR12" s="8"/>
      <c r="AS12" s="8"/>
      <c r="AT12" s="8"/>
      <c r="AU12" s="8"/>
      <c r="AV12" s="7"/>
      <c r="AW12" s="7"/>
      <c r="AX12" s="8"/>
      <c r="AY12" s="8"/>
      <c r="AZ12" s="8"/>
      <c r="BA12" s="8"/>
      <c r="BB12" s="8"/>
      <c r="BC12" s="7"/>
      <c r="BD12" s="7"/>
      <c r="BE12" s="8"/>
      <c r="BF12" s="8"/>
      <c r="BG12" s="8"/>
      <c r="BH12" s="8"/>
      <c r="BI12" s="8"/>
      <c r="BJ12" s="7"/>
      <c r="BK12" s="7"/>
      <c r="BL12" s="8"/>
      <c r="BM12" s="8"/>
      <c r="BN12" s="8"/>
      <c r="BO12" s="8"/>
      <c r="BP12" s="8"/>
      <c r="BQ12" s="7"/>
      <c r="BR12" s="7"/>
      <c r="BS12" s="8"/>
      <c r="BT12" s="58"/>
      <c r="BU12" s="78"/>
      <c r="BV12" s="8"/>
      <c r="BW12" s="8"/>
      <c r="BX12" s="7"/>
      <c r="BY12" s="7"/>
      <c r="BZ12" s="8"/>
      <c r="CA12" s="8"/>
      <c r="CB12" s="8"/>
      <c r="CC12" s="8"/>
      <c r="CD12" s="8"/>
      <c r="CE12" s="7"/>
      <c r="CF12" s="7"/>
      <c r="CG12" s="8"/>
      <c r="CH12" s="8"/>
      <c r="CI12" s="8"/>
      <c r="CJ12" s="8"/>
      <c r="CK12" s="8"/>
      <c r="CL12" s="7"/>
      <c r="CM12" s="7"/>
      <c r="CN12" s="8"/>
      <c r="CO12" s="8"/>
      <c r="CP12" s="8"/>
      <c r="CQ12" s="8"/>
      <c r="CR12" s="26"/>
      <c r="CS12" s="7"/>
      <c r="CT12" s="7"/>
      <c r="CU12" s="26"/>
      <c r="CV12" s="8"/>
      <c r="CW12" s="8"/>
      <c r="CX12" s="58"/>
      <c r="CY12" s="78"/>
      <c r="CZ12" s="7"/>
      <c r="DA12" s="7"/>
      <c r="DB12" s="8"/>
      <c r="DC12" s="8"/>
      <c r="DD12" s="8"/>
      <c r="DE12" s="8"/>
      <c r="DF12" s="8"/>
      <c r="DG12" s="7"/>
      <c r="DH12" s="7"/>
      <c r="DI12" s="8"/>
      <c r="DJ12" s="8"/>
      <c r="DK12" s="8"/>
      <c r="DL12" s="8"/>
      <c r="DM12" s="8"/>
      <c r="DN12" s="7"/>
      <c r="DO12" s="7"/>
      <c r="DP12" s="8"/>
      <c r="DQ12" s="8"/>
      <c r="DR12" s="8"/>
      <c r="DS12" s="8"/>
      <c r="DT12" s="8"/>
      <c r="DU12" s="7"/>
      <c r="DV12" s="7"/>
      <c r="DW12" s="8"/>
      <c r="DX12" s="8"/>
      <c r="DY12" s="8"/>
      <c r="DZ12" s="8"/>
      <c r="EA12" s="8"/>
      <c r="EB12" s="7"/>
      <c r="EC12" s="87"/>
      <c r="ED12" s="78"/>
      <c r="EE12" s="8"/>
      <c r="EF12" s="8"/>
      <c r="EG12" s="8"/>
      <c r="EH12" s="8"/>
      <c r="EI12" s="7"/>
      <c r="EJ12" s="7"/>
      <c r="EK12" s="8"/>
      <c r="EL12" s="8"/>
      <c r="EM12" s="8"/>
      <c r="EN12" s="8"/>
      <c r="EO12" s="8"/>
      <c r="EP12" s="7"/>
      <c r="EQ12" s="7"/>
      <c r="ER12" s="26"/>
      <c r="ES12" s="8"/>
      <c r="ET12" s="8"/>
      <c r="EU12" s="8"/>
      <c r="EV12" s="8"/>
      <c r="EW12" s="7"/>
      <c r="EX12" s="7"/>
      <c r="EY12" s="8"/>
      <c r="EZ12" s="8"/>
      <c r="FA12" s="8"/>
      <c r="FB12" s="8"/>
      <c r="FC12" s="8"/>
      <c r="FD12" s="7"/>
      <c r="FE12" s="7"/>
      <c r="FF12" s="8"/>
      <c r="FG12" s="8"/>
      <c r="FH12" s="58"/>
      <c r="FI12" s="78"/>
      <c r="FJ12" s="8"/>
      <c r="FK12" s="7"/>
      <c r="FL12" s="7"/>
      <c r="FM12" s="8"/>
      <c r="FN12" s="8"/>
      <c r="FO12" s="8"/>
      <c r="FP12" s="8"/>
      <c r="FQ12" s="8"/>
      <c r="FR12" s="7"/>
      <c r="FS12" s="7"/>
      <c r="FT12" s="8"/>
      <c r="FU12" s="8"/>
      <c r="FV12" s="8"/>
      <c r="FW12" s="17" t="s">
        <v>3</v>
      </c>
      <c r="FX12" s="26"/>
      <c r="FY12" s="7"/>
      <c r="FZ12" s="7"/>
      <c r="GA12" s="26"/>
      <c r="GB12" s="8"/>
      <c r="GC12" s="8"/>
      <c r="GD12" s="8"/>
      <c r="GE12" s="8"/>
      <c r="GF12" s="7"/>
      <c r="GG12" s="7"/>
      <c r="GH12" s="8"/>
      <c r="GI12" s="8"/>
      <c r="GJ12" s="8"/>
      <c r="GK12" s="8"/>
      <c r="GL12" s="58"/>
      <c r="GM12" s="83"/>
      <c r="GN12" s="7"/>
      <c r="GO12" s="8"/>
      <c r="GP12" s="8"/>
      <c r="GQ12" s="8"/>
      <c r="GR12" s="8"/>
      <c r="GS12" s="8"/>
      <c r="GT12" s="7"/>
      <c r="GU12" s="7"/>
      <c r="GV12" s="26"/>
      <c r="GW12" s="8"/>
      <c r="GX12" s="8"/>
      <c r="GY12" s="8"/>
      <c r="GZ12" s="8"/>
      <c r="HA12" s="7"/>
      <c r="HB12" s="7"/>
      <c r="HC12" s="8"/>
      <c r="HD12" s="8"/>
      <c r="HE12" s="8"/>
      <c r="HF12" s="8"/>
      <c r="HG12" s="8"/>
      <c r="HH12" s="7"/>
      <c r="HI12" s="7"/>
      <c r="HJ12" s="8"/>
      <c r="HK12" s="8"/>
      <c r="HL12" s="8"/>
      <c r="HM12" s="8"/>
      <c r="HN12" s="17" t="s">
        <v>3</v>
      </c>
      <c r="HO12" s="7"/>
      <c r="HP12" s="7"/>
      <c r="HQ12" s="106"/>
      <c r="HR12" s="104"/>
      <c r="HS12" s="8"/>
      <c r="HT12" s="8"/>
      <c r="HU12" s="8"/>
      <c r="HV12" s="7"/>
      <c r="HW12" s="7"/>
      <c r="HX12" s="8"/>
      <c r="HY12" s="8"/>
      <c r="HZ12" s="8"/>
      <c r="IA12" s="8"/>
      <c r="IB12" s="8"/>
      <c r="IC12" s="7"/>
      <c r="ID12" s="7"/>
      <c r="IE12" s="8"/>
      <c r="IF12" s="8"/>
      <c r="IG12" s="8"/>
      <c r="IH12" s="8"/>
      <c r="II12" s="8"/>
      <c r="IJ12" s="7"/>
      <c r="IK12" s="7"/>
      <c r="IL12" s="8"/>
      <c r="IM12" s="8"/>
      <c r="IN12" s="8"/>
      <c r="IO12" s="8"/>
      <c r="IP12" s="8"/>
      <c r="IQ12" s="7"/>
      <c r="IR12" s="7"/>
      <c r="IS12" s="8"/>
      <c r="IT12" s="8"/>
      <c r="IU12" s="58"/>
      <c r="IV12" s="78"/>
      <c r="IW12" s="8"/>
      <c r="IX12" s="7"/>
      <c r="IY12" s="7"/>
      <c r="IZ12" s="8"/>
      <c r="JA12" s="8"/>
      <c r="JB12" s="8"/>
      <c r="JC12" s="26"/>
      <c r="JD12" s="15" t="s">
        <v>1</v>
      </c>
      <c r="JE12" s="7"/>
      <c r="JF12" s="7"/>
      <c r="JG12" s="8"/>
      <c r="JH12" s="8"/>
      <c r="JI12" s="8"/>
      <c r="JJ12" s="8"/>
      <c r="JK12" s="68" t="s">
        <v>7</v>
      </c>
      <c r="JL12" s="7"/>
      <c r="JM12" s="7"/>
      <c r="JN12" s="68" t="s">
        <v>7</v>
      </c>
      <c r="JO12" s="68" t="s">
        <v>7</v>
      </c>
      <c r="JP12" s="68" t="s">
        <v>7</v>
      </c>
      <c r="JQ12" s="68" t="s">
        <v>7</v>
      </c>
      <c r="JR12" s="68" t="s">
        <v>7</v>
      </c>
      <c r="JS12" s="7"/>
      <c r="JT12" s="7"/>
      <c r="JU12" s="68" t="s">
        <v>7</v>
      </c>
      <c r="JV12" s="68" t="s">
        <v>7</v>
      </c>
      <c r="JW12" s="68" t="s">
        <v>7</v>
      </c>
      <c r="JX12" s="68" t="s">
        <v>7</v>
      </c>
      <c r="JY12" s="68" t="s">
        <v>7</v>
      </c>
      <c r="JZ12" s="87"/>
      <c r="KA12" s="83"/>
      <c r="KB12" s="26"/>
      <c r="KC12" s="8"/>
      <c r="KD12" s="8"/>
      <c r="KE12" s="8"/>
      <c r="KF12" s="8"/>
      <c r="KG12" s="7"/>
      <c r="KH12" s="7"/>
      <c r="KI12" s="8"/>
      <c r="KJ12" s="8"/>
      <c r="KK12" s="8"/>
      <c r="KL12" s="8"/>
      <c r="KM12" s="8"/>
      <c r="KN12" s="7"/>
      <c r="KO12" s="7"/>
      <c r="KP12" s="8"/>
      <c r="KQ12" s="8"/>
      <c r="KR12" s="8"/>
      <c r="KS12" s="8"/>
      <c r="KT12" s="8"/>
      <c r="KU12" s="7"/>
      <c r="KV12" s="7"/>
      <c r="KW12" s="8"/>
      <c r="KX12" s="8"/>
      <c r="KY12" s="8"/>
      <c r="KZ12" s="8"/>
      <c r="LA12" s="8"/>
      <c r="LB12" s="7"/>
      <c r="LC12" s="7"/>
      <c r="LD12" s="8"/>
      <c r="LE12" s="58"/>
      <c r="LF12" s="147"/>
      <c r="LG12" s="8"/>
      <c r="LH12" s="8"/>
      <c r="LI12" s="7"/>
      <c r="LJ12" s="7"/>
      <c r="LK12" s="8"/>
      <c r="LL12" s="8"/>
      <c r="LM12" s="8"/>
      <c r="LN12" s="8"/>
      <c r="LO12" s="8"/>
      <c r="LP12" s="7"/>
      <c r="LQ12" s="7"/>
      <c r="LR12" s="171" t="s">
        <v>1</v>
      </c>
      <c r="LS12" s="171" t="s">
        <v>1</v>
      </c>
      <c r="LT12" s="171" t="s">
        <v>1</v>
      </c>
      <c r="LU12" s="171" t="s">
        <v>1</v>
      </c>
      <c r="LV12" s="171" t="s">
        <v>1</v>
      </c>
      <c r="LW12" s="7"/>
      <c r="LX12" s="7"/>
      <c r="LY12" s="171" t="s">
        <v>1</v>
      </c>
      <c r="LZ12" s="171" t="s">
        <v>1</v>
      </c>
      <c r="MA12" s="171" t="s">
        <v>1</v>
      </c>
      <c r="MB12" s="171" t="s">
        <v>1</v>
      </c>
      <c r="MC12" s="171" t="s">
        <v>1</v>
      </c>
      <c r="MD12" s="7"/>
      <c r="ME12" s="7"/>
      <c r="MF12" s="171" t="s">
        <v>1</v>
      </c>
      <c r="MG12" s="17" t="s">
        <v>1</v>
      </c>
      <c r="MH12" s="66" t="s">
        <v>1</v>
      </c>
      <c r="MI12" s="66" t="s">
        <v>1</v>
      </c>
      <c r="MJ12" s="66" t="s">
        <v>1</v>
      </c>
      <c r="MK12" s="7"/>
      <c r="ML12" s="7"/>
      <c r="MM12" s="8"/>
      <c r="MN12" s="8"/>
      <c r="MO12" s="8"/>
      <c r="MP12" s="8"/>
      <c r="MQ12" s="8"/>
      <c r="MR12" s="7"/>
      <c r="MS12" s="7"/>
      <c r="MT12" s="8"/>
      <c r="MU12" s="8"/>
      <c r="MV12" s="8"/>
      <c r="MW12" s="8"/>
      <c r="MX12" s="8"/>
      <c r="MY12" s="7"/>
      <c r="MZ12" s="7"/>
      <c r="NA12" s="8"/>
      <c r="NB12" s="8"/>
      <c r="NC12" s="8"/>
      <c r="ND12" s="8"/>
      <c r="NE12" s="8"/>
      <c r="NF12" s="7"/>
      <c r="NG12" s="7"/>
      <c r="NH12" s="8"/>
      <c r="NI12" s="8"/>
      <c r="NJ12" s="8"/>
      <c r="NK12" s="8"/>
      <c r="NL12" s="84"/>
    </row>
    <row r="13" spans="1:376" ht="15" customHeight="1" thickBot="1">
      <c r="B13" s="29" t="s">
        <v>34</v>
      </c>
      <c r="C13" s="29" t="s">
        <v>30</v>
      </c>
      <c r="D13" s="29" t="s">
        <v>31</v>
      </c>
      <c r="E13" s="37">
        <v>0</v>
      </c>
      <c r="F13" s="29">
        <v>23</v>
      </c>
      <c r="G13" s="29">
        <v>0</v>
      </c>
      <c r="H13" s="29">
        <f t="shared" si="0"/>
        <v>7</v>
      </c>
      <c r="I13" s="30">
        <f t="shared" si="1"/>
        <v>-1</v>
      </c>
      <c r="J13" s="30">
        <f t="shared" si="2"/>
        <v>0</v>
      </c>
      <c r="K13" s="71">
        <f t="shared" si="3"/>
        <v>2</v>
      </c>
      <c r="L13" s="78"/>
      <c r="M13" s="7"/>
      <c r="N13" s="7"/>
      <c r="O13" s="8"/>
      <c r="P13" s="8"/>
      <c r="Q13" s="8"/>
      <c r="R13" s="8"/>
      <c r="S13" s="8"/>
      <c r="T13" s="7"/>
      <c r="U13" s="7"/>
      <c r="V13" s="8"/>
      <c r="W13" s="8"/>
      <c r="X13" s="8"/>
      <c r="Y13" s="8"/>
      <c r="Z13" s="26"/>
      <c r="AA13" s="7"/>
      <c r="AB13" s="7"/>
      <c r="AC13" s="15" t="s">
        <v>1</v>
      </c>
      <c r="AD13" s="8"/>
      <c r="AE13" s="8"/>
      <c r="AF13" s="8"/>
      <c r="AG13" s="8"/>
      <c r="AH13" s="7"/>
      <c r="AI13" s="7"/>
      <c r="AJ13" s="8"/>
      <c r="AK13" s="8"/>
      <c r="AL13" s="8"/>
      <c r="AM13" s="8"/>
      <c r="AN13" s="8"/>
      <c r="AO13" s="87"/>
      <c r="AP13" s="83"/>
      <c r="AQ13" s="8"/>
      <c r="AR13" s="8"/>
      <c r="AS13" s="8"/>
      <c r="AT13" s="8"/>
      <c r="AU13" s="8"/>
      <c r="AV13" s="7"/>
      <c r="AW13" s="7"/>
      <c r="AX13" s="8"/>
      <c r="AY13" s="8"/>
      <c r="AZ13" s="8"/>
      <c r="BA13" s="8"/>
      <c r="BB13" s="8"/>
      <c r="BC13" s="7"/>
      <c r="BD13" s="7"/>
      <c r="BE13" s="8"/>
      <c r="BF13" s="8"/>
      <c r="BG13" s="8"/>
      <c r="BH13" s="8"/>
      <c r="BI13" s="8"/>
      <c r="BJ13" s="7"/>
      <c r="BK13" s="7"/>
      <c r="BL13" s="8"/>
      <c r="BM13" s="8"/>
      <c r="BN13" s="8"/>
      <c r="BO13" s="8"/>
      <c r="BP13" s="8"/>
      <c r="BQ13" s="7"/>
      <c r="BR13" s="7"/>
      <c r="BS13" s="8"/>
      <c r="BT13" s="58"/>
      <c r="BU13" s="78"/>
      <c r="BV13" s="8"/>
      <c r="BW13" s="8"/>
      <c r="BX13" s="7"/>
      <c r="BY13" s="7"/>
      <c r="BZ13" s="8"/>
      <c r="CA13" s="8"/>
      <c r="CB13" s="8"/>
      <c r="CC13" s="8"/>
      <c r="CD13" s="8"/>
      <c r="CE13" s="7"/>
      <c r="CF13" s="7"/>
      <c r="CG13" s="8"/>
      <c r="CH13" s="8"/>
      <c r="CI13" s="8"/>
      <c r="CJ13" s="8"/>
      <c r="CK13" s="8"/>
      <c r="CL13" s="7"/>
      <c r="CM13" s="7"/>
      <c r="CN13" s="8"/>
      <c r="CO13" s="8"/>
      <c r="CP13" s="8"/>
      <c r="CQ13" s="8"/>
      <c r="CR13" s="26"/>
      <c r="CS13" s="7"/>
      <c r="CT13" s="7"/>
      <c r="CU13" s="26"/>
      <c r="CV13" s="8"/>
      <c r="CW13" s="8"/>
      <c r="CX13" s="58"/>
      <c r="CY13" s="78"/>
      <c r="CZ13" s="7"/>
      <c r="DA13" s="7"/>
      <c r="DB13" s="8"/>
      <c r="DC13" s="8"/>
      <c r="DD13" s="8"/>
      <c r="DE13" s="8"/>
      <c r="DF13" s="8"/>
      <c r="DG13" s="7"/>
      <c r="DH13" s="7"/>
      <c r="DI13" s="8"/>
      <c r="DJ13" s="8"/>
      <c r="DK13" s="8"/>
      <c r="DL13" s="8"/>
      <c r="DM13" s="8"/>
      <c r="DN13" s="7"/>
      <c r="DO13" s="7"/>
      <c r="DP13" s="15" t="s">
        <v>1</v>
      </c>
      <c r="DQ13" s="15" t="s">
        <v>1</v>
      </c>
      <c r="DR13" s="15" t="s">
        <v>1</v>
      </c>
      <c r="DS13" s="15" t="s">
        <v>1</v>
      </c>
      <c r="DT13" s="15" t="s">
        <v>1</v>
      </c>
      <c r="DU13" s="7"/>
      <c r="DV13" s="7"/>
      <c r="DW13" s="8"/>
      <c r="DX13" s="8"/>
      <c r="DY13" s="8"/>
      <c r="DZ13" s="8"/>
      <c r="EA13" s="8"/>
      <c r="EB13" s="7"/>
      <c r="EC13" s="87"/>
      <c r="ED13" s="78"/>
      <c r="EE13" s="8"/>
      <c r="EF13" s="8"/>
      <c r="EG13" s="8"/>
      <c r="EH13" s="8"/>
      <c r="EI13" s="7"/>
      <c r="EJ13" s="7"/>
      <c r="EK13" s="8"/>
      <c r="EL13" s="8"/>
      <c r="EM13" s="8"/>
      <c r="EN13" s="8"/>
      <c r="EO13" s="8"/>
      <c r="EP13" s="7"/>
      <c r="EQ13" s="7"/>
      <c r="ER13" s="26"/>
      <c r="ES13" s="8"/>
      <c r="ET13" s="8"/>
      <c r="EU13" s="8"/>
      <c r="EV13" s="8"/>
      <c r="EW13" s="7"/>
      <c r="EX13" s="7"/>
      <c r="EY13" s="8"/>
      <c r="EZ13" s="8"/>
      <c r="FA13" s="8"/>
      <c r="FB13" s="8"/>
      <c r="FC13" s="8"/>
      <c r="FD13" s="7"/>
      <c r="FE13" s="7"/>
      <c r="FF13" s="8"/>
      <c r="FG13" s="8"/>
      <c r="FH13" s="58"/>
      <c r="FI13" s="78"/>
      <c r="FJ13" s="8"/>
      <c r="FK13" s="7"/>
      <c r="FL13" s="7"/>
      <c r="FM13" s="8"/>
      <c r="FN13" s="8"/>
      <c r="FO13" s="8"/>
      <c r="FP13" s="8"/>
      <c r="FQ13" s="8"/>
      <c r="FR13" s="7"/>
      <c r="FS13" s="7"/>
      <c r="FT13" s="8"/>
      <c r="FU13" s="8"/>
      <c r="FV13" s="8"/>
      <c r="FW13" s="8"/>
      <c r="FX13" s="26"/>
      <c r="FY13" s="7"/>
      <c r="FZ13" s="7"/>
      <c r="GA13" s="26"/>
      <c r="GB13" s="17" t="s">
        <v>3</v>
      </c>
      <c r="GC13" s="8"/>
      <c r="GD13" s="8"/>
      <c r="GE13" s="8"/>
      <c r="GF13" s="7"/>
      <c r="GG13" s="7"/>
      <c r="GH13" s="8"/>
      <c r="GI13" s="8"/>
      <c r="GJ13" s="8"/>
      <c r="GK13" s="8"/>
      <c r="GL13" s="58"/>
      <c r="GM13" s="83"/>
      <c r="GN13" s="7"/>
      <c r="GO13" s="8"/>
      <c r="GP13" s="8"/>
      <c r="GQ13" s="8"/>
      <c r="GR13" s="8"/>
      <c r="GS13" s="8"/>
      <c r="GT13" s="7"/>
      <c r="GU13" s="7"/>
      <c r="GV13" s="26"/>
      <c r="GW13" s="8"/>
      <c r="GX13" s="8"/>
      <c r="GY13" s="8"/>
      <c r="GZ13" s="8"/>
      <c r="HA13" s="7"/>
      <c r="HB13" s="7"/>
      <c r="HC13" s="8"/>
      <c r="HD13" s="8"/>
      <c r="HE13" s="8"/>
      <c r="HF13" s="8"/>
      <c r="HG13" s="8"/>
      <c r="HH13" s="7"/>
      <c r="HI13" s="7"/>
      <c r="HJ13" s="8"/>
      <c r="HK13" s="8"/>
      <c r="HL13" s="8"/>
      <c r="HM13" s="8"/>
      <c r="HN13" s="8"/>
      <c r="HO13" s="7"/>
      <c r="HP13" s="7"/>
      <c r="HQ13" s="106"/>
      <c r="HR13" s="104"/>
      <c r="HS13" s="8"/>
      <c r="HT13" s="8"/>
      <c r="HU13" s="8"/>
      <c r="HV13" s="7"/>
      <c r="HW13" s="7"/>
      <c r="HX13" s="8"/>
      <c r="HY13" s="8"/>
      <c r="HZ13" s="8"/>
      <c r="IA13" s="21" t="s">
        <v>7</v>
      </c>
      <c r="IB13" s="21" t="s">
        <v>7</v>
      </c>
      <c r="IC13" s="7"/>
      <c r="ID13" s="7"/>
      <c r="IE13" s="8"/>
      <c r="IF13" s="8"/>
      <c r="IG13" s="8"/>
      <c r="IH13" s="8"/>
      <c r="II13" s="8"/>
      <c r="IJ13" s="7"/>
      <c r="IK13" s="7"/>
      <c r="IL13" s="8"/>
      <c r="IM13" s="8"/>
      <c r="IN13" s="8"/>
      <c r="IO13" s="8"/>
      <c r="IP13" s="8"/>
      <c r="IQ13" s="7"/>
      <c r="IR13" s="7"/>
      <c r="IS13" s="8"/>
      <c r="IT13" s="8"/>
      <c r="IU13" s="58"/>
      <c r="IV13" s="78"/>
      <c r="IW13" s="8"/>
      <c r="IX13" s="7"/>
      <c r="IY13" s="7"/>
      <c r="IZ13" s="8"/>
      <c r="JA13" s="8"/>
      <c r="JB13" s="8"/>
      <c r="JC13" s="26"/>
      <c r="JD13" s="8"/>
      <c r="JE13" s="7"/>
      <c r="JF13" s="7"/>
      <c r="JG13" s="8"/>
      <c r="JH13" s="8"/>
      <c r="JI13" s="8"/>
      <c r="JJ13" s="8"/>
      <c r="JK13" s="8"/>
      <c r="JL13" s="7"/>
      <c r="JM13" s="7"/>
      <c r="JN13" s="8"/>
      <c r="JO13" s="8"/>
      <c r="JP13" s="8"/>
      <c r="JQ13" s="8"/>
      <c r="JR13" s="8"/>
      <c r="JS13" s="7"/>
      <c r="JT13" s="7"/>
      <c r="JU13" s="8"/>
      <c r="JV13" s="8"/>
      <c r="JW13" s="8"/>
      <c r="JX13" s="8"/>
      <c r="JY13" s="8"/>
      <c r="JZ13" s="87"/>
      <c r="KA13" s="83"/>
      <c r="KB13" s="26"/>
      <c r="KC13" s="8"/>
      <c r="KD13" s="8"/>
      <c r="KE13" s="8"/>
      <c r="KF13" s="47">
        <v>4.5</v>
      </c>
      <c r="KG13" s="7"/>
      <c r="KH13" s="7"/>
      <c r="KI13" s="15" t="s">
        <v>1</v>
      </c>
      <c r="KJ13" s="15" t="s">
        <v>1</v>
      </c>
      <c r="KK13" s="15" t="s">
        <v>1</v>
      </c>
      <c r="KL13" s="15" t="s">
        <v>1</v>
      </c>
      <c r="KM13" s="15" t="s">
        <v>1</v>
      </c>
      <c r="KN13" s="7"/>
      <c r="KO13" s="7"/>
      <c r="KP13" s="15" t="s">
        <v>1</v>
      </c>
      <c r="KQ13" s="15" t="s">
        <v>1</v>
      </c>
      <c r="KR13" s="15" t="s">
        <v>1</v>
      </c>
      <c r="KS13" s="15" t="s">
        <v>1</v>
      </c>
      <c r="KT13" s="15" t="s">
        <v>1</v>
      </c>
      <c r="KU13" s="7"/>
      <c r="KV13" s="7"/>
      <c r="KW13" s="8"/>
      <c r="KX13" s="8"/>
      <c r="KY13" s="8"/>
      <c r="KZ13" s="8"/>
      <c r="LA13" s="8"/>
      <c r="LB13" s="7"/>
      <c r="LC13" s="7"/>
      <c r="LD13" s="8"/>
      <c r="LE13" s="58"/>
      <c r="LF13" s="147"/>
      <c r="LG13" s="8"/>
      <c r="LH13" s="8"/>
      <c r="LI13" s="7"/>
      <c r="LJ13" s="7"/>
      <c r="LK13" s="8"/>
      <c r="LL13" s="8"/>
      <c r="LM13" s="8"/>
      <c r="LN13" s="8"/>
      <c r="LO13" s="8"/>
      <c r="LP13" s="7"/>
      <c r="LQ13" s="7"/>
      <c r="LR13" s="8"/>
      <c r="LS13" s="8"/>
      <c r="LT13" s="8"/>
      <c r="LU13" s="8"/>
      <c r="LV13" s="8"/>
      <c r="LW13" s="7"/>
      <c r="LX13" s="7"/>
      <c r="LY13" s="8"/>
      <c r="LZ13" s="8"/>
      <c r="MA13" s="8"/>
      <c r="MB13" s="8"/>
      <c r="MC13" s="8"/>
      <c r="MD13" s="7"/>
      <c r="ME13" s="7"/>
      <c r="MF13" s="8"/>
      <c r="MG13" s="148"/>
      <c r="MH13" s="28"/>
      <c r="MI13" s="8"/>
      <c r="MJ13" s="8"/>
      <c r="MK13" s="7"/>
      <c r="ML13" s="7"/>
      <c r="MM13" s="8"/>
      <c r="MN13" s="8"/>
      <c r="MO13" s="8"/>
      <c r="MP13" s="8"/>
      <c r="MQ13" s="8"/>
      <c r="MR13" s="7"/>
      <c r="MS13" s="7"/>
      <c r="MT13" s="8"/>
      <c r="MU13" s="8"/>
      <c r="MV13" s="8"/>
      <c r="MW13" s="8"/>
      <c r="MX13" s="8"/>
      <c r="MY13" s="7"/>
      <c r="MZ13" s="7"/>
      <c r="NA13" s="8"/>
      <c r="NB13" s="8"/>
      <c r="NC13" s="8"/>
      <c r="ND13" s="8"/>
      <c r="NE13" s="8"/>
      <c r="NF13" s="7"/>
      <c r="NG13" s="7"/>
      <c r="NH13" s="8"/>
      <c r="NI13" s="8"/>
      <c r="NJ13" s="8"/>
      <c r="NK13" s="8"/>
      <c r="NL13" s="84"/>
    </row>
    <row r="14" spans="1:376" customFormat="1" ht="15.75" customHeight="1" thickBot="1">
      <c r="A14" s="1"/>
      <c r="B14" s="29" t="s">
        <v>40</v>
      </c>
      <c r="C14" s="29" t="s">
        <v>30</v>
      </c>
      <c r="D14" s="29" t="s">
        <v>31</v>
      </c>
      <c r="E14" s="37">
        <v>0</v>
      </c>
      <c r="F14" s="29">
        <v>23</v>
      </c>
      <c r="G14" s="29">
        <v>0</v>
      </c>
      <c r="H14" s="29">
        <f t="shared" si="0"/>
        <v>1</v>
      </c>
      <c r="I14" s="30">
        <f t="shared" si="1"/>
        <v>-1</v>
      </c>
      <c r="J14" s="30">
        <f t="shared" si="2"/>
        <v>0</v>
      </c>
      <c r="K14" s="71">
        <f t="shared" si="3"/>
        <v>0</v>
      </c>
      <c r="L14" s="78"/>
      <c r="M14" s="7"/>
      <c r="N14" s="7"/>
      <c r="O14" s="8"/>
      <c r="P14" s="8"/>
      <c r="Q14" s="8"/>
      <c r="R14" s="8"/>
      <c r="S14" s="8"/>
      <c r="T14" s="7"/>
      <c r="U14" s="7"/>
      <c r="V14" s="8"/>
      <c r="W14" s="8"/>
      <c r="X14" s="8"/>
      <c r="Y14" s="8"/>
      <c r="Z14" s="26"/>
      <c r="AA14" s="7"/>
      <c r="AB14" s="7"/>
      <c r="AC14" s="8"/>
      <c r="AD14" s="8"/>
      <c r="AE14" s="8"/>
      <c r="AF14" s="8"/>
      <c r="AG14" s="8"/>
      <c r="AH14" s="7"/>
      <c r="AI14" s="7"/>
      <c r="AJ14" s="8"/>
      <c r="AK14" s="8"/>
      <c r="AL14" s="8"/>
      <c r="AM14" s="8"/>
      <c r="AN14" s="8"/>
      <c r="AO14" s="87"/>
      <c r="AP14" s="83"/>
      <c r="AQ14" s="8"/>
      <c r="AR14" s="8"/>
      <c r="AS14" s="8"/>
      <c r="AT14" s="8"/>
      <c r="AU14" s="8"/>
      <c r="AV14" s="7"/>
      <c r="AW14" s="7"/>
      <c r="AX14" s="8"/>
      <c r="AY14" s="8"/>
      <c r="AZ14" s="8"/>
      <c r="BA14" s="8"/>
      <c r="BB14" s="8"/>
      <c r="BC14" s="7"/>
      <c r="BD14" s="7"/>
      <c r="BE14" s="8"/>
      <c r="BF14" s="8"/>
      <c r="BG14" s="8"/>
      <c r="BH14" s="8"/>
      <c r="BI14" s="8"/>
      <c r="BJ14" s="7"/>
      <c r="BK14" s="7"/>
      <c r="BL14" s="8"/>
      <c r="BM14" s="8"/>
      <c r="BN14" s="8"/>
      <c r="BO14" s="8"/>
      <c r="BP14" s="8"/>
      <c r="BQ14" s="7"/>
      <c r="BR14" s="7"/>
      <c r="BS14" s="8"/>
      <c r="BT14" s="58"/>
      <c r="BU14" s="78"/>
      <c r="BV14" s="8"/>
      <c r="BW14" s="8"/>
      <c r="BX14" s="7"/>
      <c r="BY14" s="7"/>
      <c r="BZ14" s="8"/>
      <c r="CA14" s="8"/>
      <c r="CB14" s="8"/>
      <c r="CC14" s="8"/>
      <c r="CD14" s="8"/>
      <c r="CE14" s="7"/>
      <c r="CF14" s="7"/>
      <c r="CG14" s="8"/>
      <c r="CH14" s="8"/>
      <c r="CI14" s="8"/>
      <c r="CJ14" s="8"/>
      <c r="CK14" s="8"/>
      <c r="CL14" s="7"/>
      <c r="CM14" s="7"/>
      <c r="CN14" s="8"/>
      <c r="CO14" s="8"/>
      <c r="CP14" s="8"/>
      <c r="CQ14" s="8"/>
      <c r="CR14" s="26"/>
      <c r="CS14" s="7"/>
      <c r="CT14" s="7"/>
      <c r="CU14" s="26"/>
      <c r="CV14" s="8"/>
      <c r="CW14" s="8"/>
      <c r="CX14" s="58"/>
      <c r="CY14" s="78"/>
      <c r="CZ14" s="7"/>
      <c r="DA14" s="7"/>
      <c r="DB14" s="8"/>
      <c r="DC14" s="8"/>
      <c r="DD14" s="8"/>
      <c r="DE14" s="8"/>
      <c r="DF14" s="8"/>
      <c r="DG14" s="7"/>
      <c r="DH14" s="7"/>
      <c r="DI14" s="8"/>
      <c r="DJ14" s="8"/>
      <c r="DK14" s="8"/>
      <c r="DL14" s="8"/>
      <c r="DM14" s="8"/>
      <c r="DN14" s="7"/>
      <c r="DO14" s="7"/>
      <c r="DP14" s="8"/>
      <c r="DQ14" s="8"/>
      <c r="DR14" s="8"/>
      <c r="DS14" s="8"/>
      <c r="DT14" s="8"/>
      <c r="DU14" s="7"/>
      <c r="DV14" s="7"/>
      <c r="DW14" s="8"/>
      <c r="DX14" s="8"/>
      <c r="DY14" s="8"/>
      <c r="DZ14" s="8"/>
      <c r="EA14" s="8"/>
      <c r="EB14" s="7"/>
      <c r="EC14" s="87"/>
      <c r="ED14" s="78"/>
      <c r="EE14" s="8"/>
      <c r="EF14" s="8"/>
      <c r="EG14" s="8"/>
      <c r="EH14" s="8"/>
      <c r="EI14" s="7"/>
      <c r="EJ14" s="7"/>
      <c r="EK14" s="8"/>
      <c r="EL14" s="8"/>
      <c r="EM14" s="8"/>
      <c r="EN14" s="8"/>
      <c r="EO14" s="8"/>
      <c r="EP14" s="7"/>
      <c r="EQ14" s="7"/>
      <c r="ER14" s="26"/>
      <c r="ES14" s="8"/>
      <c r="ET14" s="8"/>
      <c r="EU14" s="8"/>
      <c r="EV14" s="8"/>
      <c r="EW14" s="7"/>
      <c r="EX14" s="7"/>
      <c r="EY14" s="8"/>
      <c r="EZ14" s="8"/>
      <c r="FA14" s="8"/>
      <c r="FB14" s="8"/>
      <c r="FC14" s="8"/>
      <c r="FD14" s="7"/>
      <c r="FE14" s="7"/>
      <c r="FF14" s="8"/>
      <c r="FG14" s="8"/>
      <c r="FH14" s="58"/>
      <c r="FI14" s="78"/>
      <c r="FJ14" s="8"/>
      <c r="FK14" s="7"/>
      <c r="FL14" s="7"/>
      <c r="FM14" s="8"/>
      <c r="FN14" s="8"/>
      <c r="FO14" s="8"/>
      <c r="FP14" s="8"/>
      <c r="FQ14" s="8"/>
      <c r="FR14" s="7"/>
      <c r="FS14" s="7"/>
      <c r="FT14" s="8"/>
      <c r="FU14" s="8"/>
      <c r="FV14" s="8"/>
      <c r="FW14" s="8"/>
      <c r="FX14" s="26"/>
      <c r="FY14" s="7"/>
      <c r="FZ14" s="7"/>
      <c r="GA14" s="26"/>
      <c r="GB14" s="8"/>
      <c r="GC14" s="8"/>
      <c r="GD14" s="8"/>
      <c r="GE14" s="17" t="s">
        <v>3</v>
      </c>
      <c r="GF14" s="7"/>
      <c r="GG14" s="7"/>
      <c r="GH14" s="8"/>
      <c r="GI14" s="8"/>
      <c r="GJ14" s="8"/>
      <c r="GK14" s="8"/>
      <c r="GL14" s="58"/>
      <c r="GM14" s="83"/>
      <c r="GN14" s="7"/>
      <c r="GO14" s="8"/>
      <c r="GP14" s="8"/>
      <c r="GQ14" s="8"/>
      <c r="GR14" s="8"/>
      <c r="GS14" s="8"/>
      <c r="GT14" s="7"/>
      <c r="GU14" s="7"/>
      <c r="GV14" s="26"/>
      <c r="GW14" s="8"/>
      <c r="GX14" s="8"/>
      <c r="GY14" s="8"/>
      <c r="GZ14" s="8"/>
      <c r="HA14" s="7"/>
      <c r="HB14" s="7"/>
      <c r="HC14" s="8"/>
      <c r="HD14" s="8"/>
      <c r="HE14" s="8"/>
      <c r="HF14" s="8"/>
      <c r="HG14" s="8"/>
      <c r="HH14" s="7"/>
      <c r="HI14" s="7"/>
      <c r="HJ14" s="8"/>
      <c r="HK14" s="8"/>
      <c r="HL14" s="8"/>
      <c r="HM14" s="8"/>
      <c r="HN14" s="8"/>
      <c r="HO14" s="7"/>
      <c r="HP14" s="7"/>
      <c r="HQ14" s="106"/>
      <c r="HR14" s="104"/>
      <c r="HS14" s="8"/>
      <c r="HT14" s="8"/>
      <c r="HU14" s="8"/>
      <c r="HV14" s="7"/>
      <c r="HW14" s="7"/>
      <c r="HX14" s="8"/>
      <c r="HY14" s="8"/>
      <c r="HZ14" s="8"/>
      <c r="IA14" s="8"/>
      <c r="IB14" s="8"/>
      <c r="IC14" s="7"/>
      <c r="ID14" s="7"/>
      <c r="IE14" s="8"/>
      <c r="IF14" s="8"/>
      <c r="IG14" s="8"/>
      <c r="IH14" s="8"/>
      <c r="II14" s="8"/>
      <c r="IJ14" s="7"/>
      <c r="IK14" s="7"/>
      <c r="IL14" s="8"/>
      <c r="IM14" s="8"/>
      <c r="IN14" s="8"/>
      <c r="IO14" s="8"/>
      <c r="IP14" s="8"/>
      <c r="IQ14" s="7"/>
      <c r="IR14" s="7"/>
      <c r="IS14" s="8"/>
      <c r="IT14" s="8"/>
      <c r="IU14" s="58"/>
      <c r="IV14" s="78"/>
      <c r="IW14" s="8"/>
      <c r="IX14" s="7"/>
      <c r="IY14" s="7"/>
      <c r="IZ14" s="8"/>
      <c r="JA14" s="8"/>
      <c r="JB14" s="8"/>
      <c r="JC14" s="26"/>
      <c r="JD14" s="8"/>
      <c r="JE14" s="7"/>
      <c r="JF14" s="7"/>
      <c r="JG14" s="8"/>
      <c r="JH14" s="8"/>
      <c r="JI14" s="8"/>
      <c r="JJ14" s="8"/>
      <c r="JK14" s="8"/>
      <c r="JL14" s="7"/>
      <c r="JM14" s="7"/>
      <c r="JN14" s="15" t="s">
        <v>1</v>
      </c>
      <c r="JO14" s="15" t="s">
        <v>1</v>
      </c>
      <c r="JP14" s="15" t="s">
        <v>1</v>
      </c>
      <c r="JQ14" s="15" t="s">
        <v>1</v>
      </c>
      <c r="JR14" s="15" t="s">
        <v>1</v>
      </c>
      <c r="JS14" s="7"/>
      <c r="JT14" s="7"/>
      <c r="JU14" s="15" t="s">
        <v>1</v>
      </c>
      <c r="JV14" s="15" t="s">
        <v>1</v>
      </c>
      <c r="JW14" s="15" t="s">
        <v>1</v>
      </c>
      <c r="JX14" s="15" t="s">
        <v>1</v>
      </c>
      <c r="JY14" s="15" t="s">
        <v>1</v>
      </c>
      <c r="JZ14" s="87"/>
      <c r="KA14" s="83"/>
      <c r="KB14" s="26"/>
      <c r="KC14" s="15" t="s">
        <v>1</v>
      </c>
      <c r="KD14" s="15" t="s">
        <v>1</v>
      </c>
      <c r="KE14" s="15" t="s">
        <v>1</v>
      </c>
      <c r="KF14" s="15" t="s">
        <v>1</v>
      </c>
      <c r="KG14" s="7"/>
      <c r="KH14" s="7"/>
      <c r="KI14" s="8"/>
      <c r="KJ14" s="8"/>
      <c r="KK14" s="8"/>
      <c r="KL14" s="8"/>
      <c r="KM14" s="8"/>
      <c r="KN14" s="7"/>
      <c r="KO14" s="7"/>
      <c r="KP14" s="8"/>
      <c r="KQ14" s="8"/>
      <c r="KR14" s="8"/>
      <c r="KS14" s="8"/>
      <c r="KT14" s="8"/>
      <c r="KU14" s="7"/>
      <c r="KV14" s="7"/>
      <c r="KW14" s="8"/>
      <c r="KX14" s="8"/>
      <c r="KY14" s="8"/>
      <c r="KZ14" s="8"/>
      <c r="LA14" s="8"/>
      <c r="LB14" s="7"/>
      <c r="LC14" s="7"/>
      <c r="LD14" s="8"/>
      <c r="LE14" s="58"/>
      <c r="LF14" s="173" t="s">
        <v>1</v>
      </c>
      <c r="LG14" s="174" t="s">
        <v>1</v>
      </c>
      <c r="LH14" s="174" t="s">
        <v>1</v>
      </c>
      <c r="LI14" s="151"/>
      <c r="LJ14" s="151"/>
      <c r="LK14" s="174" t="s">
        <v>1</v>
      </c>
      <c r="LL14" s="174" t="s">
        <v>1</v>
      </c>
      <c r="LM14" s="174" t="s">
        <v>1</v>
      </c>
      <c r="LN14" s="174" t="s">
        <v>1</v>
      </c>
      <c r="LO14" s="174" t="s">
        <v>1</v>
      </c>
      <c r="LP14" s="151"/>
      <c r="LQ14" s="151"/>
      <c r="LR14" s="150"/>
      <c r="LS14" s="150"/>
      <c r="LT14" s="150"/>
      <c r="LU14" s="150"/>
      <c r="LV14" s="150"/>
      <c r="LW14" s="151"/>
      <c r="LX14" s="151"/>
      <c r="LY14" s="150"/>
      <c r="LZ14" s="150"/>
      <c r="MA14" s="150"/>
      <c r="MB14" s="150"/>
      <c r="MC14" s="150"/>
      <c r="MD14" s="151"/>
      <c r="ME14" s="151"/>
      <c r="MF14" s="150"/>
      <c r="MG14" s="152"/>
      <c r="MH14" s="28"/>
      <c r="MI14" s="8"/>
      <c r="MJ14" s="8"/>
      <c r="MK14" s="7"/>
      <c r="ML14" s="7"/>
      <c r="MM14" s="8"/>
      <c r="MN14" s="8"/>
      <c r="MO14" s="8"/>
      <c r="MP14" s="8"/>
      <c r="MQ14" s="8"/>
      <c r="MR14" s="7"/>
      <c r="MS14" s="7"/>
      <c r="MT14" s="8"/>
      <c r="MU14" s="8"/>
      <c r="MV14" s="8"/>
      <c r="MW14" s="8"/>
      <c r="MX14" s="8"/>
      <c r="MY14" s="7"/>
      <c r="MZ14" s="7"/>
      <c r="NA14" s="8"/>
      <c r="NB14" s="8"/>
      <c r="NC14" s="8"/>
      <c r="ND14" s="8"/>
      <c r="NE14" s="8"/>
      <c r="NF14" s="7"/>
      <c r="NG14" s="7"/>
      <c r="NH14" s="8"/>
      <c r="NI14" s="8"/>
      <c r="NJ14" s="8"/>
      <c r="NK14" s="8"/>
      <c r="NL14" s="84"/>
    </row>
    <row r="15" spans="1:376" customFormat="1" ht="15.75" thickBot="1">
      <c r="A15" s="1"/>
      <c r="B15" s="29" t="s">
        <v>44</v>
      </c>
      <c r="C15" s="29" t="s">
        <v>36</v>
      </c>
      <c r="D15" s="29" t="s">
        <v>31</v>
      </c>
      <c r="E15" s="37">
        <v>0</v>
      </c>
      <c r="F15" s="29">
        <v>23</v>
      </c>
      <c r="G15" s="29">
        <v>2</v>
      </c>
      <c r="H15" s="29">
        <f t="shared" si="0"/>
        <v>0</v>
      </c>
      <c r="I15" s="30">
        <f t="shared" si="1"/>
        <v>2</v>
      </c>
      <c r="J15" s="30">
        <f t="shared" si="2"/>
        <v>0</v>
      </c>
      <c r="K15" s="71">
        <f t="shared" si="3"/>
        <v>0</v>
      </c>
      <c r="L15" s="78"/>
      <c r="M15" s="7"/>
      <c r="N15" s="7"/>
      <c r="O15" s="8"/>
      <c r="P15" s="8"/>
      <c r="Q15" s="8"/>
      <c r="R15" s="8"/>
      <c r="S15" s="8"/>
      <c r="T15" s="7"/>
      <c r="U15" s="7"/>
      <c r="V15" s="15" t="s">
        <v>1</v>
      </c>
      <c r="W15" s="15" t="s">
        <v>1</v>
      </c>
      <c r="X15" s="15" t="s">
        <v>1</v>
      </c>
      <c r="Y15" s="26"/>
      <c r="Z15" s="26"/>
      <c r="AA15" s="7"/>
      <c r="AB15" s="7"/>
      <c r="AC15" s="26"/>
      <c r="AD15" s="15" t="s">
        <v>1</v>
      </c>
      <c r="AE15" s="8"/>
      <c r="AF15" s="8"/>
      <c r="AG15" s="8"/>
      <c r="AH15" s="7"/>
      <c r="AI15" s="7"/>
      <c r="AJ15" s="26"/>
      <c r="AK15" s="8"/>
      <c r="AL15" s="8"/>
      <c r="AM15" s="8"/>
      <c r="AN15" s="8"/>
      <c r="AO15" s="87"/>
      <c r="AP15" s="83"/>
      <c r="AQ15" s="8"/>
      <c r="AR15" s="8"/>
      <c r="AS15" s="8"/>
      <c r="AT15" s="8"/>
      <c r="AU15" s="8"/>
      <c r="AV15" s="7"/>
      <c r="AW15" s="7"/>
      <c r="AX15" s="8"/>
      <c r="AY15" s="8"/>
      <c r="AZ15" s="8"/>
      <c r="BA15" s="8"/>
      <c r="BB15" s="8"/>
      <c r="BC15" s="7"/>
      <c r="BD15" s="7"/>
      <c r="BE15" s="8"/>
      <c r="BF15" s="8"/>
      <c r="BG15" s="8"/>
      <c r="BH15" s="8"/>
      <c r="BI15" s="8"/>
      <c r="BJ15" s="7"/>
      <c r="BK15" s="7"/>
      <c r="BL15" s="8"/>
      <c r="BM15" s="8"/>
      <c r="BN15" s="8"/>
      <c r="BO15" s="8"/>
      <c r="BP15" s="8"/>
      <c r="BQ15" s="7"/>
      <c r="BR15" s="7"/>
      <c r="BS15" s="8"/>
      <c r="BT15" s="58"/>
      <c r="BU15" s="78"/>
      <c r="BV15" s="8"/>
      <c r="BW15" s="8"/>
      <c r="BX15" s="7"/>
      <c r="BY15" s="7"/>
      <c r="BZ15" s="8"/>
      <c r="CA15" s="8"/>
      <c r="CB15" s="8"/>
      <c r="CC15" s="8"/>
      <c r="CD15" s="8"/>
      <c r="CE15" s="7"/>
      <c r="CF15" s="7"/>
      <c r="CG15" s="8"/>
      <c r="CH15" s="8"/>
      <c r="CI15" s="8"/>
      <c r="CJ15" s="8"/>
      <c r="CK15" s="8"/>
      <c r="CL15" s="7"/>
      <c r="CM15" s="7"/>
      <c r="CN15" s="8"/>
      <c r="CO15" s="8"/>
      <c r="CP15" s="8"/>
      <c r="CQ15" s="8"/>
      <c r="CR15" s="26"/>
      <c r="CS15" s="7"/>
      <c r="CT15" s="7"/>
      <c r="CU15" s="8"/>
      <c r="CV15" s="8"/>
      <c r="CW15" s="8"/>
      <c r="CX15" s="58"/>
      <c r="CY15" s="78"/>
      <c r="CZ15" s="7"/>
      <c r="DA15" s="7"/>
      <c r="DB15" s="8"/>
      <c r="DC15" s="8"/>
      <c r="DD15" s="8"/>
      <c r="DE15" s="8"/>
      <c r="DF15" s="8"/>
      <c r="DG15" s="7"/>
      <c r="DH15" s="7"/>
      <c r="DI15" s="8"/>
      <c r="DJ15" s="8"/>
      <c r="DK15" s="8"/>
      <c r="DL15" s="8"/>
      <c r="DM15" s="8"/>
      <c r="DN15" s="7"/>
      <c r="DO15" s="7"/>
      <c r="DP15" s="8"/>
      <c r="DQ15" s="8"/>
      <c r="DR15" s="8"/>
      <c r="DS15" s="8"/>
      <c r="DT15" s="8"/>
      <c r="DU15" s="7"/>
      <c r="DV15" s="7"/>
      <c r="DW15" s="8"/>
      <c r="DX15" s="8"/>
      <c r="DY15" s="8"/>
      <c r="DZ15" s="8"/>
      <c r="EA15" s="8"/>
      <c r="EB15" s="7"/>
      <c r="EC15" s="87"/>
      <c r="ED15" s="78"/>
      <c r="EE15" s="8"/>
      <c r="EF15" s="8"/>
      <c r="EG15" s="8"/>
      <c r="EH15" s="8"/>
      <c r="EI15" s="7"/>
      <c r="EJ15" s="7"/>
      <c r="EK15" s="8"/>
      <c r="EL15" s="8"/>
      <c r="EM15" s="8"/>
      <c r="EN15" s="8"/>
      <c r="EO15" s="8"/>
      <c r="EP15" s="7"/>
      <c r="EQ15" s="7"/>
      <c r="ER15" s="26"/>
      <c r="ES15" s="15" t="s">
        <v>1</v>
      </c>
      <c r="ET15" s="15" t="s">
        <v>1</v>
      </c>
      <c r="EU15" s="15" t="s">
        <v>1</v>
      </c>
      <c r="EV15" s="15" t="s">
        <v>1</v>
      </c>
      <c r="EW15" s="7"/>
      <c r="EX15" s="7"/>
      <c r="EY15" s="15" t="s">
        <v>1</v>
      </c>
      <c r="EZ15" s="15" t="s">
        <v>1</v>
      </c>
      <c r="FA15" s="15" t="s">
        <v>1</v>
      </c>
      <c r="FB15" s="15" t="s">
        <v>1</v>
      </c>
      <c r="FC15" s="15" t="s">
        <v>1</v>
      </c>
      <c r="FD15" s="7"/>
      <c r="FE15" s="7"/>
      <c r="FF15" s="15" t="s">
        <v>1</v>
      </c>
      <c r="FG15" s="15" t="s">
        <v>1</v>
      </c>
      <c r="FH15" s="74" t="s">
        <v>1</v>
      </c>
      <c r="FI15" s="97" t="s">
        <v>1</v>
      </c>
      <c r="FJ15" s="15" t="s">
        <v>1</v>
      </c>
      <c r="FK15" s="7"/>
      <c r="FL15" s="7"/>
      <c r="FM15" s="8"/>
      <c r="FN15" s="8"/>
      <c r="FO15" s="8"/>
      <c r="FP15" s="8"/>
      <c r="FQ15" s="8"/>
      <c r="FR15" s="7"/>
      <c r="FS15" s="7"/>
      <c r="FT15" s="8"/>
      <c r="FU15" s="8"/>
      <c r="FV15" s="8"/>
      <c r="FW15" s="8"/>
      <c r="FX15" s="26"/>
      <c r="FY15" s="7"/>
      <c r="FZ15" s="7"/>
      <c r="GA15" s="8"/>
      <c r="GB15" s="8"/>
      <c r="GC15" s="8"/>
      <c r="GD15" s="8"/>
      <c r="GE15" s="8"/>
      <c r="GF15" s="7"/>
      <c r="GG15" s="7"/>
      <c r="GH15" s="8"/>
      <c r="GI15" s="8"/>
      <c r="GJ15" s="8"/>
      <c r="GK15" s="8"/>
      <c r="GL15" s="58"/>
      <c r="GM15" s="83"/>
      <c r="GN15" s="7"/>
      <c r="GO15" s="8"/>
      <c r="GP15" s="8"/>
      <c r="GQ15" s="8"/>
      <c r="GR15" s="8"/>
      <c r="GS15" s="8"/>
      <c r="GT15" s="7"/>
      <c r="GU15" s="7"/>
      <c r="GV15" s="8"/>
      <c r="GW15" s="8"/>
      <c r="GX15" s="26"/>
      <c r="GY15" s="8"/>
      <c r="GZ15" s="8"/>
      <c r="HA15" s="7"/>
      <c r="HB15" s="7"/>
      <c r="HC15" s="15" t="s">
        <v>1</v>
      </c>
      <c r="HD15" s="15" t="s">
        <v>1</v>
      </c>
      <c r="HE15" s="15" t="s">
        <v>1</v>
      </c>
      <c r="HF15" s="15" t="s">
        <v>1</v>
      </c>
      <c r="HG15" s="15" t="s">
        <v>1</v>
      </c>
      <c r="HH15" s="7"/>
      <c r="HI15" s="7"/>
      <c r="HJ15" s="8"/>
      <c r="HK15" s="8"/>
      <c r="HL15" s="8"/>
      <c r="HM15" s="8"/>
      <c r="HN15" s="8"/>
      <c r="HO15" s="7"/>
      <c r="HP15" s="7"/>
      <c r="HQ15" s="58"/>
      <c r="HR15" s="104"/>
      <c r="HS15" s="8"/>
      <c r="HT15" s="8"/>
      <c r="HU15" s="8"/>
      <c r="HV15" s="7"/>
      <c r="HW15" s="7"/>
      <c r="HX15" s="8"/>
      <c r="HY15" s="8"/>
      <c r="HZ15" s="8"/>
      <c r="IA15" s="8"/>
      <c r="IB15" s="8"/>
      <c r="IC15" s="7"/>
      <c r="ID15" s="7"/>
      <c r="IE15" s="8"/>
      <c r="IF15" s="8"/>
      <c r="IG15" s="8"/>
      <c r="IH15" s="8"/>
      <c r="II15" s="8"/>
      <c r="IJ15" s="7"/>
      <c r="IK15" s="7"/>
      <c r="IL15" s="8"/>
      <c r="IM15" s="8"/>
      <c r="IN15" s="8"/>
      <c r="IO15" s="8"/>
      <c r="IP15" s="8"/>
      <c r="IQ15" s="7"/>
      <c r="IR15" s="7"/>
      <c r="IS15" s="8"/>
      <c r="IT15" s="8"/>
      <c r="IU15" s="58"/>
      <c r="IV15" s="78"/>
      <c r="IW15" s="8"/>
      <c r="IX15" s="7"/>
      <c r="IY15" s="7"/>
      <c r="IZ15" s="8"/>
      <c r="JA15" s="26"/>
      <c r="JB15" s="8"/>
      <c r="JC15" s="26"/>
      <c r="JD15" s="8"/>
      <c r="JE15" s="7"/>
      <c r="JF15" s="7"/>
      <c r="JG15" s="8"/>
      <c r="JH15" s="8"/>
      <c r="JI15" s="8"/>
      <c r="JJ15" s="8"/>
      <c r="JK15" s="8"/>
      <c r="JL15" s="7"/>
      <c r="JM15" s="7"/>
      <c r="JN15" s="8"/>
      <c r="JO15" s="8"/>
      <c r="JP15" s="8"/>
      <c r="JQ15" s="8"/>
      <c r="JR15" s="8"/>
      <c r="JS15" s="7"/>
      <c r="JT15" s="7"/>
      <c r="JU15" s="8"/>
      <c r="JV15" s="8"/>
      <c r="JW15" s="8"/>
      <c r="JX15" s="8"/>
      <c r="JY15" s="8"/>
      <c r="JZ15" s="87"/>
      <c r="KA15" s="83"/>
      <c r="KB15" s="8"/>
      <c r="KC15" s="8"/>
      <c r="KD15" s="8"/>
      <c r="KE15" s="11"/>
      <c r="KF15" s="26"/>
      <c r="KG15" s="7"/>
      <c r="KH15" s="7"/>
      <c r="KI15" s="8"/>
      <c r="KJ15" s="8"/>
      <c r="KK15" s="8"/>
      <c r="KL15" s="8"/>
      <c r="KM15" s="8"/>
      <c r="KN15" s="7"/>
      <c r="KO15" s="7"/>
      <c r="KP15" s="8"/>
      <c r="KQ15" s="8"/>
      <c r="KR15" s="8"/>
      <c r="KS15" s="8"/>
      <c r="KT15" s="8"/>
      <c r="KU15" s="7"/>
      <c r="KV15" s="7"/>
      <c r="KW15" s="8"/>
      <c r="KX15" s="8"/>
      <c r="KY15" s="8"/>
      <c r="KZ15" s="8"/>
      <c r="LA15" s="8"/>
      <c r="LB15" s="7"/>
      <c r="LC15" s="7"/>
      <c r="LD15" s="8"/>
      <c r="LE15" s="58"/>
      <c r="LF15" s="127"/>
      <c r="LG15" s="128"/>
      <c r="LH15" s="128"/>
      <c r="LI15" s="129"/>
      <c r="LJ15" s="129"/>
      <c r="LK15" s="128"/>
      <c r="LL15" s="128"/>
      <c r="LM15" s="128"/>
      <c r="LN15" s="128"/>
      <c r="LO15" s="128"/>
      <c r="LP15" s="129"/>
      <c r="LQ15" s="129"/>
      <c r="LR15" s="128"/>
      <c r="LS15" s="128"/>
      <c r="LT15" s="128"/>
      <c r="LU15" s="128"/>
      <c r="LV15" s="128"/>
      <c r="LW15" s="129"/>
      <c r="LX15" s="129"/>
      <c r="LY15" s="128"/>
      <c r="LZ15" s="128"/>
      <c r="MA15" s="128"/>
      <c r="MB15" s="128"/>
      <c r="MC15" s="128"/>
      <c r="MD15" s="129"/>
      <c r="ME15" s="129"/>
      <c r="MF15" s="128"/>
      <c r="MG15" s="130"/>
      <c r="MH15" s="78"/>
      <c r="MI15" s="8"/>
      <c r="MJ15" s="8"/>
      <c r="MK15" s="7"/>
      <c r="ML15" s="7"/>
      <c r="MM15" s="8"/>
      <c r="MN15" s="8"/>
      <c r="MO15" s="8"/>
      <c r="MP15" s="8"/>
      <c r="MQ15" s="8"/>
      <c r="MR15" s="7"/>
      <c r="MS15" s="7"/>
      <c r="MT15" s="8"/>
      <c r="MU15" s="8"/>
      <c r="MV15" s="8"/>
      <c r="MW15" s="8"/>
      <c r="MX15" s="8"/>
      <c r="MY15" s="7"/>
      <c r="MZ15" s="7"/>
      <c r="NA15" s="8"/>
      <c r="NB15" s="8"/>
      <c r="NC15" s="8"/>
      <c r="ND15" s="8"/>
      <c r="NE15" s="8"/>
      <c r="NF15" s="7"/>
      <c r="NG15" s="7"/>
      <c r="NH15" s="8"/>
      <c r="NI15" s="8"/>
      <c r="NJ15" s="8"/>
      <c r="NK15" s="8"/>
      <c r="NL15" s="84"/>
    </row>
    <row r="16" spans="1:376" customFormat="1" ht="15.75" customHeight="1" thickBot="1">
      <c r="A16" s="1"/>
      <c r="B16" s="29" t="s">
        <v>53</v>
      </c>
      <c r="C16" s="29" t="s">
        <v>30</v>
      </c>
      <c r="D16" s="29" t="s">
        <v>31</v>
      </c>
      <c r="E16" s="37">
        <v>0</v>
      </c>
      <c r="F16" s="29">
        <v>23</v>
      </c>
      <c r="G16" s="29">
        <v>0</v>
      </c>
      <c r="H16" s="29">
        <f t="shared" si="0"/>
        <v>16</v>
      </c>
      <c r="I16" s="30">
        <f t="shared" si="1"/>
        <v>-2</v>
      </c>
      <c r="J16" s="30">
        <f t="shared" si="2"/>
        <v>0</v>
      </c>
      <c r="K16" s="71">
        <f t="shared" si="3"/>
        <v>0</v>
      </c>
      <c r="L16" s="78"/>
      <c r="M16" s="7"/>
      <c r="N16" s="7"/>
      <c r="O16" s="8"/>
      <c r="P16" s="8"/>
      <c r="Q16" s="8"/>
      <c r="R16" s="8"/>
      <c r="S16" s="8"/>
      <c r="T16" s="7"/>
      <c r="U16" s="7"/>
      <c r="V16" s="8"/>
      <c r="W16" s="8"/>
      <c r="X16" s="8"/>
      <c r="Y16" s="8"/>
      <c r="Z16" s="26"/>
      <c r="AA16" s="7"/>
      <c r="AB16" s="7"/>
      <c r="AC16" s="8"/>
      <c r="AD16" s="8"/>
      <c r="AE16" s="8"/>
      <c r="AF16" s="8"/>
      <c r="AG16" s="8"/>
      <c r="AH16" s="7"/>
      <c r="AI16" s="7"/>
      <c r="AJ16" s="8"/>
      <c r="AK16" s="8"/>
      <c r="AL16" s="8"/>
      <c r="AM16" s="8"/>
      <c r="AN16" s="8"/>
      <c r="AO16" s="87"/>
      <c r="AP16" s="83"/>
      <c r="AQ16" s="8"/>
      <c r="AR16" s="8"/>
      <c r="AS16" s="8"/>
      <c r="AT16" s="8"/>
      <c r="AU16" s="8"/>
      <c r="AV16" s="7"/>
      <c r="AW16" s="7"/>
      <c r="AX16" s="8"/>
      <c r="AY16" s="8"/>
      <c r="AZ16" s="8"/>
      <c r="BA16" s="8"/>
      <c r="BB16" s="8"/>
      <c r="BC16" s="7"/>
      <c r="BD16" s="7"/>
      <c r="BE16" s="8"/>
      <c r="BF16" s="8"/>
      <c r="BG16" s="8"/>
      <c r="BH16" s="8"/>
      <c r="BI16" s="8"/>
      <c r="BJ16" s="7"/>
      <c r="BK16" s="7"/>
      <c r="BL16" s="8"/>
      <c r="BM16" s="8"/>
      <c r="BN16" s="8"/>
      <c r="BO16" s="8"/>
      <c r="BP16" s="8"/>
      <c r="BQ16" s="7"/>
      <c r="BR16" s="7"/>
      <c r="BS16" s="8"/>
      <c r="BT16" s="58"/>
      <c r="BU16" s="78"/>
      <c r="BV16" s="8"/>
      <c r="BW16" s="8"/>
      <c r="BX16" s="7"/>
      <c r="BY16" s="7"/>
      <c r="BZ16" s="8"/>
      <c r="CA16" s="8"/>
      <c r="CB16" s="8"/>
      <c r="CC16" s="8"/>
      <c r="CD16" s="8"/>
      <c r="CE16" s="7"/>
      <c r="CF16" s="7"/>
      <c r="CG16" s="8"/>
      <c r="CH16" s="8"/>
      <c r="CI16" s="8"/>
      <c r="CJ16" s="8"/>
      <c r="CK16" s="8"/>
      <c r="CL16" s="7"/>
      <c r="CM16" s="7"/>
      <c r="CN16" s="8"/>
      <c r="CO16" s="8"/>
      <c r="CP16" s="8"/>
      <c r="CQ16" s="8"/>
      <c r="CR16" s="26"/>
      <c r="CS16" s="7"/>
      <c r="CT16" s="7"/>
      <c r="CU16" s="26"/>
      <c r="CV16" s="8"/>
      <c r="CW16" s="8"/>
      <c r="CX16" s="58"/>
      <c r="CY16" s="78"/>
      <c r="CZ16" s="7"/>
      <c r="DA16" s="7"/>
      <c r="DB16" s="15" t="s">
        <v>1</v>
      </c>
      <c r="DC16" s="15" t="s">
        <v>1</v>
      </c>
      <c r="DD16" s="15" t="s">
        <v>1</v>
      </c>
      <c r="DE16" s="15" t="s">
        <v>1</v>
      </c>
      <c r="DF16" s="15" t="s">
        <v>1</v>
      </c>
      <c r="DG16" s="7"/>
      <c r="DH16" s="7"/>
      <c r="DI16" s="8"/>
      <c r="DJ16" s="8"/>
      <c r="DK16" s="8"/>
      <c r="DL16" s="8"/>
      <c r="DM16" s="8"/>
      <c r="DN16" s="7"/>
      <c r="DO16" s="7"/>
      <c r="DP16" s="8"/>
      <c r="DQ16" s="8"/>
      <c r="DR16" s="8"/>
      <c r="DS16" s="8"/>
      <c r="DT16" s="8"/>
      <c r="DU16" s="7"/>
      <c r="DV16" s="7"/>
      <c r="DW16" s="8"/>
      <c r="DX16" s="8"/>
      <c r="DY16" s="8"/>
      <c r="DZ16" s="8"/>
      <c r="EA16" s="8"/>
      <c r="EB16" s="7"/>
      <c r="EC16" s="87"/>
      <c r="ED16" s="78"/>
      <c r="EE16" s="8"/>
      <c r="EF16" s="8"/>
      <c r="EG16" s="8"/>
      <c r="EH16" s="8"/>
      <c r="EI16" s="7"/>
      <c r="EJ16" s="7"/>
      <c r="EK16" s="8"/>
      <c r="EL16" s="8"/>
      <c r="EM16" s="8"/>
      <c r="EN16" s="8"/>
      <c r="EO16" s="8"/>
      <c r="EP16" s="7"/>
      <c r="EQ16" s="7"/>
      <c r="ER16" s="26"/>
      <c r="ES16" s="8"/>
      <c r="ET16" s="8"/>
      <c r="EU16" s="8"/>
      <c r="EV16" s="8"/>
      <c r="EW16" s="7"/>
      <c r="EX16" s="7"/>
      <c r="EY16" s="8"/>
      <c r="EZ16" s="8"/>
      <c r="FA16" s="8"/>
      <c r="FB16" s="8"/>
      <c r="FC16" s="8"/>
      <c r="FD16" s="7"/>
      <c r="FE16" s="7"/>
      <c r="FF16" s="8"/>
      <c r="FG16" s="8"/>
      <c r="FH16" s="58"/>
      <c r="FI16" s="78"/>
      <c r="FJ16" s="8"/>
      <c r="FK16" s="7"/>
      <c r="FL16" s="7"/>
      <c r="FM16" s="8"/>
      <c r="FN16" s="8"/>
      <c r="FO16" s="8"/>
      <c r="FP16" s="8"/>
      <c r="FQ16" s="8"/>
      <c r="FR16" s="7"/>
      <c r="FS16" s="7"/>
      <c r="FT16" s="8"/>
      <c r="FU16" s="8"/>
      <c r="FV16" s="17" t="s">
        <v>3</v>
      </c>
      <c r="FW16" s="8"/>
      <c r="FX16" s="26"/>
      <c r="FY16" s="7"/>
      <c r="FZ16" s="7"/>
      <c r="GA16" s="26"/>
      <c r="GB16" s="8"/>
      <c r="GC16" s="8"/>
      <c r="GD16" s="8"/>
      <c r="GE16" s="8"/>
      <c r="GF16" s="7"/>
      <c r="GG16" s="7"/>
      <c r="GH16" s="8"/>
      <c r="GI16" s="8"/>
      <c r="GJ16" s="8"/>
      <c r="GK16" s="8"/>
      <c r="GL16" s="58"/>
      <c r="GM16" s="83"/>
      <c r="GN16" s="7"/>
      <c r="GO16" s="8"/>
      <c r="GP16" s="8"/>
      <c r="GQ16" s="8"/>
      <c r="GR16" s="8"/>
      <c r="GS16" s="8"/>
      <c r="GT16" s="7"/>
      <c r="GU16" s="7"/>
      <c r="GV16" s="26"/>
      <c r="GW16" s="8"/>
      <c r="GX16" s="8"/>
      <c r="GY16" s="8"/>
      <c r="GZ16" s="8"/>
      <c r="HA16" s="7"/>
      <c r="HB16" s="7"/>
      <c r="HC16" s="8"/>
      <c r="HD16" s="8"/>
      <c r="HE16" s="8"/>
      <c r="HF16" s="8"/>
      <c r="HG16" s="8"/>
      <c r="HH16" s="7"/>
      <c r="HI16" s="7"/>
      <c r="HJ16" s="8"/>
      <c r="HK16" s="8"/>
      <c r="HL16" s="8"/>
      <c r="HM16" s="8"/>
      <c r="HN16" s="8"/>
      <c r="HO16" s="7"/>
      <c r="HP16" s="7"/>
      <c r="HQ16" s="106"/>
      <c r="HR16" s="104"/>
      <c r="HS16" s="8"/>
      <c r="HT16" s="8"/>
      <c r="HU16" s="8"/>
      <c r="HV16" s="7"/>
      <c r="HW16" s="7"/>
      <c r="HX16" s="8"/>
      <c r="HY16" s="8"/>
      <c r="HZ16" s="8"/>
      <c r="IA16" s="8"/>
      <c r="IB16" s="17" t="s">
        <v>3</v>
      </c>
      <c r="IC16" s="7"/>
      <c r="ID16" s="7"/>
      <c r="IE16" s="8"/>
      <c r="IF16" s="8"/>
      <c r="IG16" s="8"/>
      <c r="IH16" s="8"/>
      <c r="II16" s="8"/>
      <c r="IJ16" s="7"/>
      <c r="IK16" s="7"/>
      <c r="IL16" s="8"/>
      <c r="IM16" s="8"/>
      <c r="IN16" s="8"/>
      <c r="IO16" s="8"/>
      <c r="IP16" s="8"/>
      <c r="IQ16" s="7"/>
      <c r="IR16" s="7"/>
      <c r="IS16" s="8"/>
      <c r="IT16" s="8"/>
      <c r="IU16" s="58"/>
      <c r="IV16" s="78"/>
      <c r="IW16" s="8"/>
      <c r="IX16" s="7"/>
      <c r="IY16" s="7"/>
      <c r="IZ16" s="8"/>
      <c r="JA16" s="8"/>
      <c r="JB16" s="8"/>
      <c r="JC16" s="26"/>
      <c r="JD16" s="8"/>
      <c r="JE16" s="7"/>
      <c r="JF16" s="7"/>
      <c r="JG16" s="8"/>
      <c r="JH16" s="8"/>
      <c r="JI16" s="8"/>
      <c r="JJ16" s="8"/>
      <c r="JK16" s="8"/>
      <c r="JL16" s="7"/>
      <c r="JM16" s="7"/>
      <c r="JN16" s="8"/>
      <c r="JO16" s="8"/>
      <c r="JP16" s="8"/>
      <c r="JQ16" s="8"/>
      <c r="JR16" s="8"/>
      <c r="JS16" s="7"/>
      <c r="JT16" s="7"/>
      <c r="JU16" s="8"/>
      <c r="JV16" s="8"/>
      <c r="JW16" s="8"/>
      <c r="JX16" s="8"/>
      <c r="JY16" s="8"/>
      <c r="JZ16" s="87"/>
      <c r="KA16" s="83"/>
      <c r="KB16" s="26"/>
      <c r="KC16" s="8"/>
      <c r="KD16" s="8"/>
      <c r="KE16" s="8"/>
      <c r="KF16" s="8"/>
      <c r="KG16" s="7"/>
      <c r="KH16" s="7"/>
      <c r="KI16" s="8"/>
      <c r="KJ16" s="8"/>
      <c r="KK16" s="8"/>
      <c r="KL16" s="8"/>
      <c r="KM16" s="8"/>
      <c r="KN16" s="7"/>
      <c r="KO16" s="7"/>
      <c r="KP16" s="8"/>
      <c r="KQ16" s="8"/>
      <c r="KR16" s="8"/>
      <c r="KS16" s="8"/>
      <c r="KT16" s="8"/>
      <c r="KU16" s="7"/>
      <c r="KV16" s="7"/>
      <c r="KW16" s="8"/>
      <c r="KX16" s="8"/>
      <c r="KY16" s="8"/>
      <c r="KZ16" s="8"/>
      <c r="LA16" s="8"/>
      <c r="LB16" s="7"/>
      <c r="LC16" s="7"/>
      <c r="LD16" s="15" t="s">
        <v>1</v>
      </c>
      <c r="LE16" s="74" t="s">
        <v>1</v>
      </c>
      <c r="LF16" s="143"/>
      <c r="LG16" s="144"/>
      <c r="LH16" s="144"/>
      <c r="LI16" s="145"/>
      <c r="LJ16" s="145"/>
      <c r="LK16" s="144"/>
      <c r="LL16" s="144"/>
      <c r="LM16" s="144"/>
      <c r="LN16" s="144"/>
      <c r="LO16" s="144"/>
      <c r="LP16" s="145"/>
      <c r="LQ16" s="145"/>
      <c r="LR16" s="144"/>
      <c r="LS16" s="144"/>
      <c r="LT16" s="144"/>
      <c r="LU16" s="144"/>
      <c r="LV16" s="144"/>
      <c r="LW16" s="145"/>
      <c r="LX16" s="145"/>
      <c r="LY16" s="144"/>
      <c r="LZ16" s="144"/>
      <c r="MA16" s="144"/>
      <c r="MB16" s="144"/>
      <c r="MC16" s="144"/>
      <c r="MD16" s="145"/>
      <c r="ME16" s="145"/>
      <c r="MF16" s="144"/>
      <c r="MG16" s="146"/>
      <c r="MH16" s="28"/>
      <c r="MI16" s="8"/>
      <c r="MJ16" s="8"/>
      <c r="MK16" s="7"/>
      <c r="ML16" s="7"/>
      <c r="MM16" s="8"/>
      <c r="MN16" s="8"/>
      <c r="MO16" s="8"/>
      <c r="MP16" s="8"/>
      <c r="MQ16" s="8"/>
      <c r="MR16" s="7"/>
      <c r="MS16" s="7"/>
      <c r="MT16" s="8"/>
      <c r="MU16" s="8"/>
      <c r="MV16" s="8"/>
      <c r="MW16" s="8"/>
      <c r="MX16" s="8"/>
      <c r="MY16" s="7"/>
      <c r="MZ16" s="7"/>
      <c r="NA16" s="8"/>
      <c r="NB16" s="8"/>
      <c r="NC16" s="8"/>
      <c r="ND16" s="8"/>
      <c r="NE16" s="8"/>
      <c r="NF16" s="7"/>
      <c r="NG16" s="7"/>
      <c r="NH16" s="8"/>
      <c r="NI16" s="8"/>
      <c r="NJ16" s="8"/>
      <c r="NK16" s="8"/>
      <c r="NL16" s="84"/>
    </row>
    <row r="17" spans="1:376" customFormat="1" ht="15.75" customHeight="1" thickBot="1">
      <c r="A17" s="1"/>
      <c r="B17" s="29" t="s">
        <v>87</v>
      </c>
      <c r="C17" s="29" t="s">
        <v>30</v>
      </c>
      <c r="D17" s="29" t="s">
        <v>31</v>
      </c>
      <c r="E17" s="37">
        <v>0</v>
      </c>
      <c r="F17" s="29">
        <v>23</v>
      </c>
      <c r="G17" s="29">
        <v>2</v>
      </c>
      <c r="H17" s="29">
        <f t="shared" si="0"/>
        <v>-1</v>
      </c>
      <c r="I17" s="30">
        <f t="shared" si="1"/>
        <v>-1</v>
      </c>
      <c r="J17" s="30">
        <f t="shared" si="2"/>
        <v>0</v>
      </c>
      <c r="K17" s="71">
        <f t="shared" si="3"/>
        <v>0</v>
      </c>
      <c r="L17" s="78"/>
      <c r="M17" s="7"/>
      <c r="N17" s="7"/>
      <c r="O17" s="8"/>
      <c r="P17" s="8"/>
      <c r="Q17" s="8"/>
      <c r="R17" s="8"/>
      <c r="S17" s="8"/>
      <c r="T17" s="7"/>
      <c r="U17" s="7"/>
      <c r="V17" s="8"/>
      <c r="W17" s="8"/>
      <c r="X17" s="8"/>
      <c r="Y17" s="26"/>
      <c r="Z17" s="26"/>
      <c r="AA17" s="7"/>
      <c r="AB17" s="7"/>
      <c r="AC17" s="26"/>
      <c r="AD17" s="8"/>
      <c r="AE17" s="8"/>
      <c r="AF17" s="8"/>
      <c r="AG17" s="8"/>
      <c r="AH17" s="7"/>
      <c r="AI17" s="7"/>
      <c r="AJ17" s="26"/>
      <c r="AK17" s="8"/>
      <c r="AL17" s="8"/>
      <c r="AM17" s="8"/>
      <c r="AN17" s="8"/>
      <c r="AO17" s="87"/>
      <c r="AP17" s="83"/>
      <c r="AQ17" s="8"/>
      <c r="AR17" s="8"/>
      <c r="AS17" s="8"/>
      <c r="AT17" s="8"/>
      <c r="AU17" s="8"/>
      <c r="AV17" s="7"/>
      <c r="AW17" s="7"/>
      <c r="AX17" s="8"/>
      <c r="AY17" s="8"/>
      <c r="AZ17" s="8"/>
      <c r="BA17" s="8"/>
      <c r="BB17" s="8"/>
      <c r="BC17" s="7"/>
      <c r="BD17" s="7"/>
      <c r="BE17" s="8"/>
      <c r="BF17" s="8"/>
      <c r="BG17" s="8"/>
      <c r="BH17" s="8"/>
      <c r="BI17" s="8"/>
      <c r="BJ17" s="7"/>
      <c r="BK17" s="7"/>
      <c r="BL17" s="8"/>
      <c r="BM17" s="8"/>
      <c r="BN17" s="8"/>
      <c r="BO17" s="8"/>
      <c r="BP17" s="8"/>
      <c r="BQ17" s="7"/>
      <c r="BR17" s="7"/>
      <c r="BS17" s="8"/>
      <c r="BT17" s="58"/>
      <c r="BU17" s="78"/>
      <c r="BV17" s="8"/>
      <c r="BW17" s="8"/>
      <c r="BX17" s="7"/>
      <c r="BY17" s="7"/>
      <c r="BZ17" s="8"/>
      <c r="CA17" s="8"/>
      <c r="CB17" s="8"/>
      <c r="CC17" s="8"/>
      <c r="CD17" s="8"/>
      <c r="CE17" s="7"/>
      <c r="CF17" s="7"/>
      <c r="CG17" s="8"/>
      <c r="CH17" s="8"/>
      <c r="CI17" s="8"/>
      <c r="CJ17" s="8"/>
      <c r="CK17" s="8"/>
      <c r="CL17" s="7"/>
      <c r="CM17" s="7"/>
      <c r="CN17" s="8"/>
      <c r="CO17" s="8"/>
      <c r="CP17" s="8"/>
      <c r="CQ17" s="8"/>
      <c r="CR17" s="26"/>
      <c r="CS17" s="7"/>
      <c r="CT17" s="7"/>
      <c r="CU17" s="8"/>
      <c r="CV17" s="8"/>
      <c r="CW17" s="8"/>
      <c r="CX17" s="58"/>
      <c r="CY17" s="78"/>
      <c r="CZ17" s="7"/>
      <c r="DA17" s="7"/>
      <c r="DB17" s="8"/>
      <c r="DC17" s="8"/>
      <c r="DD17" s="8"/>
      <c r="DE17" s="8"/>
      <c r="DF17" s="8"/>
      <c r="DG17" s="7"/>
      <c r="DH17" s="7"/>
      <c r="DI17" s="8"/>
      <c r="DJ17" s="8"/>
      <c r="DK17" s="8"/>
      <c r="DL17" s="8"/>
      <c r="DM17" s="8"/>
      <c r="DN17" s="7"/>
      <c r="DO17" s="7"/>
      <c r="DP17" s="8"/>
      <c r="DQ17" s="8"/>
      <c r="DR17" s="8"/>
      <c r="DS17" s="8"/>
      <c r="DT17" s="8"/>
      <c r="DU17" s="7"/>
      <c r="DV17" s="7"/>
      <c r="DW17" s="8"/>
      <c r="DX17" s="8"/>
      <c r="DY17" s="8"/>
      <c r="DZ17" s="8"/>
      <c r="EA17" s="8"/>
      <c r="EB17" s="7"/>
      <c r="EC17" s="87"/>
      <c r="ED17" s="78"/>
      <c r="EE17" s="8"/>
      <c r="EF17" s="15" t="s">
        <v>1</v>
      </c>
      <c r="EG17" s="15" t="s">
        <v>1</v>
      </c>
      <c r="EH17" s="15" t="s">
        <v>1</v>
      </c>
      <c r="EI17" s="7"/>
      <c r="EJ17" s="7"/>
      <c r="EK17" s="15" t="s">
        <v>1</v>
      </c>
      <c r="EL17" s="15" t="s">
        <v>1</v>
      </c>
      <c r="EM17" s="15" t="s">
        <v>1</v>
      </c>
      <c r="EN17" s="15" t="s">
        <v>1</v>
      </c>
      <c r="EO17" s="15" t="s">
        <v>1</v>
      </c>
      <c r="EP17" s="7"/>
      <c r="EQ17" s="7"/>
      <c r="ER17" s="26"/>
      <c r="ES17" s="15" t="s">
        <v>1</v>
      </c>
      <c r="ET17" s="15" t="s">
        <v>1</v>
      </c>
      <c r="EU17" s="15" t="s">
        <v>1</v>
      </c>
      <c r="EV17" s="15" t="s">
        <v>1</v>
      </c>
      <c r="EW17" s="7"/>
      <c r="EX17" s="7"/>
      <c r="EY17" s="15" t="s">
        <v>1</v>
      </c>
      <c r="EZ17" s="15" t="s">
        <v>1</v>
      </c>
      <c r="FA17" s="15" t="s">
        <v>1</v>
      </c>
      <c r="FB17" s="8"/>
      <c r="FC17" s="8"/>
      <c r="FD17" s="7"/>
      <c r="FE17" s="7"/>
      <c r="FF17" s="8"/>
      <c r="FG17" s="8"/>
      <c r="FH17" s="58"/>
      <c r="FI17" s="78"/>
      <c r="FJ17" s="8"/>
      <c r="FK17" s="7"/>
      <c r="FL17" s="7"/>
      <c r="FM17" s="8"/>
      <c r="FN17" s="8"/>
      <c r="FO17" s="8"/>
      <c r="FP17" s="8"/>
      <c r="FQ17" s="8"/>
      <c r="FR17" s="7"/>
      <c r="FS17" s="7"/>
      <c r="FT17" s="8"/>
      <c r="FU17" s="8"/>
      <c r="FV17" s="8"/>
      <c r="FW17" s="8"/>
      <c r="FX17" s="26"/>
      <c r="FY17" s="7"/>
      <c r="FZ17" s="7"/>
      <c r="GA17" s="8"/>
      <c r="GB17" s="8"/>
      <c r="GC17" s="8"/>
      <c r="GD17" s="8"/>
      <c r="GE17" s="8"/>
      <c r="GF17" s="7"/>
      <c r="GG17" s="7"/>
      <c r="GH17" s="8"/>
      <c r="GI17" s="8"/>
      <c r="GJ17" s="8"/>
      <c r="GK17" s="8"/>
      <c r="GL17" s="58"/>
      <c r="GM17" s="83"/>
      <c r="GN17" s="7"/>
      <c r="GO17" s="8"/>
      <c r="GP17" s="8"/>
      <c r="GQ17" s="8"/>
      <c r="GR17" s="8"/>
      <c r="GS17" s="8"/>
      <c r="GT17" s="7"/>
      <c r="GU17" s="7"/>
      <c r="GV17" s="8"/>
      <c r="GW17" s="8"/>
      <c r="GX17" s="26"/>
      <c r="GY17" s="8"/>
      <c r="GZ17" s="8"/>
      <c r="HA17" s="7"/>
      <c r="HB17" s="7"/>
      <c r="HC17" s="8"/>
      <c r="HD17" s="8"/>
      <c r="HE17" s="8"/>
      <c r="HF17" s="8"/>
      <c r="HG17" s="8"/>
      <c r="HH17" s="7"/>
      <c r="HI17" s="7"/>
      <c r="HJ17" s="8"/>
      <c r="HK17" s="8"/>
      <c r="HL17" s="8"/>
      <c r="HM17" s="8"/>
      <c r="HN17" s="8"/>
      <c r="HO17" s="7"/>
      <c r="HP17" s="7"/>
      <c r="HQ17" s="58"/>
      <c r="HR17" s="104"/>
      <c r="HS17" s="8"/>
      <c r="HT17" s="8"/>
      <c r="HU17" s="8"/>
      <c r="HV17" s="7"/>
      <c r="HW17" s="7"/>
      <c r="HX17" s="8"/>
      <c r="HY17" s="8"/>
      <c r="HZ17" s="8"/>
      <c r="IA17" s="8"/>
      <c r="IB17" s="8"/>
      <c r="IC17" s="7"/>
      <c r="ID17" s="7"/>
      <c r="IE17" s="8"/>
      <c r="IF17" s="8"/>
      <c r="IG17" s="8"/>
      <c r="IH17" s="8"/>
      <c r="II17" s="8"/>
      <c r="IJ17" s="7"/>
      <c r="IK17" s="7"/>
      <c r="IL17" s="8"/>
      <c r="IM17" s="8"/>
      <c r="IN17" s="8"/>
      <c r="IO17" s="8"/>
      <c r="IP17" s="8"/>
      <c r="IQ17" s="7"/>
      <c r="IR17" s="7"/>
      <c r="IS17" s="8"/>
      <c r="IT17" s="8"/>
      <c r="IU17" s="58"/>
      <c r="IV17" s="66" t="s">
        <v>3</v>
      </c>
      <c r="IW17" s="8"/>
      <c r="IX17" s="7"/>
      <c r="IY17" s="7"/>
      <c r="IZ17" s="66" t="s">
        <v>3</v>
      </c>
      <c r="JA17" s="26"/>
      <c r="JB17" s="15" t="s">
        <v>1</v>
      </c>
      <c r="JC17" s="26"/>
      <c r="JD17" s="15" t="s">
        <v>1</v>
      </c>
      <c r="JE17" s="7"/>
      <c r="JF17" s="7"/>
      <c r="JG17" s="8"/>
      <c r="JH17" s="8"/>
      <c r="JI17" s="8"/>
      <c r="JJ17" s="8"/>
      <c r="JK17" s="8"/>
      <c r="JL17" s="7"/>
      <c r="JM17" s="7"/>
      <c r="JN17" s="8"/>
      <c r="JO17" s="8"/>
      <c r="JP17" s="8"/>
      <c r="JQ17" s="8"/>
      <c r="JR17" s="15" t="s">
        <v>1</v>
      </c>
      <c r="JS17" s="7"/>
      <c r="JT17" s="7"/>
      <c r="JU17" s="8"/>
      <c r="JV17" s="8"/>
      <c r="JW17" s="8"/>
      <c r="JX17" s="8"/>
      <c r="JY17" s="8"/>
      <c r="JZ17" s="87"/>
      <c r="KA17" s="83"/>
      <c r="KB17" s="15" t="s">
        <v>1</v>
      </c>
      <c r="KC17" s="8"/>
      <c r="KD17" s="8"/>
      <c r="KE17" s="15" t="s">
        <v>1</v>
      </c>
      <c r="KF17" s="26"/>
      <c r="KG17" s="7"/>
      <c r="KH17" s="7"/>
      <c r="KI17" s="8"/>
      <c r="KJ17" s="8"/>
      <c r="KK17" s="8"/>
      <c r="KL17" s="8"/>
      <c r="KM17" s="8"/>
      <c r="KN17" s="7"/>
      <c r="KO17" s="7"/>
      <c r="KP17" s="8"/>
      <c r="KQ17" s="8"/>
      <c r="KR17" s="8"/>
      <c r="KS17" s="8"/>
      <c r="KT17" s="8"/>
      <c r="KU17" s="7"/>
      <c r="KV17" s="7"/>
      <c r="KW17" s="8"/>
      <c r="KX17" s="8"/>
      <c r="KY17" s="8"/>
      <c r="KZ17" s="8"/>
      <c r="LA17" s="8"/>
      <c r="LB17" s="7"/>
      <c r="LC17" s="7"/>
      <c r="LD17" s="8"/>
      <c r="LE17" s="58"/>
      <c r="LF17" s="147"/>
      <c r="LG17" s="8"/>
      <c r="LH17" s="8"/>
      <c r="LI17" s="7"/>
      <c r="LJ17" s="7"/>
      <c r="LK17" s="8"/>
      <c r="LL17" s="8"/>
      <c r="LM17" s="8"/>
      <c r="LN17" s="8"/>
      <c r="LO17" s="8"/>
      <c r="LP17" s="7"/>
      <c r="LQ17" s="7"/>
      <c r="LR17" s="8"/>
      <c r="LS17" s="8"/>
      <c r="LT17" s="8"/>
      <c r="LU17" s="8"/>
      <c r="LV17" s="8"/>
      <c r="LW17" s="7"/>
      <c r="LX17" s="7"/>
      <c r="LY17" s="8"/>
      <c r="LZ17" s="8"/>
      <c r="MA17" s="8"/>
      <c r="MB17" s="8"/>
      <c r="MC17" s="8"/>
      <c r="MD17" s="7"/>
      <c r="ME17" s="7"/>
      <c r="MF17" s="66" t="s">
        <v>1</v>
      </c>
      <c r="MG17" s="153" t="s">
        <v>1</v>
      </c>
      <c r="MH17" s="66" t="s">
        <v>1</v>
      </c>
      <c r="MI17" s="66" t="s">
        <v>1</v>
      </c>
      <c r="MJ17" s="66" t="s">
        <v>3</v>
      </c>
      <c r="MK17" s="7"/>
      <c r="ML17" s="7"/>
      <c r="MM17" s="8"/>
      <c r="MN17" s="8"/>
      <c r="MO17" s="8"/>
      <c r="MP17" s="8"/>
      <c r="MQ17" s="8"/>
      <c r="MR17" s="7"/>
      <c r="MS17" s="7"/>
      <c r="MT17" s="8"/>
      <c r="MU17" s="8"/>
      <c r="MV17" s="8"/>
      <c r="MW17" s="8"/>
      <c r="MX17" s="8"/>
      <c r="MY17" s="7"/>
      <c r="MZ17" s="7"/>
      <c r="NA17" s="8"/>
      <c r="NB17" s="8"/>
      <c r="NC17" s="8"/>
      <c r="ND17" s="8"/>
      <c r="NE17" s="8"/>
      <c r="NF17" s="7"/>
      <c r="NG17" s="7"/>
      <c r="NH17" s="8"/>
      <c r="NI17" s="8"/>
      <c r="NJ17" s="8"/>
      <c r="NK17" s="8"/>
      <c r="NL17" s="84"/>
    </row>
    <row r="18" spans="1:376" customFormat="1" ht="15.75" thickBot="1">
      <c r="A18" s="1"/>
      <c r="B18" s="29" t="s">
        <v>88</v>
      </c>
      <c r="C18" s="29" t="s">
        <v>30</v>
      </c>
      <c r="D18" s="29" t="s">
        <v>31</v>
      </c>
      <c r="E18" s="37">
        <v>0</v>
      </c>
      <c r="F18" s="29">
        <v>23</v>
      </c>
      <c r="G18" s="29">
        <v>2</v>
      </c>
      <c r="H18" s="29">
        <f t="shared" si="0"/>
        <v>2</v>
      </c>
      <c r="I18" s="30">
        <f t="shared" si="1"/>
        <v>0</v>
      </c>
      <c r="J18" s="30">
        <f t="shared" si="2"/>
        <v>0</v>
      </c>
      <c r="K18" s="71">
        <f t="shared" si="3"/>
        <v>0</v>
      </c>
      <c r="L18" s="78"/>
      <c r="M18" s="7"/>
      <c r="N18" s="7"/>
      <c r="O18" s="8"/>
      <c r="P18" s="8"/>
      <c r="Q18" s="8"/>
      <c r="R18" s="8"/>
      <c r="S18" s="8"/>
      <c r="T18" s="7"/>
      <c r="U18" s="7"/>
      <c r="V18" s="15" t="s">
        <v>1</v>
      </c>
      <c r="W18" s="15" t="s">
        <v>1</v>
      </c>
      <c r="X18" s="15" t="s">
        <v>1</v>
      </c>
      <c r="Y18" s="26"/>
      <c r="Z18" s="26"/>
      <c r="AA18" s="7"/>
      <c r="AB18" s="7"/>
      <c r="AC18" s="26"/>
      <c r="AD18" s="8"/>
      <c r="AE18" s="8"/>
      <c r="AF18" s="8"/>
      <c r="AG18" s="8"/>
      <c r="AH18" s="7"/>
      <c r="AI18" s="7"/>
      <c r="AJ18" s="26"/>
      <c r="AK18" s="8"/>
      <c r="AL18" s="8"/>
      <c r="AM18" s="8"/>
      <c r="AN18" s="8"/>
      <c r="AO18" s="87"/>
      <c r="AP18" s="83"/>
      <c r="AQ18" s="8"/>
      <c r="AR18" s="8"/>
      <c r="AS18" s="8"/>
      <c r="AT18" s="8"/>
      <c r="AU18" s="8"/>
      <c r="AV18" s="7"/>
      <c r="AW18" s="7"/>
      <c r="AX18" s="8"/>
      <c r="AY18" s="8"/>
      <c r="AZ18" s="8"/>
      <c r="BA18" s="8"/>
      <c r="BB18" s="8"/>
      <c r="BC18" s="7"/>
      <c r="BD18" s="7"/>
      <c r="BE18" s="8"/>
      <c r="BF18" s="8"/>
      <c r="BG18" s="8"/>
      <c r="BH18" s="8"/>
      <c r="BI18" s="8"/>
      <c r="BJ18" s="7"/>
      <c r="BK18" s="7"/>
      <c r="BL18" s="8"/>
      <c r="BM18" s="8"/>
      <c r="BN18" s="8"/>
      <c r="BO18" s="8"/>
      <c r="BP18" s="8"/>
      <c r="BQ18" s="7"/>
      <c r="BR18" s="7"/>
      <c r="BS18" s="8"/>
      <c r="BT18" s="58"/>
      <c r="BU18" s="78"/>
      <c r="BV18" s="8"/>
      <c r="BW18" s="8"/>
      <c r="BX18" s="7"/>
      <c r="BY18" s="7"/>
      <c r="BZ18" s="8"/>
      <c r="CA18" s="8"/>
      <c r="CB18" s="8"/>
      <c r="CC18" s="8"/>
      <c r="CD18" s="8"/>
      <c r="CE18" s="7"/>
      <c r="CF18" s="7"/>
      <c r="CG18" s="8"/>
      <c r="CH18" s="8"/>
      <c r="CI18" s="8"/>
      <c r="CJ18" s="8"/>
      <c r="CK18" s="8"/>
      <c r="CL18" s="7"/>
      <c r="CM18" s="7"/>
      <c r="CN18" s="15" t="s">
        <v>1</v>
      </c>
      <c r="CO18" s="15" t="s">
        <v>1</v>
      </c>
      <c r="CP18" s="15" t="s">
        <v>1</v>
      </c>
      <c r="CQ18" s="15" t="s">
        <v>1</v>
      </c>
      <c r="CR18" s="26"/>
      <c r="CS18" s="7"/>
      <c r="CT18" s="7"/>
      <c r="CU18" s="8"/>
      <c r="CV18" s="8"/>
      <c r="CW18" s="8"/>
      <c r="CX18" s="58"/>
      <c r="CY18" s="78"/>
      <c r="CZ18" s="7"/>
      <c r="DA18" s="7"/>
      <c r="DB18" s="8"/>
      <c r="DC18" s="8"/>
      <c r="DD18" s="8"/>
      <c r="DE18" s="8"/>
      <c r="DF18" s="8"/>
      <c r="DG18" s="7"/>
      <c r="DH18" s="7"/>
      <c r="DI18" s="8"/>
      <c r="DJ18" s="8"/>
      <c r="DK18" s="8"/>
      <c r="DL18" s="8"/>
      <c r="DM18" s="8"/>
      <c r="DN18" s="7"/>
      <c r="DO18" s="7"/>
      <c r="DP18" s="8"/>
      <c r="DQ18" s="8"/>
      <c r="DR18" s="8"/>
      <c r="DS18" s="8"/>
      <c r="DT18" s="8"/>
      <c r="DU18" s="7"/>
      <c r="DV18" s="7"/>
      <c r="DW18" s="8"/>
      <c r="DX18" s="8"/>
      <c r="DY18" s="8"/>
      <c r="DZ18" s="8"/>
      <c r="EA18" s="8"/>
      <c r="EB18" s="7"/>
      <c r="EC18" s="87"/>
      <c r="ED18" s="78"/>
      <c r="EE18" s="8"/>
      <c r="EF18" s="8"/>
      <c r="EG18" s="8"/>
      <c r="EH18" s="8"/>
      <c r="EI18" s="7"/>
      <c r="EJ18" s="7"/>
      <c r="EK18" s="15" t="s">
        <v>1</v>
      </c>
      <c r="EL18" s="15" t="s">
        <v>1</v>
      </c>
      <c r="EM18" s="15" t="s">
        <v>1</v>
      </c>
      <c r="EN18" s="15" t="s">
        <v>1</v>
      </c>
      <c r="EO18" s="15" t="s">
        <v>1</v>
      </c>
      <c r="EP18" s="7"/>
      <c r="EQ18" s="7"/>
      <c r="ER18" s="26"/>
      <c r="ES18" s="15" t="s">
        <v>1</v>
      </c>
      <c r="ET18" s="15" t="s">
        <v>1</v>
      </c>
      <c r="EU18" s="15" t="s">
        <v>1</v>
      </c>
      <c r="EV18" s="15" t="s">
        <v>1</v>
      </c>
      <c r="EW18" s="7"/>
      <c r="EX18" s="7"/>
      <c r="EY18" s="8"/>
      <c r="EZ18" s="8"/>
      <c r="FA18" s="8"/>
      <c r="FB18" s="8"/>
      <c r="FC18" s="8"/>
      <c r="FD18" s="7"/>
      <c r="FE18" s="7"/>
      <c r="FF18" s="8"/>
      <c r="FG18" s="8"/>
      <c r="FH18" s="58"/>
      <c r="FI18" s="78"/>
      <c r="FJ18" s="8"/>
      <c r="FK18" s="7"/>
      <c r="FL18" s="7"/>
      <c r="FM18" s="8"/>
      <c r="FN18" s="8"/>
      <c r="FO18" s="8"/>
      <c r="FP18" s="8"/>
      <c r="FQ18" s="8"/>
      <c r="FR18" s="7"/>
      <c r="FS18" s="7"/>
      <c r="FT18" s="8"/>
      <c r="FU18" s="8"/>
      <c r="FV18" s="8"/>
      <c r="FW18" s="8"/>
      <c r="FX18" s="26"/>
      <c r="FY18" s="7"/>
      <c r="FZ18" s="7"/>
      <c r="GA18" s="8"/>
      <c r="GB18" s="8"/>
      <c r="GC18" s="8"/>
      <c r="GD18" s="8"/>
      <c r="GE18" s="8"/>
      <c r="GF18" s="7"/>
      <c r="GG18" s="7"/>
      <c r="GH18" s="8"/>
      <c r="GI18" s="8"/>
      <c r="GJ18" s="8"/>
      <c r="GK18" s="8"/>
      <c r="GL18" s="58"/>
      <c r="GM18" s="83"/>
      <c r="GN18" s="7"/>
      <c r="GO18" s="8"/>
      <c r="GP18" s="8"/>
      <c r="GQ18" s="8"/>
      <c r="GR18" s="8"/>
      <c r="GS18" s="8"/>
      <c r="GT18" s="7"/>
      <c r="GU18" s="7"/>
      <c r="GV18" s="15" t="s">
        <v>3</v>
      </c>
      <c r="GW18" s="15" t="s">
        <v>3</v>
      </c>
      <c r="GX18" s="26"/>
      <c r="GY18" s="8"/>
      <c r="GZ18" s="8"/>
      <c r="HA18" s="7"/>
      <c r="HB18" s="7"/>
      <c r="HC18" s="8"/>
      <c r="HD18" s="8"/>
      <c r="HE18" s="8"/>
      <c r="HF18" s="8"/>
      <c r="HG18" s="8"/>
      <c r="HH18" s="7"/>
      <c r="HI18" s="7"/>
      <c r="HJ18" s="8"/>
      <c r="HK18" s="8"/>
      <c r="HL18" s="8"/>
      <c r="HM18" s="8"/>
      <c r="HN18" s="8"/>
      <c r="HO18" s="7"/>
      <c r="HP18" s="7"/>
      <c r="HQ18" s="58"/>
      <c r="HR18" s="104"/>
      <c r="HS18" s="8"/>
      <c r="HT18" s="8"/>
      <c r="HU18" s="8"/>
      <c r="HV18" s="7"/>
      <c r="HW18" s="7"/>
      <c r="HX18" s="8"/>
      <c r="HY18" s="8"/>
      <c r="HZ18" s="8"/>
      <c r="IA18" s="8"/>
      <c r="IB18" s="8"/>
      <c r="IC18" s="7"/>
      <c r="ID18" s="7"/>
      <c r="IE18" s="8"/>
      <c r="IF18" s="8"/>
      <c r="IG18" s="8"/>
      <c r="IH18" s="8"/>
      <c r="II18" s="8"/>
      <c r="IJ18" s="7"/>
      <c r="IK18" s="7"/>
      <c r="IL18" s="8"/>
      <c r="IM18" s="8"/>
      <c r="IN18" s="8"/>
      <c r="IO18" s="8"/>
      <c r="IP18" s="8"/>
      <c r="IQ18" s="7"/>
      <c r="IR18" s="7"/>
      <c r="IS18" s="8"/>
      <c r="IT18" s="8"/>
      <c r="IU18" s="58"/>
      <c r="IV18" s="78"/>
      <c r="IW18" s="8"/>
      <c r="IX18" s="7"/>
      <c r="IY18" s="7"/>
      <c r="IZ18" s="8"/>
      <c r="JA18" s="26"/>
      <c r="JB18" s="8"/>
      <c r="JC18" s="26"/>
      <c r="JD18" s="8"/>
      <c r="JE18" s="7"/>
      <c r="JF18" s="7"/>
      <c r="JG18" s="8"/>
      <c r="JH18" s="8"/>
      <c r="JI18" s="8"/>
      <c r="JJ18" s="8"/>
      <c r="JK18" s="8"/>
      <c r="JL18" s="7"/>
      <c r="JM18" s="7"/>
      <c r="JN18" s="8"/>
      <c r="JO18" s="8"/>
      <c r="JP18" s="8"/>
      <c r="JQ18" s="8"/>
      <c r="JR18" s="8"/>
      <c r="JS18" s="7"/>
      <c r="JT18" s="7"/>
      <c r="JU18" s="15" t="s">
        <v>1</v>
      </c>
      <c r="JV18" s="15" t="s">
        <v>1</v>
      </c>
      <c r="JW18" s="15" t="s">
        <v>1</v>
      </c>
      <c r="JX18" s="15" t="s">
        <v>1</v>
      </c>
      <c r="JY18" s="15" t="s">
        <v>1</v>
      </c>
      <c r="JZ18" s="87"/>
      <c r="KA18" s="83"/>
      <c r="KB18" s="26"/>
      <c r="KC18" s="8"/>
      <c r="KD18" s="8"/>
      <c r="KE18" s="8"/>
      <c r="KF18" s="8"/>
      <c r="KG18" s="7"/>
      <c r="KH18" s="7"/>
      <c r="KI18" s="8"/>
      <c r="KJ18" s="8"/>
      <c r="KK18" s="8"/>
      <c r="KL18" s="8"/>
      <c r="KM18" s="8"/>
      <c r="KN18" s="7"/>
      <c r="KO18" s="7"/>
      <c r="KP18" s="8"/>
      <c r="KQ18" s="8"/>
      <c r="KR18" s="8"/>
      <c r="KS18" s="8"/>
      <c r="KT18" s="8"/>
      <c r="KU18" s="7"/>
      <c r="KV18" s="7"/>
      <c r="KW18" s="8"/>
      <c r="KX18" s="8"/>
      <c r="KY18" s="8"/>
      <c r="KZ18" s="8"/>
      <c r="LA18" s="8"/>
      <c r="LB18" s="7"/>
      <c r="LC18" s="7"/>
      <c r="LD18" s="8"/>
      <c r="LE18" s="58"/>
      <c r="LF18" s="149"/>
      <c r="LG18" s="150"/>
      <c r="LH18" s="150"/>
      <c r="LI18" s="151"/>
      <c r="LJ18" s="151"/>
      <c r="LK18" s="150"/>
      <c r="LL18" s="150"/>
      <c r="LM18" s="150"/>
      <c r="LN18" s="150"/>
      <c r="LO18" s="150"/>
      <c r="LP18" s="151"/>
      <c r="LQ18" s="151"/>
      <c r="LR18" s="150"/>
      <c r="LS18" s="150"/>
      <c r="LT18" s="150"/>
      <c r="LU18" s="150"/>
      <c r="LV18" s="150"/>
      <c r="LW18" s="151"/>
      <c r="LX18" s="151"/>
      <c r="LY18" s="150"/>
      <c r="LZ18" s="150"/>
      <c r="MA18" s="150"/>
      <c r="MB18" s="150"/>
      <c r="MC18" s="150"/>
      <c r="MD18" s="151"/>
      <c r="ME18" s="151"/>
      <c r="MF18" s="150"/>
      <c r="MG18" s="152"/>
      <c r="MH18" s="28"/>
      <c r="MI18" s="8"/>
      <c r="MJ18" s="8"/>
      <c r="MK18" s="7"/>
      <c r="ML18" s="7"/>
      <c r="MM18" s="8"/>
      <c r="MN18" s="8"/>
      <c r="MO18" s="8"/>
      <c r="MP18" s="8"/>
      <c r="MQ18" s="8"/>
      <c r="MR18" s="7"/>
      <c r="MS18" s="7"/>
      <c r="MT18" s="8"/>
      <c r="MU18" s="8"/>
      <c r="MV18" s="8"/>
      <c r="MW18" s="8"/>
      <c r="MX18" s="8"/>
      <c r="MY18" s="7"/>
      <c r="MZ18" s="7"/>
      <c r="NA18" s="8"/>
      <c r="NB18" s="8"/>
      <c r="NC18" s="8"/>
      <c r="ND18" s="8"/>
      <c r="NE18" s="8"/>
      <c r="NF18" s="7"/>
      <c r="NG18" s="7"/>
      <c r="NH18" s="8"/>
      <c r="NI18" s="8"/>
      <c r="NJ18" s="8"/>
      <c r="NK18" s="8"/>
      <c r="NL18" s="84"/>
    </row>
    <row r="19" spans="1:376" customFormat="1" ht="15.75" hidden="1" customHeight="1" thickBot="1">
      <c r="A19" s="1"/>
      <c r="B19" s="29" t="s">
        <v>47</v>
      </c>
      <c r="C19" s="29" t="s">
        <v>48</v>
      </c>
      <c r="D19" s="29"/>
      <c r="E19" s="37">
        <v>0</v>
      </c>
      <c r="F19" s="29">
        <v>23</v>
      </c>
      <c r="G19" s="29">
        <v>2</v>
      </c>
      <c r="H19" s="29">
        <f t="shared" si="0"/>
        <v>20</v>
      </c>
      <c r="I19" s="30">
        <f t="shared" si="1"/>
        <v>2</v>
      </c>
      <c r="J19" s="30">
        <f t="shared" si="2"/>
        <v>1</v>
      </c>
      <c r="K19" s="71">
        <f t="shared" si="3"/>
        <v>0</v>
      </c>
      <c r="L19" s="78"/>
      <c r="M19" s="7"/>
      <c r="N19" s="7"/>
      <c r="O19" s="8"/>
      <c r="P19" s="8"/>
      <c r="Q19" s="8"/>
      <c r="R19" s="8"/>
      <c r="S19" s="8"/>
      <c r="T19" s="7"/>
      <c r="U19" s="7"/>
      <c r="V19" s="15" t="s">
        <v>1</v>
      </c>
      <c r="W19" s="15" t="s">
        <v>1</v>
      </c>
      <c r="X19" s="15" t="s">
        <v>1</v>
      </c>
      <c r="Y19" s="40"/>
      <c r="Z19" s="40"/>
      <c r="AA19" s="7"/>
      <c r="AB19" s="7"/>
      <c r="AC19" s="8"/>
      <c r="AD19" s="8"/>
      <c r="AE19" s="8"/>
      <c r="AF19" s="8"/>
      <c r="AG19" s="8"/>
      <c r="AH19" s="7"/>
      <c r="AI19" s="7"/>
      <c r="AJ19" s="8"/>
      <c r="AK19" s="8"/>
      <c r="AL19" s="8"/>
      <c r="AM19" s="8"/>
      <c r="AN19" s="8"/>
      <c r="AO19" s="87"/>
      <c r="AP19" s="83"/>
      <c r="AQ19" s="52" t="s">
        <v>5</v>
      </c>
      <c r="AR19" s="8"/>
      <c r="AS19" s="8"/>
      <c r="AT19" s="8"/>
      <c r="AU19" s="8"/>
      <c r="AV19" s="7"/>
      <c r="AW19" s="7"/>
      <c r="AX19" s="8"/>
      <c r="AY19" s="8"/>
      <c r="AZ19" s="8"/>
      <c r="BA19" s="8"/>
      <c r="BB19" s="8"/>
      <c r="BC19" s="7"/>
      <c r="BD19" s="7"/>
      <c r="BE19" s="8"/>
      <c r="BF19" s="8"/>
      <c r="BG19" s="8"/>
      <c r="BH19" s="8"/>
      <c r="BI19" s="8"/>
      <c r="BJ19" s="7"/>
      <c r="BK19" s="7"/>
      <c r="BL19" s="8"/>
      <c r="BM19" s="8"/>
      <c r="BN19" s="8"/>
      <c r="BO19" s="8"/>
      <c r="BP19" s="8"/>
      <c r="BQ19" s="7"/>
      <c r="BR19" s="7"/>
      <c r="BS19" s="8"/>
      <c r="BT19" s="58"/>
      <c r="BU19" s="78"/>
      <c r="BV19" s="8"/>
      <c r="BW19" s="8"/>
      <c r="BX19" s="7"/>
      <c r="BY19" s="7"/>
      <c r="BZ19" s="8"/>
      <c r="CA19" s="8"/>
      <c r="CB19" s="8"/>
      <c r="CC19" s="8"/>
      <c r="CD19" s="8"/>
      <c r="CE19" s="7"/>
      <c r="CF19" s="7"/>
      <c r="CG19" s="8"/>
      <c r="CH19" s="8"/>
      <c r="CI19" s="8"/>
      <c r="CJ19" s="8"/>
      <c r="CK19" s="8"/>
      <c r="CL19" s="7"/>
      <c r="CM19" s="7"/>
      <c r="CN19" s="8"/>
      <c r="CO19" s="8"/>
      <c r="CP19" s="8"/>
      <c r="CQ19" s="8"/>
      <c r="CR19" s="8"/>
      <c r="CS19" s="7"/>
      <c r="CT19" s="7"/>
      <c r="CU19" s="8"/>
      <c r="CV19" s="8"/>
      <c r="CW19" s="8"/>
      <c r="CX19" s="58"/>
      <c r="CY19" s="78"/>
      <c r="CZ19" s="7"/>
      <c r="DA19" s="7"/>
      <c r="DB19" s="8"/>
      <c r="DC19" s="8"/>
      <c r="DD19" s="8"/>
      <c r="DE19" s="8"/>
      <c r="DF19" s="8"/>
      <c r="DG19" s="7"/>
      <c r="DH19" s="7"/>
      <c r="DI19" s="8"/>
      <c r="DJ19" s="8"/>
      <c r="DK19" s="8"/>
      <c r="DL19" s="8"/>
      <c r="DM19" s="8"/>
      <c r="DN19" s="7"/>
      <c r="DO19" s="7"/>
      <c r="DP19" s="8"/>
      <c r="DQ19" s="8"/>
      <c r="DR19" s="8"/>
      <c r="DS19" s="8"/>
      <c r="DT19" s="8"/>
      <c r="DU19" s="7"/>
      <c r="DV19" s="7"/>
      <c r="DW19" s="8"/>
      <c r="DX19" s="8"/>
      <c r="DY19" s="8"/>
      <c r="DZ19" s="8"/>
      <c r="EA19" s="8"/>
      <c r="EB19" s="7"/>
      <c r="EC19" s="87"/>
      <c r="ED19" s="78"/>
      <c r="EE19" s="8"/>
      <c r="EF19" s="8"/>
      <c r="EG19" s="8"/>
      <c r="EH19" s="8"/>
      <c r="EI19" s="7"/>
      <c r="EJ19" s="7"/>
      <c r="EK19" s="8"/>
      <c r="EL19" s="8"/>
      <c r="EM19" s="8"/>
      <c r="EN19" s="8"/>
      <c r="EO19" s="8"/>
      <c r="EP19" s="7"/>
      <c r="EQ19" s="7"/>
      <c r="ER19" s="8"/>
      <c r="ES19" s="8"/>
      <c r="ET19" s="8"/>
      <c r="EU19" s="8"/>
      <c r="EV19" s="8"/>
      <c r="EW19" s="7"/>
      <c r="EX19" s="7"/>
      <c r="EY19" s="8"/>
      <c r="EZ19" s="8"/>
      <c r="FA19" s="8"/>
      <c r="FB19" s="8"/>
      <c r="FC19" s="8"/>
      <c r="FD19" s="7"/>
      <c r="FE19" s="7"/>
      <c r="FF19" s="8"/>
      <c r="FG19" s="8"/>
      <c r="FH19" s="58"/>
      <c r="FI19" s="78"/>
      <c r="FJ19" s="8"/>
      <c r="FK19" s="7"/>
      <c r="FL19" s="7"/>
      <c r="FM19" s="8"/>
      <c r="FN19" s="8"/>
      <c r="FO19" s="8"/>
      <c r="FP19" s="8"/>
      <c r="FQ19" s="8"/>
      <c r="FR19" s="7"/>
      <c r="FS19" s="7"/>
      <c r="FT19" s="8"/>
      <c r="FU19" s="8"/>
      <c r="FV19" s="8"/>
      <c r="FW19" s="8"/>
      <c r="FX19" s="26"/>
      <c r="FY19" s="7"/>
      <c r="FZ19" s="7"/>
      <c r="GA19" s="8"/>
      <c r="GB19" s="8"/>
      <c r="GC19" s="8"/>
      <c r="GD19" s="8"/>
      <c r="GE19" s="8"/>
      <c r="GF19" s="7"/>
      <c r="GG19" s="7"/>
      <c r="GH19" s="8"/>
      <c r="GI19" s="8"/>
      <c r="GJ19" s="8"/>
      <c r="GK19" s="8"/>
      <c r="GL19" s="58"/>
      <c r="GM19" s="83"/>
      <c r="GN19" s="7"/>
      <c r="GO19" s="8"/>
      <c r="GP19" s="8"/>
      <c r="GQ19" s="8"/>
      <c r="GR19" s="8"/>
      <c r="GS19" s="8"/>
      <c r="GT19" s="7"/>
      <c r="GU19" s="7"/>
      <c r="GV19" s="8"/>
      <c r="GW19" s="8"/>
      <c r="GX19" s="8"/>
      <c r="GY19" s="8"/>
      <c r="GZ19" s="8"/>
      <c r="HA19" s="7"/>
      <c r="HB19" s="7"/>
      <c r="HC19" s="8"/>
      <c r="HD19" s="8"/>
      <c r="HE19" s="8"/>
      <c r="HF19" s="8"/>
      <c r="HG19" s="8"/>
      <c r="HH19" s="7"/>
      <c r="HI19" s="7"/>
      <c r="HJ19" s="8"/>
      <c r="HK19" s="8"/>
      <c r="HL19" s="8"/>
      <c r="HM19" s="8"/>
      <c r="HN19" s="8"/>
      <c r="HO19" s="7"/>
      <c r="HP19" s="7"/>
      <c r="HQ19" s="58"/>
      <c r="HR19" s="104"/>
      <c r="HS19" s="8"/>
      <c r="HT19" s="8"/>
      <c r="HU19" s="8"/>
      <c r="HV19" s="7"/>
      <c r="HW19" s="7"/>
      <c r="HX19" s="8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100"/>
      <c r="IV19" s="9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100"/>
      <c r="KA19" s="9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100"/>
      <c r="LF19" s="131"/>
      <c r="LG19" s="132"/>
      <c r="LH19" s="132"/>
      <c r="LI19" s="132"/>
      <c r="LJ19" s="132"/>
      <c r="LK19" s="132"/>
      <c r="LL19" s="132"/>
      <c r="LM19" s="132"/>
      <c r="LN19" s="132"/>
      <c r="LO19" s="132"/>
      <c r="LP19" s="132"/>
      <c r="LQ19" s="132"/>
      <c r="LR19" s="132"/>
      <c r="LS19" s="132"/>
      <c r="LT19" s="132"/>
      <c r="LU19" s="132"/>
      <c r="LV19" s="132"/>
      <c r="LW19" s="132"/>
      <c r="LX19" s="132"/>
      <c r="LY19" s="132"/>
      <c r="LZ19" s="132"/>
      <c r="MA19" s="132"/>
      <c r="MB19" s="132"/>
      <c r="MC19" s="132"/>
      <c r="MD19" s="132"/>
      <c r="ME19" s="132"/>
      <c r="MF19" s="132"/>
      <c r="MG19" s="133"/>
      <c r="MH19" s="93"/>
      <c r="MI19" s="53"/>
      <c r="MJ19" s="53"/>
      <c r="MK19" s="53"/>
      <c r="ML19" s="53"/>
      <c r="MM19" s="53"/>
      <c r="MN19" s="53"/>
      <c r="MO19" s="53"/>
      <c r="MP19" s="53"/>
      <c r="MQ19" s="53"/>
      <c r="MR19" s="53"/>
      <c r="MS19" s="53"/>
      <c r="MT19" s="53"/>
      <c r="MU19" s="53"/>
      <c r="MV19" s="53"/>
      <c r="MW19" s="53"/>
      <c r="MX19" s="53"/>
      <c r="MY19" s="53"/>
      <c r="MZ19" s="53"/>
      <c r="NA19" s="53"/>
      <c r="NB19" s="53"/>
      <c r="NC19" s="53"/>
      <c r="ND19" s="53"/>
      <c r="NE19" s="53"/>
      <c r="NF19" s="53"/>
      <c r="NG19" s="53"/>
      <c r="NH19" s="53"/>
      <c r="NI19" s="53"/>
      <c r="NJ19" s="53"/>
      <c r="NK19" s="53"/>
      <c r="NL19" s="94"/>
    </row>
    <row r="20" spans="1:376" customFormat="1" ht="15.75" customHeight="1" thickBot="1">
      <c r="A20" s="1"/>
      <c r="B20" s="29" t="s">
        <v>89</v>
      </c>
      <c r="C20" s="29" t="s">
        <v>30</v>
      </c>
      <c r="D20" s="29" t="s">
        <v>31</v>
      </c>
      <c r="E20" s="37">
        <v>0</v>
      </c>
      <c r="F20" s="29">
        <v>23</v>
      </c>
      <c r="G20" s="29">
        <v>3</v>
      </c>
      <c r="H20" s="29">
        <f t="shared" si="0"/>
        <v>22</v>
      </c>
      <c r="I20" s="30">
        <f t="shared" si="1"/>
        <v>0</v>
      </c>
      <c r="J20" s="30">
        <f t="shared" si="2"/>
        <v>0</v>
      </c>
      <c r="K20" s="71">
        <f t="shared" si="3"/>
        <v>39</v>
      </c>
      <c r="L20" s="78"/>
      <c r="M20" s="7"/>
      <c r="N20" s="7"/>
      <c r="O20" s="8"/>
      <c r="P20" s="8"/>
      <c r="Q20" s="8"/>
      <c r="R20" s="8"/>
      <c r="S20" s="8"/>
      <c r="T20" s="7"/>
      <c r="U20" s="7"/>
      <c r="V20" s="8"/>
      <c r="W20" s="8"/>
      <c r="X20" s="8"/>
      <c r="Y20" s="8"/>
      <c r="Z20" s="26"/>
      <c r="AA20" s="7"/>
      <c r="AB20" s="7"/>
      <c r="AC20" s="8"/>
      <c r="AD20" s="8"/>
      <c r="AE20" s="8"/>
      <c r="AF20" s="8"/>
      <c r="AG20" s="8"/>
      <c r="AH20" s="7"/>
      <c r="AI20" s="7"/>
      <c r="AJ20" s="8"/>
      <c r="AK20" s="8"/>
      <c r="AL20" s="8"/>
      <c r="AM20" s="8"/>
      <c r="AN20" s="8"/>
      <c r="AO20" s="87"/>
      <c r="AP20" s="83"/>
      <c r="AQ20" s="8"/>
      <c r="AR20" s="8"/>
      <c r="AS20" s="8"/>
      <c r="AT20" s="8"/>
      <c r="AU20" s="8"/>
      <c r="AV20" s="7"/>
      <c r="AW20" s="7"/>
      <c r="AX20" s="8"/>
      <c r="AY20" s="8"/>
      <c r="AZ20" s="8"/>
      <c r="BA20" s="8"/>
      <c r="BB20" s="8"/>
      <c r="BC20" s="7"/>
      <c r="BD20" s="7"/>
      <c r="BE20" s="8"/>
      <c r="BF20" s="8"/>
      <c r="BG20" s="8"/>
      <c r="BH20" s="8"/>
      <c r="BI20" s="8"/>
      <c r="BJ20" s="7"/>
      <c r="BK20" s="7"/>
      <c r="BL20" s="8"/>
      <c r="BM20" s="8"/>
      <c r="BN20" s="8"/>
      <c r="BO20" s="8"/>
      <c r="BP20" s="8"/>
      <c r="BQ20" s="7"/>
      <c r="BR20" s="7"/>
      <c r="BS20" s="15" t="s">
        <v>3</v>
      </c>
      <c r="BT20" s="58"/>
      <c r="BU20" s="78"/>
      <c r="BV20" s="8"/>
      <c r="BW20" s="8"/>
      <c r="BX20" s="7"/>
      <c r="BY20" s="7"/>
      <c r="BZ20" s="8"/>
      <c r="CA20" s="8"/>
      <c r="CB20" s="8"/>
      <c r="CC20" s="8"/>
      <c r="CD20" s="8"/>
      <c r="CE20" s="7"/>
      <c r="CF20" s="7"/>
      <c r="CG20" s="8"/>
      <c r="CH20" s="8"/>
      <c r="CI20" s="8"/>
      <c r="CJ20" s="8"/>
      <c r="CK20" s="8"/>
      <c r="CL20" s="7"/>
      <c r="CM20" s="7"/>
      <c r="CN20" s="8"/>
      <c r="CO20" s="26"/>
      <c r="CP20" s="8"/>
      <c r="CQ20" s="8"/>
      <c r="CR20" s="8"/>
      <c r="CS20" s="7"/>
      <c r="CT20" s="7"/>
      <c r="CU20" s="26"/>
      <c r="CV20" s="8"/>
      <c r="CW20" s="8"/>
      <c r="CX20" s="58"/>
      <c r="CY20" s="78"/>
      <c r="CZ20" s="7"/>
      <c r="DA20" s="7"/>
      <c r="DB20" s="8"/>
      <c r="DC20" s="8"/>
      <c r="DD20" s="8"/>
      <c r="DE20" s="8"/>
      <c r="DF20" s="8"/>
      <c r="DG20" s="7"/>
      <c r="DH20" s="7"/>
      <c r="DI20" s="8"/>
      <c r="DJ20" s="8"/>
      <c r="DK20" s="8"/>
      <c r="DL20" s="8"/>
      <c r="DM20" s="8"/>
      <c r="DN20" s="7"/>
      <c r="DO20" s="7"/>
      <c r="DP20" s="8"/>
      <c r="DQ20" s="8"/>
      <c r="DR20" s="8"/>
      <c r="DS20" s="8"/>
      <c r="DT20" s="8"/>
      <c r="DU20" s="7"/>
      <c r="DV20" s="7"/>
      <c r="DW20" s="8"/>
      <c r="DX20" s="8"/>
      <c r="DY20" s="8"/>
      <c r="DZ20" s="8"/>
      <c r="EA20" s="8"/>
      <c r="EB20" s="7"/>
      <c r="EC20" s="87"/>
      <c r="ED20" s="78"/>
      <c r="EE20" s="8"/>
      <c r="EF20" s="8"/>
      <c r="EG20" s="8"/>
      <c r="EH20" s="8"/>
      <c r="EI20" s="7"/>
      <c r="EJ20" s="7"/>
      <c r="EK20" s="8"/>
      <c r="EL20" s="8"/>
      <c r="EM20" s="8"/>
      <c r="EN20" s="8"/>
      <c r="EO20" s="8"/>
      <c r="EP20" s="7"/>
      <c r="EQ20" s="7"/>
      <c r="ER20" s="26"/>
      <c r="ES20" s="8"/>
      <c r="ET20" s="21" t="s">
        <v>7</v>
      </c>
      <c r="EU20" s="21" t="s">
        <v>7</v>
      </c>
      <c r="EV20" s="21" t="s">
        <v>7</v>
      </c>
      <c r="EW20" s="7"/>
      <c r="EX20" s="7"/>
      <c r="EY20" s="8"/>
      <c r="EZ20" s="8"/>
      <c r="FA20" s="8"/>
      <c r="FB20" s="8"/>
      <c r="FC20" s="8"/>
      <c r="FD20" s="7"/>
      <c r="FE20" s="7"/>
      <c r="FF20" s="8"/>
      <c r="FG20" s="8"/>
      <c r="FH20" s="58"/>
      <c r="FI20" s="78"/>
      <c r="FJ20" s="8"/>
      <c r="FK20" s="7"/>
      <c r="FL20" s="7"/>
      <c r="FM20" s="8"/>
      <c r="FN20" s="8"/>
      <c r="FO20" s="8"/>
      <c r="FP20" s="8"/>
      <c r="FQ20" s="15" t="s">
        <v>1</v>
      </c>
      <c r="FR20" s="7"/>
      <c r="FS20" s="7"/>
      <c r="FT20" s="8"/>
      <c r="FU20" s="8"/>
      <c r="FV20" s="8"/>
      <c r="FW20" s="8"/>
      <c r="FX20" s="26"/>
      <c r="FY20" s="7"/>
      <c r="FZ20" s="7"/>
      <c r="GA20" s="26"/>
      <c r="GB20" s="8"/>
      <c r="GC20" s="8"/>
      <c r="GD20" s="8"/>
      <c r="GE20" s="8"/>
      <c r="GF20" s="7"/>
      <c r="GG20" s="7"/>
      <c r="GH20" s="8"/>
      <c r="GI20" s="8"/>
      <c r="GJ20" s="8"/>
      <c r="GK20" s="15" t="s">
        <v>3</v>
      </c>
      <c r="GL20" s="74" t="s">
        <v>3</v>
      </c>
      <c r="GM20" s="83"/>
      <c r="GN20" s="7"/>
      <c r="GO20" s="8"/>
      <c r="GP20" s="8"/>
      <c r="GQ20" s="8"/>
      <c r="GR20" s="8"/>
      <c r="GS20" s="8"/>
      <c r="GT20" s="7"/>
      <c r="GU20" s="7"/>
      <c r="GV20" s="26"/>
      <c r="GW20" s="8"/>
      <c r="GX20" s="8"/>
      <c r="GY20" s="8"/>
      <c r="GZ20" s="8"/>
      <c r="HA20" s="7"/>
      <c r="HB20" s="7"/>
      <c r="HC20" s="8"/>
      <c r="HD20" s="8"/>
      <c r="HE20" s="8"/>
      <c r="HF20" s="8"/>
      <c r="HG20" s="8"/>
      <c r="HH20" s="7"/>
      <c r="HI20" s="7"/>
      <c r="HJ20" s="8"/>
      <c r="HK20" s="8"/>
      <c r="HL20" s="8"/>
      <c r="HM20" s="8"/>
      <c r="HN20" s="8"/>
      <c r="HO20" s="7"/>
      <c r="HP20" s="7"/>
      <c r="HQ20" s="106"/>
      <c r="HR20" s="104"/>
      <c r="HS20" s="8"/>
      <c r="HT20" s="8"/>
      <c r="HU20" s="8"/>
      <c r="HV20" s="7"/>
      <c r="HW20" s="7"/>
      <c r="HX20" s="21" t="s">
        <v>7</v>
      </c>
      <c r="HY20" s="21" t="s">
        <v>7</v>
      </c>
      <c r="HZ20" s="21" t="s">
        <v>7</v>
      </c>
      <c r="IA20" s="21" t="s">
        <v>7</v>
      </c>
      <c r="IB20" s="21" t="s">
        <v>7</v>
      </c>
      <c r="IC20" s="7"/>
      <c r="ID20" s="7"/>
      <c r="IE20" s="21" t="s">
        <v>7</v>
      </c>
      <c r="IF20" s="21" t="s">
        <v>7</v>
      </c>
      <c r="IG20" s="21" t="s">
        <v>7</v>
      </c>
      <c r="IH20" s="21" t="s">
        <v>7</v>
      </c>
      <c r="II20" s="21" t="s">
        <v>7</v>
      </c>
      <c r="IJ20" s="7"/>
      <c r="IK20" s="7"/>
      <c r="IL20" s="21" t="s">
        <v>7</v>
      </c>
      <c r="IM20" s="21" t="s">
        <v>7</v>
      </c>
      <c r="IN20" s="21" t="s">
        <v>7</v>
      </c>
      <c r="IO20" s="21" t="s">
        <v>7</v>
      </c>
      <c r="IP20" s="21" t="s">
        <v>7</v>
      </c>
      <c r="IQ20" s="7"/>
      <c r="IR20" s="7"/>
      <c r="IS20" s="21" t="s">
        <v>7</v>
      </c>
      <c r="IT20" s="21" t="s">
        <v>7</v>
      </c>
      <c r="IU20" s="109" t="s">
        <v>7</v>
      </c>
      <c r="IV20" s="108" t="s">
        <v>7</v>
      </c>
      <c r="IW20" s="21" t="s">
        <v>7</v>
      </c>
      <c r="IX20" s="7"/>
      <c r="IY20" s="7"/>
      <c r="IZ20" s="21" t="s">
        <v>7</v>
      </c>
      <c r="JA20" s="21" t="s">
        <v>7</v>
      </c>
      <c r="JB20" s="21" t="s">
        <v>7</v>
      </c>
      <c r="JC20" s="26"/>
      <c r="JD20" s="21" t="s">
        <v>7</v>
      </c>
      <c r="JE20" s="7"/>
      <c r="JF20" s="7"/>
      <c r="JG20" s="21" t="s">
        <v>7</v>
      </c>
      <c r="JH20" s="21" t="s">
        <v>7</v>
      </c>
      <c r="JI20" s="21" t="s">
        <v>7</v>
      </c>
      <c r="JJ20" s="21" t="s">
        <v>7</v>
      </c>
      <c r="JK20" s="21" t="s">
        <v>7</v>
      </c>
      <c r="JL20" s="7"/>
      <c r="JM20" s="7"/>
      <c r="JN20" s="21" t="s">
        <v>7</v>
      </c>
      <c r="JO20" s="21" t="s">
        <v>7</v>
      </c>
      <c r="JP20" s="21" t="s">
        <v>7</v>
      </c>
      <c r="JQ20" s="21" t="s">
        <v>7</v>
      </c>
      <c r="JR20" s="21" t="s">
        <v>7</v>
      </c>
      <c r="JS20" s="7"/>
      <c r="JT20" s="7"/>
      <c r="JU20" s="21" t="s">
        <v>7</v>
      </c>
      <c r="JV20" s="21" t="s">
        <v>7</v>
      </c>
      <c r="JW20" s="8"/>
      <c r="JX20" s="8"/>
      <c r="JY20" s="8"/>
      <c r="JZ20" s="87"/>
      <c r="KA20" s="83"/>
      <c r="KB20" s="26"/>
      <c r="KC20" s="8"/>
      <c r="KD20" s="8"/>
      <c r="KE20" s="8"/>
      <c r="KF20" s="8"/>
      <c r="KG20" s="7"/>
      <c r="KH20" s="7"/>
      <c r="KI20" s="8"/>
      <c r="KJ20" s="8"/>
      <c r="KK20" s="8"/>
      <c r="KL20" s="8"/>
      <c r="KM20" s="8"/>
      <c r="KN20" s="7"/>
      <c r="KO20" s="7"/>
      <c r="KP20" s="8"/>
      <c r="KQ20" s="8"/>
      <c r="KR20" s="8"/>
      <c r="KS20" s="8"/>
      <c r="KT20" s="8"/>
      <c r="KU20" s="7"/>
      <c r="KV20" s="7"/>
      <c r="KW20" s="8"/>
      <c r="KX20" s="8"/>
      <c r="KY20" s="8"/>
      <c r="KZ20" s="8"/>
      <c r="LA20" s="8"/>
      <c r="LB20" s="7"/>
      <c r="LC20" s="7"/>
      <c r="LD20" s="8"/>
      <c r="LE20" s="58"/>
      <c r="LF20" s="143"/>
      <c r="LG20" s="144"/>
      <c r="LH20" s="144"/>
      <c r="LI20" s="145"/>
      <c r="LJ20" s="145"/>
      <c r="LK20" s="144"/>
      <c r="LL20" s="144"/>
      <c r="LM20" s="144"/>
      <c r="LN20" s="144"/>
      <c r="LO20" s="144"/>
      <c r="LP20" s="145"/>
      <c r="LQ20" s="145"/>
      <c r="LR20" s="144"/>
      <c r="LS20" s="144"/>
      <c r="LT20" s="144"/>
      <c r="LU20" s="144"/>
      <c r="LV20" s="144"/>
      <c r="LW20" s="145"/>
      <c r="LX20" s="145"/>
      <c r="LY20" s="144"/>
      <c r="LZ20" s="144"/>
      <c r="MA20" s="144"/>
      <c r="MB20" s="144"/>
      <c r="MC20" s="144"/>
      <c r="MD20" s="145"/>
      <c r="ME20" s="145"/>
      <c r="MF20" s="144"/>
      <c r="MG20" s="146"/>
      <c r="MH20" s="28"/>
      <c r="MI20" s="8"/>
      <c r="MJ20" s="8"/>
      <c r="MK20" s="7"/>
      <c r="ML20" s="7"/>
      <c r="MM20" s="8"/>
      <c r="MN20" s="8"/>
      <c r="MO20" s="8"/>
      <c r="MP20" s="8"/>
      <c r="MQ20" s="8"/>
      <c r="MR20" s="7"/>
      <c r="MS20" s="7"/>
      <c r="MT20" s="8"/>
      <c r="MU20" s="8"/>
      <c r="MV20" s="8"/>
      <c r="MW20" s="8"/>
      <c r="MX20" s="8"/>
      <c r="MY20" s="7"/>
      <c r="MZ20" s="7"/>
      <c r="NA20" s="8"/>
      <c r="NB20" s="8"/>
      <c r="NC20" s="8"/>
      <c r="ND20" s="8"/>
      <c r="NE20" s="8"/>
      <c r="NF20" s="7"/>
      <c r="NG20" s="7"/>
      <c r="NH20" s="8"/>
      <c r="NI20" s="8"/>
      <c r="NJ20" s="8"/>
      <c r="NK20" s="8"/>
      <c r="NL20" s="84"/>
    </row>
    <row r="21" spans="1:376" customFormat="1" ht="15.75" customHeight="1" thickBot="1">
      <c r="A21" s="1"/>
      <c r="B21" s="29" t="s">
        <v>90</v>
      </c>
      <c r="C21" s="29" t="s">
        <v>30</v>
      </c>
      <c r="D21" s="29" t="s">
        <v>31</v>
      </c>
      <c r="E21" s="37">
        <v>0</v>
      </c>
      <c r="F21" s="29">
        <v>23</v>
      </c>
      <c r="G21" s="29">
        <v>3</v>
      </c>
      <c r="H21" s="29">
        <f t="shared" si="0"/>
        <v>3</v>
      </c>
      <c r="I21" s="30">
        <f t="shared" si="1"/>
        <v>2</v>
      </c>
      <c r="J21" s="30">
        <f t="shared" si="2"/>
        <v>0</v>
      </c>
      <c r="K21" s="71">
        <f t="shared" si="3"/>
        <v>0</v>
      </c>
      <c r="L21" s="78"/>
      <c r="M21" s="7"/>
      <c r="N21" s="7"/>
      <c r="O21" s="8"/>
      <c r="P21" s="8"/>
      <c r="Q21" s="8"/>
      <c r="R21" s="8"/>
      <c r="S21" s="8"/>
      <c r="T21" s="7"/>
      <c r="U21" s="7"/>
      <c r="V21" s="8"/>
      <c r="W21" s="8"/>
      <c r="X21" s="8"/>
      <c r="Y21" s="8"/>
      <c r="Z21" s="26"/>
      <c r="AA21" s="7"/>
      <c r="AB21" s="7"/>
      <c r="AC21" s="8"/>
      <c r="AD21" s="8"/>
      <c r="AE21" s="8"/>
      <c r="AF21" s="8"/>
      <c r="AG21" s="8"/>
      <c r="AH21" s="7"/>
      <c r="AI21" s="7"/>
      <c r="AJ21" s="8"/>
      <c r="AK21" s="8"/>
      <c r="AL21" s="8"/>
      <c r="AM21" s="8"/>
      <c r="AN21" s="8"/>
      <c r="AO21" s="87"/>
      <c r="AP21" s="83"/>
      <c r="AQ21" s="8"/>
      <c r="AR21" s="8"/>
      <c r="AS21" s="8"/>
      <c r="AT21" s="8"/>
      <c r="AU21" s="8"/>
      <c r="AV21" s="7"/>
      <c r="AW21" s="7"/>
      <c r="AX21" s="8"/>
      <c r="AY21" s="8"/>
      <c r="AZ21" s="8"/>
      <c r="BA21" s="8"/>
      <c r="BB21" s="8"/>
      <c r="BC21" s="7"/>
      <c r="BD21" s="7"/>
      <c r="BE21" s="8"/>
      <c r="BF21" s="8"/>
      <c r="BG21" s="8"/>
      <c r="BH21" s="8"/>
      <c r="BI21" s="8"/>
      <c r="BJ21" s="7"/>
      <c r="BK21" s="7"/>
      <c r="BL21" s="8"/>
      <c r="BM21" s="8"/>
      <c r="BN21" s="8"/>
      <c r="BO21" s="8"/>
      <c r="BP21" s="8"/>
      <c r="BQ21" s="7"/>
      <c r="BR21" s="7"/>
      <c r="BS21" s="8"/>
      <c r="BT21" s="58"/>
      <c r="BU21" s="78"/>
      <c r="BV21" s="8"/>
      <c r="BW21" s="8"/>
      <c r="BX21" s="7"/>
      <c r="BY21" s="7"/>
      <c r="BZ21" s="8"/>
      <c r="CA21" s="8"/>
      <c r="CB21" s="8"/>
      <c r="CC21" s="8"/>
      <c r="CD21" s="8"/>
      <c r="CE21" s="7"/>
      <c r="CF21" s="7"/>
      <c r="CG21" s="8"/>
      <c r="CH21" s="8"/>
      <c r="CI21" s="8"/>
      <c r="CJ21" s="8"/>
      <c r="CK21" s="8"/>
      <c r="CL21" s="7"/>
      <c r="CM21" s="7"/>
      <c r="CN21" s="8"/>
      <c r="CO21" s="26"/>
      <c r="CP21" s="8"/>
      <c r="CQ21" s="8"/>
      <c r="CR21" s="8"/>
      <c r="CS21" s="7"/>
      <c r="CT21" s="7"/>
      <c r="CU21" s="26"/>
      <c r="CV21" s="8"/>
      <c r="CW21" s="8"/>
      <c r="CX21" s="58"/>
      <c r="CY21" s="78"/>
      <c r="CZ21" s="7"/>
      <c r="DA21" s="7"/>
      <c r="DB21" s="8"/>
      <c r="DC21" s="8"/>
      <c r="DD21" s="8"/>
      <c r="DE21" s="8"/>
      <c r="DF21" s="8"/>
      <c r="DG21" s="7"/>
      <c r="DH21" s="7"/>
      <c r="DI21" s="15" t="s">
        <v>1</v>
      </c>
      <c r="DJ21" s="15" t="s">
        <v>1</v>
      </c>
      <c r="DK21" s="15" t="s">
        <v>1</v>
      </c>
      <c r="DL21" s="15" t="s">
        <v>1</v>
      </c>
      <c r="DM21" s="15" t="s">
        <v>1</v>
      </c>
      <c r="DN21" s="7"/>
      <c r="DO21" s="7"/>
      <c r="DP21" s="8"/>
      <c r="DQ21" s="8"/>
      <c r="DR21" s="8"/>
      <c r="DS21" s="8"/>
      <c r="DT21" s="8"/>
      <c r="DU21" s="7"/>
      <c r="DV21" s="7"/>
      <c r="DW21" s="8"/>
      <c r="DX21" s="8"/>
      <c r="DY21" s="8"/>
      <c r="DZ21" s="8"/>
      <c r="EA21" s="8"/>
      <c r="EB21" s="7"/>
      <c r="EC21" s="87"/>
      <c r="ED21" s="78"/>
      <c r="EE21" s="8"/>
      <c r="EF21" s="8"/>
      <c r="EG21" s="8"/>
      <c r="EH21" s="8"/>
      <c r="EI21" s="7"/>
      <c r="EJ21" s="7"/>
      <c r="EK21" s="8"/>
      <c r="EL21" s="8"/>
      <c r="EM21" s="8"/>
      <c r="EN21" s="8"/>
      <c r="EO21" s="8"/>
      <c r="EP21" s="7"/>
      <c r="EQ21" s="7"/>
      <c r="ER21" s="26"/>
      <c r="ES21" s="8"/>
      <c r="ET21" s="8"/>
      <c r="EU21" s="8"/>
      <c r="EV21" s="8"/>
      <c r="EW21" s="7"/>
      <c r="EX21" s="7"/>
      <c r="EY21" s="8"/>
      <c r="EZ21" s="8"/>
      <c r="FA21" s="8"/>
      <c r="FB21" s="8"/>
      <c r="FC21" s="8"/>
      <c r="FD21" s="7"/>
      <c r="FE21" s="7"/>
      <c r="FF21" s="8"/>
      <c r="FG21" s="8"/>
      <c r="FH21" s="58"/>
      <c r="FI21" s="78"/>
      <c r="FJ21" s="8"/>
      <c r="FK21" s="7"/>
      <c r="FL21" s="7"/>
      <c r="FM21" s="8"/>
      <c r="FN21" s="8"/>
      <c r="FO21" s="8"/>
      <c r="FP21" s="8"/>
      <c r="FQ21" s="8"/>
      <c r="FR21" s="7"/>
      <c r="FS21" s="7"/>
      <c r="FT21" s="8"/>
      <c r="FU21" s="8"/>
      <c r="FV21" s="58"/>
      <c r="FW21" s="61"/>
      <c r="FX21" s="60"/>
      <c r="FY21" s="55"/>
      <c r="FZ21" s="7"/>
      <c r="GA21" s="26"/>
      <c r="GB21" s="17" t="s">
        <v>3</v>
      </c>
      <c r="GC21" s="8"/>
      <c r="GD21" s="8"/>
      <c r="GE21" s="8"/>
      <c r="GF21" s="7"/>
      <c r="GG21" s="7"/>
      <c r="GH21" s="8"/>
      <c r="GI21" s="8"/>
      <c r="GJ21" s="8"/>
      <c r="GK21" s="8"/>
      <c r="GL21" s="58"/>
      <c r="GM21" s="83"/>
      <c r="GN21" s="7"/>
      <c r="GO21" s="8"/>
      <c r="GP21" s="8"/>
      <c r="GQ21" s="8"/>
      <c r="GR21" s="8"/>
      <c r="GS21" s="8"/>
      <c r="GT21" s="7"/>
      <c r="GU21" s="7"/>
      <c r="GV21" s="26"/>
      <c r="GW21" s="8"/>
      <c r="GX21" s="8"/>
      <c r="GY21" s="8"/>
      <c r="GZ21" s="8"/>
      <c r="HA21" s="7"/>
      <c r="HB21" s="7"/>
      <c r="HC21" s="8"/>
      <c r="HD21" s="8"/>
      <c r="HE21" s="8"/>
      <c r="HF21" s="8"/>
      <c r="HG21" s="8"/>
      <c r="HH21" s="7"/>
      <c r="HI21" s="7"/>
      <c r="HJ21" s="8"/>
      <c r="HK21" s="8"/>
      <c r="HL21" s="8"/>
      <c r="HM21" s="8"/>
      <c r="HN21" s="8"/>
      <c r="HO21" s="7"/>
      <c r="HP21" s="7"/>
      <c r="HQ21" s="106"/>
      <c r="HR21" s="104"/>
      <c r="HS21" s="8"/>
      <c r="HT21" s="8"/>
      <c r="HU21" s="8"/>
      <c r="HV21" s="7"/>
      <c r="HW21" s="7"/>
      <c r="HX21" s="8"/>
      <c r="HY21" s="8"/>
      <c r="HZ21" s="8"/>
      <c r="IA21" s="8"/>
      <c r="IB21" s="8"/>
      <c r="IC21" s="7"/>
      <c r="ID21" s="7"/>
      <c r="IE21" s="8"/>
      <c r="IF21" s="8"/>
      <c r="IG21" s="8"/>
      <c r="IH21" s="8"/>
      <c r="II21" s="8"/>
      <c r="IJ21" s="7"/>
      <c r="IK21" s="7"/>
      <c r="IL21" s="8"/>
      <c r="IM21" s="8"/>
      <c r="IN21" s="8"/>
      <c r="IO21" s="8"/>
      <c r="IP21" s="8"/>
      <c r="IQ21" s="7"/>
      <c r="IR21" s="7"/>
      <c r="IS21" s="8"/>
      <c r="IT21" s="8"/>
      <c r="IU21" s="58"/>
      <c r="IV21" s="78"/>
      <c r="IW21" s="8"/>
      <c r="IX21" s="7"/>
      <c r="IY21" s="7"/>
      <c r="IZ21" s="8"/>
      <c r="JA21" s="8"/>
      <c r="JB21" s="8"/>
      <c r="JC21" s="26"/>
      <c r="JD21" s="8"/>
      <c r="JE21" s="7"/>
      <c r="JF21" s="7"/>
      <c r="JG21" s="8"/>
      <c r="JH21" s="8"/>
      <c r="JI21" s="8"/>
      <c r="JJ21" s="8"/>
      <c r="JK21" s="8"/>
      <c r="JL21" s="7"/>
      <c r="JM21" s="7"/>
      <c r="JN21" s="8"/>
      <c r="JO21" s="8"/>
      <c r="JP21" s="8"/>
      <c r="JQ21" s="8"/>
      <c r="JR21" s="8"/>
      <c r="JS21" s="7"/>
      <c r="JT21" s="7"/>
      <c r="JU21" s="8"/>
      <c r="JV21" s="8"/>
      <c r="JW21" s="8"/>
      <c r="JX21" s="8"/>
      <c r="JY21" s="8"/>
      <c r="JZ21" s="87"/>
      <c r="KA21" s="83"/>
      <c r="KB21" s="26"/>
      <c r="KC21" s="8"/>
      <c r="KD21" s="8"/>
      <c r="KE21" s="8"/>
      <c r="KF21" s="8"/>
      <c r="KG21" s="7"/>
      <c r="KH21" s="7"/>
      <c r="KI21" s="8"/>
      <c r="KJ21" s="8"/>
      <c r="KK21" s="8"/>
      <c r="KL21" s="8"/>
      <c r="KM21" s="8"/>
      <c r="KN21" s="7"/>
      <c r="KO21" s="7"/>
      <c r="KP21" s="8"/>
      <c r="KQ21" s="8"/>
      <c r="KR21" s="8"/>
      <c r="KS21" s="8"/>
      <c r="KT21" s="8"/>
      <c r="KU21" s="7"/>
      <c r="KV21" s="7"/>
      <c r="KW21" s="15" t="s">
        <v>1</v>
      </c>
      <c r="KX21" s="15" t="s">
        <v>1</v>
      </c>
      <c r="KY21" s="15" t="s">
        <v>1</v>
      </c>
      <c r="KZ21" s="15" t="s">
        <v>1</v>
      </c>
      <c r="LA21" s="15" t="s">
        <v>1</v>
      </c>
      <c r="LB21" s="7"/>
      <c r="LC21" s="7"/>
      <c r="LD21" s="8"/>
      <c r="LE21" s="58"/>
      <c r="LF21" s="147"/>
      <c r="LG21" s="8"/>
      <c r="LH21" s="8"/>
      <c r="LI21" s="7"/>
      <c r="LJ21" s="7"/>
      <c r="LK21" s="8"/>
      <c r="LL21" s="8"/>
      <c r="LM21" s="8"/>
      <c r="LN21" s="8"/>
      <c r="LO21" s="8"/>
      <c r="LP21" s="7"/>
      <c r="LQ21" s="7"/>
      <c r="LR21" s="171" t="s">
        <v>1</v>
      </c>
      <c r="LS21" s="171" t="s">
        <v>1</v>
      </c>
      <c r="LT21" s="171" t="s">
        <v>1</v>
      </c>
      <c r="LU21" s="171" t="s">
        <v>1</v>
      </c>
      <c r="LV21" s="171" t="s">
        <v>1</v>
      </c>
      <c r="LW21" s="7"/>
      <c r="LX21" s="7"/>
      <c r="LY21" s="171" t="s">
        <v>1</v>
      </c>
      <c r="LZ21" s="171" t="s">
        <v>1</v>
      </c>
      <c r="MA21" s="171" t="s">
        <v>1</v>
      </c>
      <c r="MB21" s="171" t="s">
        <v>1</v>
      </c>
      <c r="MC21" s="171" t="s">
        <v>1</v>
      </c>
      <c r="MD21" s="7"/>
      <c r="ME21" s="7"/>
      <c r="MF21" s="8"/>
      <c r="MG21" s="148"/>
      <c r="MH21" s="28"/>
      <c r="MI21" s="8"/>
      <c r="MJ21" s="8"/>
      <c r="MK21" s="7"/>
      <c r="ML21" s="7"/>
      <c r="MM21" s="8"/>
      <c r="MN21" s="8"/>
      <c r="MO21" s="8"/>
      <c r="MP21" s="8"/>
      <c r="MQ21" s="8"/>
      <c r="MR21" s="7"/>
      <c r="MS21" s="7"/>
      <c r="MT21" s="8"/>
      <c r="MU21" s="8"/>
      <c r="MV21" s="8"/>
      <c r="MW21" s="8"/>
      <c r="MX21" s="8"/>
      <c r="MY21" s="7"/>
      <c r="MZ21" s="7"/>
      <c r="NA21" s="8"/>
      <c r="NB21" s="8"/>
      <c r="NC21" s="8"/>
      <c r="ND21" s="8"/>
      <c r="NE21" s="8"/>
      <c r="NF21" s="7"/>
      <c r="NG21" s="7"/>
      <c r="NH21" s="8"/>
      <c r="NI21" s="8"/>
      <c r="NJ21" s="8"/>
      <c r="NK21" s="8"/>
      <c r="NL21" s="84"/>
    </row>
    <row r="22" spans="1:376" customFormat="1" ht="15.75" hidden="1" customHeight="1" thickBot="1">
      <c r="A22" s="1"/>
      <c r="B22" s="29" t="s">
        <v>73</v>
      </c>
      <c r="C22" s="29" t="s">
        <v>30</v>
      </c>
      <c r="D22" s="29"/>
      <c r="E22" s="37">
        <v>0</v>
      </c>
      <c r="F22" s="29">
        <v>23</v>
      </c>
      <c r="G22" s="29">
        <v>0</v>
      </c>
      <c r="H22" s="29">
        <f t="shared" si="0"/>
        <v>18</v>
      </c>
      <c r="I22" s="30">
        <f t="shared" si="1"/>
        <v>0</v>
      </c>
      <c r="J22" s="30">
        <f t="shared" si="2"/>
        <v>0</v>
      </c>
      <c r="K22" s="71">
        <f t="shared" si="3"/>
        <v>0</v>
      </c>
      <c r="L22" s="78"/>
      <c r="M22" s="7"/>
      <c r="N22" s="7"/>
      <c r="O22" s="8"/>
      <c r="P22" s="8"/>
      <c r="Q22" s="8"/>
      <c r="R22" s="8"/>
      <c r="S22" s="8"/>
      <c r="T22" s="7"/>
      <c r="U22" s="7"/>
      <c r="V22" s="8"/>
      <c r="W22" s="8"/>
      <c r="X22" s="8"/>
      <c r="Y22" s="8"/>
      <c r="Z22" s="26"/>
      <c r="AA22" s="7"/>
      <c r="AB22" s="7"/>
      <c r="AC22" s="8"/>
      <c r="AD22" s="8"/>
      <c r="AE22" s="8"/>
      <c r="AF22" s="8"/>
      <c r="AG22" s="8"/>
      <c r="AH22" s="7"/>
      <c r="AI22" s="7"/>
      <c r="AJ22" s="8"/>
      <c r="AK22" s="8"/>
      <c r="AL22" s="8"/>
      <c r="AM22" s="8"/>
      <c r="AN22" s="8"/>
      <c r="AO22" s="87"/>
      <c r="AP22" s="83"/>
      <c r="AQ22" s="8"/>
      <c r="AR22" s="8"/>
      <c r="AS22" s="8"/>
      <c r="AT22" s="8"/>
      <c r="AU22" s="8"/>
      <c r="AV22" s="7"/>
      <c r="AW22" s="7"/>
      <c r="AX22" s="8"/>
      <c r="AY22" s="8"/>
      <c r="AZ22" s="8"/>
      <c r="BA22" s="8"/>
      <c r="BB22" s="8"/>
      <c r="BC22" s="7"/>
      <c r="BD22" s="7"/>
      <c r="BE22" s="8"/>
      <c r="BF22" s="8"/>
      <c r="BG22" s="8"/>
      <c r="BH22" s="8"/>
      <c r="BI22" s="8"/>
      <c r="BJ22" s="7"/>
      <c r="BK22" s="7"/>
      <c r="BL22" s="8"/>
      <c r="BM22" s="8"/>
      <c r="BN22" s="8"/>
      <c r="BO22" s="8"/>
      <c r="BP22" s="8"/>
      <c r="BQ22" s="7"/>
      <c r="BR22" s="7"/>
      <c r="BS22" s="8"/>
      <c r="BT22" s="58"/>
      <c r="BU22" s="78"/>
      <c r="BV22" s="8"/>
      <c r="BW22" s="8"/>
      <c r="BX22" s="7"/>
      <c r="BY22" s="7"/>
      <c r="BZ22" s="8"/>
      <c r="CA22" s="8"/>
      <c r="CB22" s="8"/>
      <c r="CC22" s="8"/>
      <c r="CD22" s="8"/>
      <c r="CE22" s="7"/>
      <c r="CF22" s="7"/>
      <c r="CG22" s="8"/>
      <c r="CH22" s="8"/>
      <c r="CI22" s="8"/>
      <c r="CJ22" s="8"/>
      <c r="CK22" s="8"/>
      <c r="CL22" s="7"/>
      <c r="CM22" s="7"/>
      <c r="CN22" s="8"/>
      <c r="CO22" s="26"/>
      <c r="CP22" s="8"/>
      <c r="CQ22" s="8"/>
      <c r="CR22" s="8"/>
      <c r="CS22" s="7"/>
      <c r="CT22" s="7"/>
      <c r="CU22" s="26"/>
      <c r="CV22" s="8"/>
      <c r="CW22" s="8"/>
      <c r="CX22" s="58"/>
      <c r="CY22" s="78"/>
      <c r="CZ22" s="7"/>
      <c r="DA22" s="7"/>
      <c r="DB22" s="8"/>
      <c r="DC22" s="8"/>
      <c r="DD22" s="8"/>
      <c r="DE22" s="8"/>
      <c r="DF22" s="8"/>
      <c r="DG22" s="7"/>
      <c r="DH22" s="7"/>
      <c r="DI22" s="8"/>
      <c r="DJ22" s="8"/>
      <c r="DK22" s="8"/>
      <c r="DL22" s="8"/>
      <c r="DM22" s="8"/>
      <c r="DN22" s="7"/>
      <c r="DO22" s="7"/>
      <c r="DP22" s="8"/>
      <c r="DQ22" s="8"/>
      <c r="DR22" s="8"/>
      <c r="DS22" s="8"/>
      <c r="DT22" s="8"/>
      <c r="DU22" s="7"/>
      <c r="DV22" s="7"/>
      <c r="DW22" s="8"/>
      <c r="DX22" s="8"/>
      <c r="DY22" s="8"/>
      <c r="DZ22" s="8"/>
      <c r="EA22" s="8"/>
      <c r="EB22" s="7"/>
      <c r="EC22" s="87"/>
      <c r="ED22" s="78"/>
      <c r="EE22" s="8"/>
      <c r="EF22" s="8"/>
      <c r="EG22" s="8"/>
      <c r="EH22" s="8"/>
      <c r="EI22" s="7"/>
      <c r="EJ22" s="7"/>
      <c r="EK22" s="15" t="s">
        <v>1</v>
      </c>
      <c r="EL22" s="15" t="s">
        <v>1</v>
      </c>
      <c r="EM22" s="15" t="s">
        <v>1</v>
      </c>
      <c r="EN22" s="15" t="s">
        <v>1</v>
      </c>
      <c r="EO22" s="15" t="s">
        <v>1</v>
      </c>
      <c r="EP22" s="7"/>
      <c r="EQ22" s="7"/>
      <c r="ER22" s="26"/>
      <c r="ES22" s="8"/>
      <c r="ET22" s="8"/>
      <c r="EU22" s="8"/>
      <c r="EV22" s="8"/>
      <c r="EW22" s="7"/>
      <c r="EX22" s="7"/>
      <c r="EY22" s="8"/>
      <c r="EZ22" s="8"/>
      <c r="FA22" s="8"/>
      <c r="FB22" s="8"/>
      <c r="FC22" s="8"/>
      <c r="FD22" s="7"/>
      <c r="FE22" s="7"/>
      <c r="FF22" s="8"/>
      <c r="FG22" s="8"/>
      <c r="FH22" s="58"/>
      <c r="FI22" s="78"/>
      <c r="FJ22" s="8"/>
      <c r="FK22" s="7"/>
      <c r="FL22" s="7"/>
      <c r="FM22" s="8"/>
      <c r="FN22" s="8"/>
      <c r="FO22" s="8"/>
      <c r="FP22" s="8"/>
      <c r="FQ22" s="8"/>
      <c r="FR22" s="7"/>
      <c r="FS22" s="7"/>
      <c r="FT22" s="8"/>
      <c r="FU22" s="8"/>
      <c r="FV22" s="8"/>
      <c r="FW22" s="61"/>
      <c r="FX22" s="26"/>
      <c r="FY22" s="7"/>
      <c r="FZ22" s="7"/>
      <c r="GA22" s="26"/>
      <c r="GB22" s="8"/>
      <c r="GC22" s="8"/>
      <c r="GD22" s="8"/>
      <c r="GE22" s="8"/>
      <c r="GF22" s="7"/>
      <c r="GG22" s="7"/>
      <c r="GH22" s="8"/>
      <c r="GI22" s="8"/>
      <c r="GJ22" s="8"/>
      <c r="GK22" s="8"/>
      <c r="GL22" s="58"/>
      <c r="GM22" s="83"/>
      <c r="GN22" s="7"/>
      <c r="GO22" s="8"/>
      <c r="GP22" s="8"/>
      <c r="GQ22" s="8"/>
      <c r="GR22" s="8"/>
      <c r="GS22" s="8"/>
      <c r="GT22" s="7"/>
      <c r="GU22" s="7"/>
      <c r="GV22" s="26"/>
      <c r="GW22" s="8"/>
      <c r="GX22" s="8"/>
      <c r="GY22" s="8"/>
      <c r="GZ22" s="8"/>
      <c r="HA22" s="7"/>
      <c r="HB22" s="7"/>
      <c r="HC22" s="8"/>
      <c r="HD22" s="8"/>
      <c r="HE22" s="8"/>
      <c r="HF22" s="8"/>
      <c r="HG22" s="8"/>
      <c r="HH22" s="7"/>
      <c r="HI22" s="7"/>
      <c r="HJ22" s="8"/>
      <c r="HK22" s="8"/>
      <c r="HL22" s="8"/>
      <c r="HM22" s="8"/>
      <c r="HN22" s="8"/>
      <c r="HO22" s="7"/>
      <c r="HP22" s="7"/>
      <c r="HQ22" s="106"/>
      <c r="HR22" s="104"/>
      <c r="HS22" s="8"/>
      <c r="HT22" s="8"/>
      <c r="HU22" s="8"/>
      <c r="HV22" s="7"/>
      <c r="HW22" s="7"/>
      <c r="HX22" s="8"/>
      <c r="HY22" s="8"/>
      <c r="HZ22" s="8"/>
      <c r="IA22" s="8"/>
      <c r="IB22" s="8"/>
      <c r="IC22" s="7"/>
      <c r="ID22" s="7"/>
      <c r="IE22" s="8"/>
      <c r="IF22" s="8"/>
      <c r="IG22" s="8"/>
      <c r="IH22" s="8"/>
      <c r="II22" s="8"/>
      <c r="IJ22" s="7"/>
      <c r="IK22" s="7"/>
      <c r="IL22" s="8"/>
      <c r="IM22" s="8"/>
      <c r="IN22" s="8"/>
      <c r="IO22" s="8"/>
      <c r="IP22" s="8"/>
      <c r="IQ22" s="7"/>
      <c r="IR22" s="7"/>
      <c r="IS22" s="45"/>
      <c r="IT22" s="45"/>
      <c r="IU22" s="45"/>
      <c r="IV22" s="45"/>
      <c r="IW22" s="45"/>
      <c r="IX22" s="45"/>
      <c r="IY22" s="45"/>
      <c r="IZ22" s="45"/>
      <c r="JA22" s="45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5"/>
      <c r="JP22" s="45"/>
      <c r="JQ22" s="45"/>
      <c r="JR22" s="45"/>
      <c r="JS22" s="45"/>
      <c r="JT22" s="45"/>
      <c r="JU22" s="45"/>
      <c r="JV22" s="45"/>
      <c r="JW22" s="45"/>
      <c r="JX22" s="45"/>
      <c r="JY22" s="45"/>
      <c r="JZ22" s="101"/>
      <c r="KA22" s="98"/>
      <c r="KB22" s="45"/>
      <c r="KC22" s="45"/>
      <c r="KD22" s="45"/>
      <c r="KE22" s="45"/>
      <c r="KF22" s="45"/>
      <c r="KG22" s="45"/>
      <c r="KH22" s="45"/>
      <c r="KI22" s="45"/>
      <c r="KJ22" s="45"/>
      <c r="KK22" s="45"/>
      <c r="KL22" s="45"/>
      <c r="KM22" s="45"/>
      <c r="KN22" s="45"/>
      <c r="KO22" s="45"/>
      <c r="KP22" s="45"/>
      <c r="KQ22" s="45"/>
      <c r="KR22" s="45"/>
      <c r="KS22" s="45"/>
      <c r="KT22" s="45"/>
      <c r="KU22" s="45"/>
      <c r="KV22" s="45"/>
      <c r="KW22" s="45"/>
      <c r="KX22" s="45"/>
      <c r="KY22" s="45"/>
      <c r="KZ22" s="45"/>
      <c r="LA22" s="45"/>
      <c r="LB22" s="45"/>
      <c r="LC22" s="45"/>
      <c r="LD22" s="45"/>
      <c r="LE22" s="101"/>
      <c r="LF22" s="154"/>
      <c r="LG22" s="155"/>
      <c r="LH22" s="155"/>
      <c r="LI22" s="155"/>
      <c r="LJ22" s="155"/>
      <c r="LK22" s="155"/>
      <c r="LL22" s="155"/>
      <c r="LM22" s="155"/>
      <c r="LN22" s="155"/>
      <c r="LO22" s="155"/>
      <c r="LP22" s="155"/>
      <c r="LQ22" s="155"/>
      <c r="LR22" s="155"/>
      <c r="LS22" s="155"/>
      <c r="LT22" s="155"/>
      <c r="LU22" s="155"/>
      <c r="LV22" s="155"/>
      <c r="LW22" s="155"/>
      <c r="LX22" s="155"/>
      <c r="LY22" s="155"/>
      <c r="LZ22" s="155"/>
      <c r="MA22" s="155"/>
      <c r="MB22" s="155"/>
      <c r="MC22" s="155"/>
      <c r="MD22" s="155"/>
      <c r="ME22" s="155"/>
      <c r="MF22" s="155"/>
      <c r="MG22" s="156"/>
      <c r="MH22" s="49"/>
      <c r="MI22" s="45"/>
      <c r="MJ22" s="45"/>
      <c r="MK22" s="45"/>
      <c r="ML22" s="45"/>
      <c r="MM22" s="45"/>
      <c r="MN22" s="45"/>
      <c r="MO22" s="45"/>
      <c r="MP22" s="45"/>
      <c r="MQ22" s="45"/>
      <c r="MR22" s="45"/>
      <c r="MS22" s="45"/>
      <c r="MT22" s="45"/>
      <c r="MU22" s="45"/>
      <c r="MV22" s="45"/>
      <c r="MW22" s="45"/>
      <c r="MX22" s="45"/>
      <c r="MY22" s="45"/>
      <c r="MZ22" s="45"/>
      <c r="NA22" s="45"/>
      <c r="NB22" s="45"/>
      <c r="NC22" s="45"/>
      <c r="ND22" s="45"/>
      <c r="NE22" s="45"/>
      <c r="NF22" s="45"/>
      <c r="NG22" s="45"/>
      <c r="NH22" s="45"/>
      <c r="NI22" s="45"/>
      <c r="NJ22" s="45"/>
      <c r="NK22" s="45"/>
      <c r="NL22" s="99"/>
    </row>
    <row r="23" spans="1:376" customFormat="1" ht="15.75" customHeight="1" thickBot="1">
      <c r="A23" s="1"/>
      <c r="B23" s="29" t="s">
        <v>51</v>
      </c>
      <c r="C23" s="29" t="s">
        <v>36</v>
      </c>
      <c r="D23" s="29" t="s">
        <v>31</v>
      </c>
      <c r="E23" s="37">
        <v>0</v>
      </c>
      <c r="F23" s="29">
        <v>23</v>
      </c>
      <c r="G23" s="29">
        <v>3</v>
      </c>
      <c r="H23" s="29">
        <f t="shared" si="0"/>
        <v>13</v>
      </c>
      <c r="I23" s="30">
        <f t="shared" si="1"/>
        <v>1</v>
      </c>
      <c r="J23" s="30">
        <f t="shared" si="2"/>
        <v>1</v>
      </c>
      <c r="K23" s="71">
        <f t="shared" si="3"/>
        <v>0</v>
      </c>
      <c r="L23" s="78"/>
      <c r="M23" s="7"/>
      <c r="N23" s="7"/>
      <c r="O23" s="8"/>
      <c r="P23" s="8"/>
      <c r="Q23" s="8"/>
      <c r="R23" s="8"/>
      <c r="S23" s="8"/>
      <c r="T23" s="7"/>
      <c r="U23" s="7"/>
      <c r="V23" s="8"/>
      <c r="W23" s="8"/>
      <c r="X23" s="8"/>
      <c r="Y23" s="8"/>
      <c r="Z23" s="26"/>
      <c r="AA23" s="7"/>
      <c r="AB23" s="7"/>
      <c r="AC23" s="8"/>
      <c r="AD23" s="8"/>
      <c r="AE23" s="8"/>
      <c r="AF23" s="8"/>
      <c r="AG23" s="8"/>
      <c r="AH23" s="7"/>
      <c r="AI23" s="7"/>
      <c r="AJ23" s="8"/>
      <c r="AK23" s="8"/>
      <c r="AL23" s="8"/>
      <c r="AM23" s="8"/>
      <c r="AN23" s="8"/>
      <c r="AO23" s="87"/>
      <c r="AP23" s="83"/>
      <c r="AQ23" s="8"/>
      <c r="AR23" s="8"/>
      <c r="AS23" s="8"/>
      <c r="AT23" s="8"/>
      <c r="AU23" s="8"/>
      <c r="AV23" s="7"/>
      <c r="AW23" s="7"/>
      <c r="AX23" s="8"/>
      <c r="AY23" s="8"/>
      <c r="AZ23" s="8"/>
      <c r="BA23" s="8"/>
      <c r="BB23" s="8"/>
      <c r="BC23" s="7"/>
      <c r="BD23" s="7"/>
      <c r="BE23" s="8"/>
      <c r="BF23" s="8"/>
      <c r="BG23" s="8"/>
      <c r="BH23" s="8"/>
      <c r="BI23" s="8"/>
      <c r="BJ23" s="7"/>
      <c r="BK23" s="7"/>
      <c r="BL23" s="8"/>
      <c r="BM23" s="8"/>
      <c r="BN23" s="8"/>
      <c r="BO23" s="8"/>
      <c r="BP23" s="8"/>
      <c r="BQ23" s="7"/>
      <c r="BR23" s="7"/>
      <c r="BS23" s="8"/>
      <c r="BT23" s="58"/>
      <c r="BU23" s="78"/>
      <c r="BV23" s="8"/>
      <c r="BW23" s="8"/>
      <c r="BX23" s="7"/>
      <c r="BY23" s="7"/>
      <c r="BZ23" s="8"/>
      <c r="CA23" s="8"/>
      <c r="CB23" s="8"/>
      <c r="CC23" s="8"/>
      <c r="CD23" s="8"/>
      <c r="CE23" s="7"/>
      <c r="CF23" s="7"/>
      <c r="CG23" s="8"/>
      <c r="CH23" s="8"/>
      <c r="CI23" s="8"/>
      <c r="CJ23" s="8"/>
      <c r="CK23" s="8"/>
      <c r="CL23" s="7"/>
      <c r="CM23" s="7"/>
      <c r="CN23" s="8"/>
      <c r="CO23" s="26"/>
      <c r="CP23" s="8"/>
      <c r="CQ23" s="8"/>
      <c r="CR23" s="8"/>
      <c r="CS23" s="7"/>
      <c r="CT23" s="7"/>
      <c r="CU23" s="26"/>
      <c r="CV23" s="8"/>
      <c r="CW23" s="8"/>
      <c r="CX23" s="58"/>
      <c r="CY23" s="78"/>
      <c r="CZ23" s="7"/>
      <c r="DA23" s="7"/>
      <c r="DB23" s="8"/>
      <c r="DC23" s="8"/>
      <c r="DD23" s="8"/>
      <c r="DE23" s="8"/>
      <c r="DF23" s="8"/>
      <c r="DG23" s="7"/>
      <c r="DH23" s="7"/>
      <c r="DI23" s="8"/>
      <c r="DJ23" s="8"/>
      <c r="DK23" s="8"/>
      <c r="DL23" s="8"/>
      <c r="DM23" s="8"/>
      <c r="DN23" s="7"/>
      <c r="DO23" s="7"/>
      <c r="DP23" s="8"/>
      <c r="DQ23" s="8"/>
      <c r="DR23" s="8"/>
      <c r="DS23" s="8"/>
      <c r="DT23" s="8"/>
      <c r="DU23" s="7"/>
      <c r="DV23" s="7"/>
      <c r="DW23" s="8"/>
      <c r="DX23" s="8"/>
      <c r="DY23" s="8"/>
      <c r="DZ23" s="8"/>
      <c r="EA23" s="8"/>
      <c r="EB23" s="7"/>
      <c r="EC23" s="87"/>
      <c r="ED23" s="78"/>
      <c r="EE23" s="8"/>
      <c r="EF23" s="8"/>
      <c r="EG23" s="8"/>
      <c r="EH23" s="8"/>
      <c r="EI23" s="7"/>
      <c r="EJ23" s="7"/>
      <c r="EK23" s="8"/>
      <c r="EL23" s="8"/>
      <c r="EM23" s="8"/>
      <c r="EN23" s="8"/>
      <c r="EO23" s="8"/>
      <c r="EP23" s="7"/>
      <c r="EQ23" s="7"/>
      <c r="ER23" s="26"/>
      <c r="ES23" s="8"/>
      <c r="ET23" s="8"/>
      <c r="EU23" s="8"/>
      <c r="EV23" s="8"/>
      <c r="EW23" s="7"/>
      <c r="EX23" s="7"/>
      <c r="EY23" s="8"/>
      <c r="EZ23" s="8"/>
      <c r="FA23" s="8"/>
      <c r="FB23" s="8"/>
      <c r="FC23" s="8"/>
      <c r="FD23" s="7"/>
      <c r="FE23" s="7"/>
      <c r="FF23" s="8"/>
      <c r="FG23" s="8"/>
      <c r="FH23" s="58"/>
      <c r="FI23" s="78"/>
      <c r="FJ23" s="8"/>
      <c r="FK23" s="7"/>
      <c r="FL23" s="7"/>
      <c r="FM23" s="8"/>
      <c r="FN23" s="8"/>
      <c r="FO23" s="8"/>
      <c r="FP23" s="8"/>
      <c r="FQ23" s="8"/>
      <c r="FR23" s="7"/>
      <c r="FS23" s="7"/>
      <c r="FT23" s="8"/>
      <c r="FU23" s="8"/>
      <c r="FV23" s="8"/>
      <c r="FW23" s="8"/>
      <c r="FX23" s="26"/>
      <c r="FY23" s="7"/>
      <c r="FZ23" s="7"/>
      <c r="GA23" s="26"/>
      <c r="GB23" s="8"/>
      <c r="GC23" s="8"/>
      <c r="GD23" s="8"/>
      <c r="GE23" s="8"/>
      <c r="GF23" s="7"/>
      <c r="GG23" s="7"/>
      <c r="GH23" s="8"/>
      <c r="GI23" s="8"/>
      <c r="GJ23" s="8"/>
      <c r="GK23" s="8"/>
      <c r="GL23" s="58"/>
      <c r="GM23" s="83"/>
      <c r="GN23" s="7"/>
      <c r="GO23" s="8"/>
      <c r="GP23" s="8"/>
      <c r="GQ23" s="8"/>
      <c r="GR23" s="8"/>
      <c r="GS23" s="8"/>
      <c r="GT23" s="7"/>
      <c r="GU23" s="7"/>
      <c r="GV23" s="26"/>
      <c r="GW23" s="8"/>
      <c r="GX23" s="8"/>
      <c r="GY23" s="8"/>
      <c r="GZ23" s="8"/>
      <c r="HA23" s="7"/>
      <c r="HB23" s="7"/>
      <c r="HC23" s="8"/>
      <c r="HD23" s="8"/>
      <c r="HE23" s="8"/>
      <c r="HF23" s="8"/>
      <c r="HG23" s="15" t="s">
        <v>3</v>
      </c>
      <c r="HH23" s="7"/>
      <c r="HI23" s="7"/>
      <c r="HJ23" s="15" t="s">
        <v>1</v>
      </c>
      <c r="HK23" s="15" t="s">
        <v>1</v>
      </c>
      <c r="HL23" s="15" t="s">
        <v>1</v>
      </c>
      <c r="HM23" s="15" t="s">
        <v>1</v>
      </c>
      <c r="HN23" s="15" t="s">
        <v>1</v>
      </c>
      <c r="HO23" s="7"/>
      <c r="HP23" s="7"/>
      <c r="HQ23" s="106"/>
      <c r="HR23" s="104"/>
      <c r="HS23" s="8"/>
      <c r="HT23" s="8"/>
      <c r="HU23" s="8"/>
      <c r="HV23" s="7"/>
      <c r="HW23" s="7"/>
      <c r="HX23" s="8"/>
      <c r="HY23" s="8"/>
      <c r="HZ23" s="8"/>
      <c r="IA23" s="8"/>
      <c r="IB23" s="8"/>
      <c r="IC23" s="7"/>
      <c r="ID23" s="7"/>
      <c r="IE23" s="8"/>
      <c r="IF23" s="8"/>
      <c r="IG23" s="8"/>
      <c r="IH23" s="8"/>
      <c r="II23" s="8"/>
      <c r="IJ23" s="7"/>
      <c r="IK23" s="7"/>
      <c r="IL23" s="8"/>
      <c r="IM23" s="8"/>
      <c r="IN23" s="8"/>
      <c r="IO23" s="8"/>
      <c r="IP23" s="8"/>
      <c r="IQ23" s="7"/>
      <c r="IR23" s="7"/>
      <c r="IS23" s="8"/>
      <c r="IT23" s="8"/>
      <c r="IU23" s="58"/>
      <c r="IV23" s="78"/>
      <c r="IW23" s="8"/>
      <c r="IX23" s="7"/>
      <c r="IY23" s="7"/>
      <c r="IZ23" s="8"/>
      <c r="JA23" s="8"/>
      <c r="JB23" s="8"/>
      <c r="JC23" s="26"/>
      <c r="JD23" s="8"/>
      <c r="JE23" s="7"/>
      <c r="JF23" s="7"/>
      <c r="JG23" s="8"/>
      <c r="JH23" s="8"/>
      <c r="JI23" s="8"/>
      <c r="JJ23" s="8"/>
      <c r="JK23" s="8"/>
      <c r="JL23" s="7"/>
      <c r="JM23" s="7"/>
      <c r="JN23" s="17" t="s">
        <v>3</v>
      </c>
      <c r="JO23" s="8"/>
      <c r="JP23" s="8"/>
      <c r="JQ23" s="8"/>
      <c r="JR23" s="8"/>
      <c r="JS23" s="7"/>
      <c r="JT23" s="7"/>
      <c r="JU23" s="8"/>
      <c r="JV23" s="8"/>
      <c r="JW23" s="8"/>
      <c r="JX23" s="8"/>
      <c r="JY23" s="8"/>
      <c r="JZ23" s="87"/>
      <c r="KA23" s="83"/>
      <c r="KB23" s="26"/>
      <c r="KC23" s="15" t="s">
        <v>1</v>
      </c>
      <c r="KD23" s="15" t="s">
        <v>1</v>
      </c>
      <c r="KE23" s="15" t="s">
        <v>1</v>
      </c>
      <c r="KF23" s="15" t="s">
        <v>1</v>
      </c>
      <c r="KG23" s="7"/>
      <c r="KH23" s="7"/>
      <c r="KI23" s="15" t="s">
        <v>1</v>
      </c>
      <c r="KJ23" s="8"/>
      <c r="KK23" s="8"/>
      <c r="KL23" s="8"/>
      <c r="KM23" s="67" t="s">
        <v>5</v>
      </c>
      <c r="KN23" s="7"/>
      <c r="KO23" s="7"/>
      <c r="KP23" s="8"/>
      <c r="KQ23" s="8"/>
      <c r="KR23" s="8"/>
      <c r="KS23" s="8"/>
      <c r="KT23" s="8"/>
      <c r="KU23" s="7"/>
      <c r="KV23" s="7"/>
      <c r="KW23" s="8"/>
      <c r="KX23" s="47">
        <v>4.5</v>
      </c>
      <c r="KY23" s="8"/>
      <c r="KZ23" s="8"/>
      <c r="LA23" s="8"/>
      <c r="LB23" s="7"/>
      <c r="LC23" s="7"/>
      <c r="LD23" s="8"/>
      <c r="LE23" s="58"/>
      <c r="LF23" s="134"/>
      <c r="LG23" s="61"/>
      <c r="LH23" s="61"/>
      <c r="LI23" s="135"/>
      <c r="LJ23" s="135"/>
      <c r="LK23" s="61"/>
      <c r="LL23" s="61"/>
      <c r="LM23" s="61"/>
      <c r="LN23" s="61"/>
      <c r="LO23" s="61"/>
      <c r="LP23" s="135"/>
      <c r="LQ23" s="135"/>
      <c r="LR23" s="61"/>
      <c r="LS23" s="61"/>
      <c r="LT23" s="61"/>
      <c r="LU23" s="61"/>
      <c r="LV23" s="61"/>
      <c r="LW23" s="135"/>
      <c r="LX23" s="135"/>
      <c r="LY23" s="61"/>
      <c r="LZ23" s="61"/>
      <c r="MA23" s="61"/>
      <c r="MB23" s="61"/>
      <c r="MC23" s="61"/>
      <c r="MD23" s="135"/>
      <c r="ME23" s="135"/>
      <c r="MF23" s="61"/>
      <c r="MG23" s="27"/>
      <c r="MH23" s="78"/>
      <c r="MI23" s="8"/>
      <c r="MJ23" s="8"/>
      <c r="MK23" s="7"/>
      <c r="ML23" s="7"/>
      <c r="MM23" s="8"/>
      <c r="MN23" s="8"/>
      <c r="MO23" s="8"/>
      <c r="MP23" s="8"/>
      <c r="MQ23" s="8"/>
      <c r="MR23" s="7"/>
      <c r="MS23" s="7"/>
      <c r="MT23" s="8"/>
      <c r="MU23" s="8"/>
      <c r="MV23" s="8"/>
      <c r="MW23" s="8"/>
      <c r="MX23" s="8"/>
      <c r="MY23" s="7"/>
      <c r="MZ23" s="7"/>
      <c r="NA23" s="8"/>
      <c r="NB23" s="8"/>
      <c r="NC23" s="8"/>
      <c r="ND23" s="8"/>
      <c r="NE23" s="8"/>
      <c r="NF23" s="7"/>
      <c r="NG23" s="7"/>
      <c r="NH23" s="8"/>
      <c r="NI23" s="8"/>
      <c r="NJ23" s="8"/>
      <c r="NK23" s="8"/>
      <c r="NL23" s="84"/>
    </row>
    <row r="24" spans="1:376" customFormat="1" ht="15.75" customHeight="1" thickBot="1">
      <c r="A24" s="1"/>
      <c r="B24" s="29" t="s">
        <v>91</v>
      </c>
      <c r="C24" s="29" t="s">
        <v>36</v>
      </c>
      <c r="D24" s="29" t="s">
        <v>43</v>
      </c>
      <c r="E24" s="37">
        <v>0</v>
      </c>
      <c r="F24" s="29">
        <v>23</v>
      </c>
      <c r="G24" s="29">
        <v>3</v>
      </c>
      <c r="H24" s="29">
        <f t="shared" si="0"/>
        <v>8</v>
      </c>
      <c r="I24" s="30">
        <f t="shared" si="1"/>
        <v>3</v>
      </c>
      <c r="J24" s="30">
        <f t="shared" si="2"/>
        <v>0</v>
      </c>
      <c r="K24" s="71">
        <f t="shared" si="3"/>
        <v>0</v>
      </c>
      <c r="L24" s="78"/>
      <c r="M24" s="7"/>
      <c r="N24" s="7"/>
      <c r="O24" s="8"/>
      <c r="P24" s="8"/>
      <c r="Q24" s="8"/>
      <c r="R24" s="8"/>
      <c r="S24" s="8"/>
      <c r="T24" s="7"/>
      <c r="U24" s="7"/>
      <c r="V24" s="8"/>
      <c r="W24" s="8"/>
      <c r="X24" s="8"/>
      <c r="Y24" s="8"/>
      <c r="Z24" s="26"/>
      <c r="AA24" s="7"/>
      <c r="AB24" s="7"/>
      <c r="AC24" s="8"/>
      <c r="AD24" s="8"/>
      <c r="AE24" s="8"/>
      <c r="AF24" s="8"/>
      <c r="AG24" s="8"/>
      <c r="AH24" s="7"/>
      <c r="AI24" s="7"/>
      <c r="AJ24" s="8"/>
      <c r="AK24" s="8"/>
      <c r="AL24" s="8"/>
      <c r="AM24" s="8"/>
      <c r="AN24" s="8"/>
      <c r="AO24" s="87"/>
      <c r="AP24" s="83"/>
      <c r="AQ24" s="8"/>
      <c r="AR24" s="8"/>
      <c r="AS24" s="8"/>
      <c r="AT24" s="8"/>
      <c r="AU24" s="8"/>
      <c r="AV24" s="7"/>
      <c r="AW24" s="7"/>
      <c r="AX24" s="8"/>
      <c r="AY24" s="8"/>
      <c r="AZ24" s="8"/>
      <c r="BA24" s="8"/>
      <c r="BB24" s="8"/>
      <c r="BC24" s="7"/>
      <c r="BD24" s="7"/>
      <c r="BE24" s="8"/>
      <c r="BF24" s="8"/>
      <c r="BG24" s="8"/>
      <c r="BH24" s="8"/>
      <c r="BI24" s="8"/>
      <c r="BJ24" s="7"/>
      <c r="BK24" s="7"/>
      <c r="BL24" s="8"/>
      <c r="BM24" s="8"/>
      <c r="BN24" s="8"/>
      <c r="BO24" s="8"/>
      <c r="BP24" s="8"/>
      <c r="BQ24" s="7"/>
      <c r="BR24" s="7"/>
      <c r="BS24" s="8"/>
      <c r="BT24" s="58"/>
      <c r="BU24" s="78"/>
      <c r="BV24" s="8"/>
      <c r="BW24" s="8"/>
      <c r="BX24" s="7"/>
      <c r="BY24" s="7"/>
      <c r="BZ24" s="8"/>
      <c r="CA24" s="8"/>
      <c r="CB24" s="8"/>
      <c r="CC24" s="8"/>
      <c r="CD24" s="8"/>
      <c r="CE24" s="7"/>
      <c r="CF24" s="7"/>
      <c r="CG24" s="8"/>
      <c r="CH24" s="8"/>
      <c r="CI24" s="8"/>
      <c r="CJ24" s="8"/>
      <c r="CK24" s="8"/>
      <c r="CL24" s="7"/>
      <c r="CM24" s="7"/>
      <c r="CN24" s="8"/>
      <c r="CO24" s="26"/>
      <c r="CP24" s="8"/>
      <c r="CQ24" s="8"/>
      <c r="CR24" s="8"/>
      <c r="CS24" s="7"/>
      <c r="CT24" s="7"/>
      <c r="CU24" s="26"/>
      <c r="CV24" s="8"/>
      <c r="CW24" s="8"/>
      <c r="CX24" s="58"/>
      <c r="CY24" s="78"/>
      <c r="CZ24" s="7"/>
      <c r="DA24" s="7"/>
      <c r="DB24" s="8"/>
      <c r="DC24" s="8"/>
      <c r="DD24" s="8"/>
      <c r="DE24" s="8"/>
      <c r="DF24" s="8"/>
      <c r="DG24" s="7"/>
      <c r="DH24" s="7"/>
      <c r="DI24" s="8"/>
      <c r="DJ24" s="8"/>
      <c r="DK24" s="8"/>
      <c r="DL24" s="8"/>
      <c r="DM24" s="8"/>
      <c r="DN24" s="7"/>
      <c r="DO24" s="7"/>
      <c r="DP24" s="8"/>
      <c r="DQ24" s="8"/>
      <c r="DR24" s="8"/>
      <c r="DS24" s="8"/>
      <c r="DT24" s="8"/>
      <c r="DU24" s="7"/>
      <c r="DV24" s="7"/>
      <c r="DW24" s="8"/>
      <c r="DX24" s="8"/>
      <c r="DY24" s="8"/>
      <c r="DZ24" s="8"/>
      <c r="EA24" s="8"/>
      <c r="EB24" s="7"/>
      <c r="EC24" s="87"/>
      <c r="ED24" s="78"/>
      <c r="EE24" s="8"/>
      <c r="EF24" s="8"/>
      <c r="EG24" s="8"/>
      <c r="EH24" s="8"/>
      <c r="EI24" s="7"/>
      <c r="EJ24" s="7"/>
      <c r="EK24" s="8"/>
      <c r="EL24" s="8"/>
      <c r="EM24" s="8"/>
      <c r="EN24" s="8"/>
      <c r="EO24" s="8"/>
      <c r="EP24" s="7"/>
      <c r="EQ24" s="7"/>
      <c r="ER24" s="26"/>
      <c r="ES24" s="8"/>
      <c r="ET24" s="8"/>
      <c r="EU24" s="8"/>
      <c r="EV24" s="8"/>
      <c r="EW24" s="7"/>
      <c r="EX24" s="7"/>
      <c r="EY24" s="8"/>
      <c r="EZ24" s="8"/>
      <c r="FA24" s="8"/>
      <c r="FB24" s="8"/>
      <c r="FC24" s="8"/>
      <c r="FD24" s="7"/>
      <c r="FE24" s="7"/>
      <c r="FF24" s="8"/>
      <c r="FG24" s="8"/>
      <c r="FH24" s="58"/>
      <c r="FI24" s="78"/>
      <c r="FJ24" s="8"/>
      <c r="FK24" s="7"/>
      <c r="FL24" s="7"/>
      <c r="FM24" s="8"/>
      <c r="FN24" s="8"/>
      <c r="FO24" s="8"/>
      <c r="FP24" s="8"/>
      <c r="FQ24" s="8"/>
      <c r="FR24" s="7"/>
      <c r="FS24" s="7"/>
      <c r="FT24" s="8"/>
      <c r="FU24" s="8"/>
      <c r="FV24" s="8"/>
      <c r="FW24" s="8"/>
      <c r="FX24" s="26"/>
      <c r="FY24" s="7"/>
      <c r="FZ24" s="7"/>
      <c r="GA24" s="26"/>
      <c r="GB24" s="8"/>
      <c r="GC24" s="8"/>
      <c r="GD24" s="8"/>
      <c r="GE24" s="8"/>
      <c r="GF24" s="7"/>
      <c r="GG24" s="7"/>
      <c r="GH24" s="8"/>
      <c r="GI24" s="8"/>
      <c r="GJ24" s="8"/>
      <c r="GK24" s="8"/>
      <c r="GL24" s="58"/>
      <c r="GM24" s="83"/>
      <c r="GN24" s="7"/>
      <c r="GO24" s="8"/>
      <c r="GP24" s="8"/>
      <c r="GQ24" s="8"/>
      <c r="GR24" s="8"/>
      <c r="GS24" s="8"/>
      <c r="GT24" s="7"/>
      <c r="GU24" s="7"/>
      <c r="GV24" s="26"/>
      <c r="GW24" s="8"/>
      <c r="GX24" s="8"/>
      <c r="GY24" s="8"/>
      <c r="GZ24" s="8"/>
      <c r="HA24" s="7"/>
      <c r="HB24" s="7"/>
      <c r="HC24" s="8"/>
      <c r="HD24" s="8"/>
      <c r="HE24" s="8"/>
      <c r="HF24" s="8"/>
      <c r="HG24" s="8"/>
      <c r="HH24" s="7"/>
      <c r="HI24" s="7"/>
      <c r="HJ24" s="8"/>
      <c r="HK24" s="8"/>
      <c r="HL24" s="8"/>
      <c r="HM24" s="8"/>
      <c r="HN24" s="8"/>
      <c r="HO24" s="7"/>
      <c r="HP24" s="7"/>
      <c r="HQ24" s="106"/>
      <c r="HR24" s="104"/>
      <c r="HS24" s="8"/>
      <c r="HT24" s="8"/>
      <c r="HU24" s="8"/>
      <c r="HV24" s="7"/>
      <c r="HW24" s="7"/>
      <c r="HX24" s="8"/>
      <c r="HY24" s="8"/>
      <c r="HZ24" s="8"/>
      <c r="IA24" s="8"/>
      <c r="IB24" s="8"/>
      <c r="IC24" s="7"/>
      <c r="ID24" s="7"/>
      <c r="IE24" s="8"/>
      <c r="IF24" s="8"/>
      <c r="IG24" s="8"/>
      <c r="IH24" s="8"/>
      <c r="II24" s="8"/>
      <c r="IJ24" s="7"/>
      <c r="IK24" s="7"/>
      <c r="IL24" s="8"/>
      <c r="IM24" s="8"/>
      <c r="IN24" s="8"/>
      <c r="IO24" s="8"/>
      <c r="IP24" s="8"/>
      <c r="IQ24" s="7"/>
      <c r="IR24" s="7"/>
      <c r="IS24" s="8"/>
      <c r="IT24" s="8"/>
      <c r="IU24" s="58"/>
      <c r="IV24" s="78"/>
      <c r="IW24" s="8"/>
      <c r="IX24" s="7"/>
      <c r="IY24" s="7"/>
      <c r="IZ24" s="8"/>
      <c r="JA24" s="8"/>
      <c r="JB24" s="8"/>
      <c r="JC24" s="26"/>
      <c r="JD24" s="8"/>
      <c r="JE24" s="7"/>
      <c r="JF24" s="7"/>
      <c r="JG24" s="8"/>
      <c r="JH24" s="8"/>
      <c r="JI24" s="8"/>
      <c r="JJ24" s="8"/>
      <c r="JK24" s="8"/>
      <c r="JL24" s="7"/>
      <c r="JM24" s="7"/>
      <c r="JN24" s="8"/>
      <c r="JO24" s="8"/>
      <c r="JP24" s="8"/>
      <c r="JQ24" s="8"/>
      <c r="JR24" s="8"/>
      <c r="JS24" s="7"/>
      <c r="JT24" s="7"/>
      <c r="JU24" s="8"/>
      <c r="JV24" s="8"/>
      <c r="JW24" s="8"/>
      <c r="JX24" s="8"/>
      <c r="JY24" s="8"/>
      <c r="JZ24" s="87"/>
      <c r="KA24" s="83"/>
      <c r="KB24" s="26"/>
      <c r="KC24" s="8"/>
      <c r="KD24" s="8"/>
      <c r="KE24" s="8"/>
      <c r="KF24" s="8"/>
      <c r="KG24" s="7"/>
      <c r="KH24" s="7"/>
      <c r="KI24" s="15" t="s">
        <v>1</v>
      </c>
      <c r="KJ24" s="15" t="s">
        <v>1</v>
      </c>
      <c r="KK24" s="15" t="s">
        <v>1</v>
      </c>
      <c r="KL24" s="15" t="s">
        <v>1</v>
      </c>
      <c r="KM24" s="15" t="s">
        <v>1</v>
      </c>
      <c r="KN24" s="7"/>
      <c r="KO24" s="7"/>
      <c r="KP24" s="15" t="s">
        <v>1</v>
      </c>
      <c r="KQ24" s="15" t="s">
        <v>1</v>
      </c>
      <c r="KR24" s="15" t="s">
        <v>1</v>
      </c>
      <c r="KS24" s="15" t="s">
        <v>1</v>
      </c>
      <c r="KT24" s="15" t="s">
        <v>1</v>
      </c>
      <c r="KU24" s="7"/>
      <c r="KV24" s="7"/>
      <c r="KW24" s="15" t="s">
        <v>1</v>
      </c>
      <c r="KX24" s="15" t="s">
        <v>1</v>
      </c>
      <c r="KY24" s="15" t="s">
        <v>1</v>
      </c>
      <c r="KZ24" s="15" t="s">
        <v>1</v>
      </c>
      <c r="LA24" s="15" t="s">
        <v>1</v>
      </c>
      <c r="LB24" s="7"/>
      <c r="LC24" s="7"/>
      <c r="LD24" s="8"/>
      <c r="LE24" s="58"/>
      <c r="LF24" s="78"/>
      <c r="LG24" s="8"/>
      <c r="LH24" s="8"/>
      <c r="LI24" s="7"/>
      <c r="LJ24" s="7"/>
      <c r="LK24" s="8"/>
      <c r="LL24" s="8"/>
      <c r="LM24" s="8"/>
      <c r="LN24" s="8"/>
      <c r="LO24" s="8"/>
      <c r="LP24" s="7"/>
      <c r="LQ24" s="7"/>
      <c r="LR24" s="8"/>
      <c r="LS24" s="8"/>
      <c r="LT24" s="8"/>
      <c r="LU24" s="8"/>
      <c r="LV24" s="8"/>
      <c r="LW24" s="7"/>
      <c r="LX24" s="7"/>
      <c r="LY24" s="8"/>
      <c r="LZ24" s="8"/>
      <c r="MA24" s="8"/>
      <c r="MB24" s="8"/>
      <c r="MC24" s="8"/>
      <c r="MD24" s="7"/>
      <c r="ME24" s="7"/>
      <c r="MF24" s="8"/>
      <c r="MG24" s="58"/>
      <c r="MH24" s="78"/>
      <c r="MI24" s="8"/>
      <c r="MJ24" s="8"/>
      <c r="MK24" s="7"/>
      <c r="ML24" s="7"/>
      <c r="MM24" s="8"/>
      <c r="MN24" s="8"/>
      <c r="MO24" s="8"/>
      <c r="MP24" s="8"/>
      <c r="MQ24" s="8"/>
      <c r="MR24" s="7"/>
      <c r="MS24" s="7"/>
      <c r="MT24" s="8"/>
      <c r="MU24" s="8"/>
      <c r="MV24" s="8"/>
      <c r="MW24" s="8"/>
      <c r="MX24" s="8"/>
      <c r="MY24" s="7"/>
      <c r="MZ24" s="7"/>
      <c r="NA24" s="8"/>
      <c r="NB24" s="8"/>
      <c r="NC24" s="8"/>
      <c r="ND24" s="8"/>
      <c r="NE24" s="8"/>
      <c r="NF24" s="7"/>
      <c r="NG24" s="7"/>
      <c r="NH24" s="8"/>
      <c r="NI24" s="8"/>
      <c r="NJ24" s="8"/>
      <c r="NK24" s="8"/>
      <c r="NL24" s="84"/>
    </row>
    <row r="25" spans="1:376" customFormat="1" ht="15.75" hidden="1" customHeight="1" thickBot="1">
      <c r="A25" s="1"/>
      <c r="B25" s="29" t="s">
        <v>75</v>
      </c>
      <c r="C25" s="29" t="s">
        <v>76</v>
      </c>
      <c r="D25" s="29"/>
      <c r="E25" s="37">
        <v>0</v>
      </c>
      <c r="F25" s="29">
        <v>23</v>
      </c>
      <c r="G25" s="29">
        <v>2</v>
      </c>
      <c r="H25" s="29">
        <f t="shared" si="0"/>
        <v>23</v>
      </c>
      <c r="I25" s="30">
        <f t="shared" si="1"/>
        <v>2</v>
      </c>
      <c r="J25" s="30">
        <f t="shared" si="2"/>
        <v>0</v>
      </c>
      <c r="K25" s="71">
        <f t="shared" si="3"/>
        <v>0</v>
      </c>
      <c r="L25" s="78"/>
      <c r="M25" s="7"/>
      <c r="N25" s="7"/>
      <c r="O25" s="8"/>
      <c r="P25" s="8"/>
      <c r="Q25" s="8"/>
      <c r="R25" s="8"/>
      <c r="S25" s="8"/>
      <c r="T25" s="7"/>
      <c r="U25" s="7"/>
      <c r="V25" s="8"/>
      <c r="W25" s="8"/>
      <c r="X25" s="8"/>
      <c r="Y25" s="8"/>
      <c r="Z25" s="26"/>
      <c r="AA25" s="7"/>
      <c r="AB25" s="7"/>
      <c r="AC25" s="8"/>
      <c r="AD25" s="8"/>
      <c r="AE25" s="8"/>
      <c r="AF25" s="8"/>
      <c r="AG25" s="8"/>
      <c r="AH25" s="7"/>
      <c r="AI25" s="7"/>
      <c r="AJ25" s="26"/>
      <c r="AK25" s="8"/>
      <c r="AL25" s="8"/>
      <c r="AM25" s="8"/>
      <c r="AN25" s="8"/>
      <c r="AO25" s="87"/>
      <c r="AP25" s="83"/>
      <c r="AQ25" s="8"/>
      <c r="AR25" s="8"/>
      <c r="AS25" s="8"/>
      <c r="AT25" s="8"/>
      <c r="AU25" s="8"/>
      <c r="AV25" s="7"/>
      <c r="AW25" s="7"/>
      <c r="AX25" s="8"/>
      <c r="AY25" s="8"/>
      <c r="AZ25" s="8"/>
      <c r="BA25" s="8"/>
      <c r="BB25" s="8"/>
      <c r="BC25" s="7"/>
      <c r="BD25" s="7"/>
      <c r="BE25" s="8"/>
      <c r="BF25" s="8"/>
      <c r="BG25" s="8"/>
      <c r="BH25" s="8"/>
      <c r="BI25" s="8"/>
      <c r="BJ25" s="7"/>
      <c r="BK25" s="7"/>
      <c r="BL25" s="8"/>
      <c r="BM25" s="8"/>
      <c r="BN25" s="8"/>
      <c r="BO25" s="8"/>
      <c r="BP25" s="8"/>
      <c r="BQ25" s="7"/>
      <c r="BR25" s="7"/>
      <c r="BS25" s="8"/>
      <c r="BT25" s="58"/>
      <c r="BU25" s="78"/>
      <c r="BV25" s="8"/>
      <c r="BW25" s="8"/>
      <c r="BX25" s="7"/>
      <c r="BY25" s="7"/>
      <c r="BZ25" s="8"/>
      <c r="CA25" s="8"/>
      <c r="CB25" s="8"/>
      <c r="CC25" s="8"/>
      <c r="CD25" s="8"/>
      <c r="CE25" s="7"/>
      <c r="CF25" s="7"/>
      <c r="CG25" s="8"/>
      <c r="CH25" s="8"/>
      <c r="CI25" s="8"/>
      <c r="CJ25" s="8"/>
      <c r="CK25" s="8"/>
      <c r="CL25" s="7"/>
      <c r="CM25" s="7"/>
      <c r="CN25" s="8"/>
      <c r="CO25" s="8"/>
      <c r="CP25" s="8"/>
      <c r="CQ25" s="8"/>
      <c r="CR25" s="8"/>
      <c r="CS25" s="7"/>
      <c r="CT25" s="7"/>
      <c r="CU25" s="8"/>
      <c r="CV25" s="8"/>
      <c r="CW25" s="8"/>
      <c r="CX25" s="58"/>
      <c r="CY25" s="9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100"/>
      <c r="ED25" s="9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100"/>
      <c r="FI25" s="9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100"/>
      <c r="GM25" s="9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100"/>
      <c r="HR25" s="9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100"/>
      <c r="IV25" s="9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100"/>
      <c r="KA25" s="9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100"/>
      <c r="LF25" s="93"/>
      <c r="LG25" s="53"/>
      <c r="LH25" s="53"/>
      <c r="LI25" s="53"/>
      <c r="LJ25" s="53"/>
      <c r="LK25" s="53"/>
      <c r="LL25" s="53"/>
      <c r="LM25" s="53"/>
      <c r="LN25" s="53"/>
      <c r="LO25" s="53"/>
      <c r="LP25" s="53"/>
      <c r="LQ25" s="53"/>
      <c r="LR25" s="53"/>
      <c r="LS25" s="53"/>
      <c r="LT25" s="53"/>
      <c r="LU25" s="53"/>
      <c r="LV25" s="53"/>
      <c r="LW25" s="53"/>
      <c r="LX25" s="53"/>
      <c r="LY25" s="53"/>
      <c r="LZ25" s="53"/>
      <c r="MA25" s="53"/>
      <c r="MB25" s="53"/>
      <c r="MC25" s="53"/>
      <c r="MD25" s="53"/>
      <c r="ME25" s="53"/>
      <c r="MF25" s="53"/>
      <c r="MG25" s="100"/>
      <c r="MH25" s="93"/>
      <c r="MI25" s="53"/>
      <c r="MJ25" s="53"/>
      <c r="MK25" s="53"/>
      <c r="ML25" s="53"/>
      <c r="MM25" s="53"/>
      <c r="MN25" s="53"/>
      <c r="MO25" s="53"/>
      <c r="MP25" s="53"/>
      <c r="MQ25" s="53"/>
      <c r="MR25" s="53"/>
      <c r="MS25" s="53"/>
      <c r="MT25" s="53"/>
      <c r="MU25" s="53"/>
      <c r="MV25" s="53"/>
      <c r="MW25" s="53"/>
      <c r="MX25" s="53"/>
      <c r="MY25" s="53"/>
      <c r="MZ25" s="53"/>
      <c r="NA25" s="53"/>
      <c r="NB25" s="53"/>
      <c r="NC25" s="53"/>
      <c r="ND25" s="53"/>
      <c r="NE25" s="53"/>
      <c r="NF25" s="53"/>
      <c r="NG25" s="53"/>
      <c r="NH25" s="53"/>
      <c r="NI25" s="53"/>
      <c r="NJ25" s="53"/>
      <c r="NK25" s="53"/>
      <c r="NL25" s="94"/>
    </row>
    <row r="26" spans="1:376" customFormat="1" ht="15.75" hidden="1" customHeight="1" thickBot="1">
      <c r="A26" s="1"/>
      <c r="B26" s="29" t="s">
        <v>77</v>
      </c>
      <c r="C26" s="29" t="s">
        <v>76</v>
      </c>
      <c r="D26" s="29"/>
      <c r="E26" s="37">
        <v>0</v>
      </c>
      <c r="F26" s="29">
        <v>23</v>
      </c>
      <c r="G26" s="29">
        <v>2</v>
      </c>
      <c r="H26" s="29">
        <f t="shared" si="0"/>
        <v>20</v>
      </c>
      <c r="I26" s="30">
        <f t="shared" si="1"/>
        <v>2</v>
      </c>
      <c r="J26" s="30">
        <f t="shared" si="2"/>
        <v>1</v>
      </c>
      <c r="K26" s="71">
        <f t="shared" si="3"/>
        <v>0</v>
      </c>
      <c r="L26" s="78"/>
      <c r="M26" s="7"/>
      <c r="N26" s="7"/>
      <c r="O26" s="8"/>
      <c r="P26" s="8"/>
      <c r="Q26" s="8"/>
      <c r="R26" s="15" t="s">
        <v>1</v>
      </c>
      <c r="S26" s="15" t="s">
        <v>1</v>
      </c>
      <c r="T26" s="7"/>
      <c r="U26" s="7"/>
      <c r="V26" s="15" t="s">
        <v>1</v>
      </c>
      <c r="W26" s="8"/>
      <c r="X26" s="8"/>
      <c r="Y26" s="8"/>
      <c r="Z26" s="26"/>
      <c r="AA26" s="7"/>
      <c r="AB26" s="7"/>
      <c r="AC26" s="8"/>
      <c r="AD26" s="8"/>
      <c r="AE26" s="8"/>
      <c r="AF26" s="8"/>
      <c r="AG26" s="8"/>
      <c r="AH26" s="7"/>
      <c r="AI26" s="7"/>
      <c r="AJ26" s="26"/>
      <c r="AK26" s="8"/>
      <c r="AL26" s="8"/>
      <c r="AM26" s="8"/>
      <c r="AN26" s="8"/>
      <c r="AO26" s="87"/>
      <c r="AP26" s="83"/>
      <c r="AQ26" s="8"/>
      <c r="AR26" s="8"/>
      <c r="AS26" s="8"/>
      <c r="AT26" s="8"/>
      <c r="AU26" s="8"/>
      <c r="AV26" s="7"/>
      <c r="AW26" s="7"/>
      <c r="AX26" s="8"/>
      <c r="AY26" s="8"/>
      <c r="AZ26" s="8"/>
      <c r="BA26" s="8"/>
      <c r="BB26" s="8"/>
      <c r="BC26" s="7"/>
      <c r="BD26" s="7"/>
      <c r="BE26" s="18" t="s">
        <v>5</v>
      </c>
      <c r="BF26" s="8"/>
      <c r="BG26" s="8"/>
      <c r="BH26" s="8"/>
      <c r="BI26" s="8"/>
      <c r="BJ26" s="7"/>
      <c r="BK26" s="7"/>
      <c r="BL26" s="8"/>
      <c r="BM26" s="8"/>
      <c r="BN26" s="8"/>
      <c r="BO26" s="8"/>
      <c r="BP26" s="8"/>
      <c r="BQ26" s="7"/>
      <c r="BR26" s="7"/>
      <c r="BS26" s="8"/>
      <c r="BT26" s="58"/>
      <c r="BU26" s="78"/>
      <c r="BV26" s="8"/>
      <c r="BW26" s="8"/>
      <c r="BX26" s="7"/>
      <c r="BY26" s="7"/>
      <c r="BZ26" s="8"/>
      <c r="CA26" s="8"/>
      <c r="CB26" s="8"/>
      <c r="CC26" s="8"/>
      <c r="CD26" s="8"/>
      <c r="CE26" s="7"/>
      <c r="CF26" s="7"/>
      <c r="CG26" s="8"/>
      <c r="CH26" s="8"/>
      <c r="CI26" s="8"/>
      <c r="CJ26" s="8"/>
      <c r="CK26" s="8"/>
      <c r="CL26" s="7"/>
      <c r="CM26" s="7"/>
      <c r="CN26" s="8"/>
      <c r="CO26" s="8"/>
      <c r="CP26" s="8"/>
      <c r="CQ26" s="8"/>
      <c r="CR26" s="8"/>
      <c r="CS26" s="7"/>
      <c r="CT26" s="7"/>
      <c r="CU26" s="8"/>
      <c r="CV26" s="8"/>
      <c r="CW26" s="8"/>
      <c r="CX26" s="58"/>
      <c r="CY26" s="9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100"/>
      <c r="ED26" s="9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100"/>
      <c r="FI26" s="9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100"/>
      <c r="GM26" s="9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100"/>
      <c r="HR26" s="9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100"/>
      <c r="IV26" s="9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100"/>
      <c r="KA26" s="9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100"/>
      <c r="LF26" s="124"/>
      <c r="LG26" s="64"/>
      <c r="LH26" s="64"/>
      <c r="LI26" s="64"/>
      <c r="LJ26" s="64"/>
      <c r="LK26" s="64"/>
      <c r="LL26" s="64"/>
      <c r="LM26" s="64"/>
      <c r="LN26" s="64"/>
      <c r="LO26" s="64"/>
      <c r="LP26" s="64"/>
      <c r="LQ26" s="64"/>
      <c r="LR26" s="64"/>
      <c r="LS26" s="64"/>
      <c r="LT26" s="64"/>
      <c r="LU26" s="64"/>
      <c r="LV26" s="64"/>
      <c r="LW26" s="64"/>
      <c r="LX26" s="64"/>
      <c r="LY26" s="64"/>
      <c r="LZ26" s="64"/>
      <c r="MA26" s="64"/>
      <c r="MB26" s="64"/>
      <c r="MC26" s="64"/>
      <c r="MD26" s="64"/>
      <c r="ME26" s="64"/>
      <c r="MF26" s="64"/>
      <c r="MG26" s="125"/>
      <c r="MH26" s="93"/>
      <c r="MI26" s="53"/>
      <c r="MJ26" s="53"/>
      <c r="MK26" s="53"/>
      <c r="ML26" s="53"/>
      <c r="MM26" s="53"/>
      <c r="MN26" s="53"/>
      <c r="MO26" s="53"/>
      <c r="MP26" s="53"/>
      <c r="MQ26" s="53"/>
      <c r="MR26" s="53"/>
      <c r="MS26" s="53"/>
      <c r="MT26" s="53"/>
      <c r="MU26" s="53"/>
      <c r="MV26" s="53"/>
      <c r="MW26" s="53"/>
      <c r="MX26" s="53"/>
      <c r="MY26" s="53"/>
      <c r="MZ26" s="53"/>
      <c r="NA26" s="53"/>
      <c r="NB26" s="53"/>
      <c r="NC26" s="53"/>
      <c r="ND26" s="53"/>
      <c r="NE26" s="53"/>
      <c r="NF26" s="53"/>
      <c r="NG26" s="53"/>
      <c r="NH26" s="53"/>
      <c r="NI26" s="53"/>
      <c r="NJ26" s="53"/>
      <c r="NK26" s="53"/>
      <c r="NL26" s="94"/>
    </row>
    <row r="27" spans="1:376" customFormat="1" ht="15.6" customHeight="1" thickBot="1">
      <c r="A27" s="1"/>
      <c r="B27" s="29" t="s">
        <v>37</v>
      </c>
      <c r="C27" s="29" t="s">
        <v>30</v>
      </c>
      <c r="D27" s="29" t="s">
        <v>38</v>
      </c>
      <c r="E27" s="37">
        <v>0</v>
      </c>
      <c r="F27" s="29">
        <v>23</v>
      </c>
      <c r="G27" s="29">
        <v>2</v>
      </c>
      <c r="H27" s="29">
        <f t="shared" si="0"/>
        <v>18</v>
      </c>
      <c r="I27" s="30">
        <f t="shared" ref="I27:I29" si="4">G27-COUNTIF(L27:NL27,$C$3)</f>
        <v>0</v>
      </c>
      <c r="J27" s="30">
        <f t="shared" ref="J27:J29" si="5">COUNTIF(K27:NI27,$C$4)</f>
        <v>3</v>
      </c>
      <c r="K27" s="71">
        <f t="shared" ref="K27:K29" si="6">COUNTIF(L27:NL27,$C$5)</f>
        <v>0</v>
      </c>
      <c r="L27" s="78"/>
      <c r="M27" s="7"/>
      <c r="N27" s="7"/>
      <c r="O27" s="8"/>
      <c r="P27" s="8"/>
      <c r="Q27" s="8"/>
      <c r="R27" s="8"/>
      <c r="S27" s="8"/>
      <c r="T27" s="7"/>
      <c r="U27" s="7"/>
      <c r="V27" s="8"/>
      <c r="W27" s="8"/>
      <c r="X27" s="8"/>
      <c r="Y27" s="8"/>
      <c r="Z27" s="26"/>
      <c r="AA27" s="7"/>
      <c r="AB27" s="7"/>
      <c r="AC27" s="8"/>
      <c r="AD27" s="8"/>
      <c r="AE27" s="8"/>
      <c r="AF27" s="8"/>
      <c r="AG27" s="8"/>
      <c r="AH27" s="7"/>
      <c r="AI27" s="7"/>
      <c r="AJ27" s="26"/>
      <c r="AK27" s="8"/>
      <c r="AL27" s="8"/>
      <c r="AM27" s="8"/>
      <c r="AN27" s="8"/>
      <c r="AO27" s="87"/>
      <c r="AP27" s="83"/>
      <c r="AQ27" s="8"/>
      <c r="AR27" s="8"/>
      <c r="AS27" s="8"/>
      <c r="AT27" s="8"/>
      <c r="AU27" s="8"/>
      <c r="AV27" s="7"/>
      <c r="AW27" s="7"/>
      <c r="AX27" s="8"/>
      <c r="AY27" s="8"/>
      <c r="AZ27" s="8"/>
      <c r="BA27" s="8"/>
      <c r="BB27" s="8"/>
      <c r="BC27" s="7"/>
      <c r="BD27" s="7"/>
      <c r="BE27" s="17" t="s">
        <v>3</v>
      </c>
      <c r="BF27" s="8"/>
      <c r="BG27" s="8"/>
      <c r="BH27" s="8"/>
      <c r="BI27" s="8"/>
      <c r="BJ27" s="7"/>
      <c r="BK27" s="7"/>
      <c r="BL27" s="8"/>
      <c r="BM27" s="8"/>
      <c r="BN27" s="8"/>
      <c r="BO27" s="8"/>
      <c r="BP27" s="8"/>
      <c r="BQ27" s="7"/>
      <c r="BR27" s="7"/>
      <c r="BS27" s="8"/>
      <c r="BT27" s="58"/>
      <c r="BU27" s="78"/>
      <c r="BV27" s="8"/>
      <c r="BW27" s="8"/>
      <c r="BX27" s="7"/>
      <c r="BY27" s="7"/>
      <c r="BZ27" s="8"/>
      <c r="CA27" s="8"/>
      <c r="CB27" s="8"/>
      <c r="CC27" s="8"/>
      <c r="CD27" s="8"/>
      <c r="CE27" s="7"/>
      <c r="CF27" s="7"/>
      <c r="CG27" s="8"/>
      <c r="CH27" s="8"/>
      <c r="CI27" s="8"/>
      <c r="CJ27" s="8"/>
      <c r="CK27" s="8"/>
      <c r="CL27" s="7"/>
      <c r="CM27" s="7"/>
      <c r="CN27" s="8"/>
      <c r="CO27" s="8"/>
      <c r="CP27" s="8"/>
      <c r="CQ27" s="8"/>
      <c r="CR27" s="8"/>
      <c r="CS27" s="7"/>
      <c r="CT27" s="7"/>
      <c r="CU27" s="8"/>
      <c r="CV27" s="8"/>
      <c r="CW27" s="8"/>
      <c r="CX27" s="58"/>
      <c r="CY27" s="95" t="s">
        <v>3</v>
      </c>
      <c r="CZ27" s="7"/>
      <c r="DA27" s="7"/>
      <c r="DB27" s="8"/>
      <c r="DC27" s="8"/>
      <c r="DD27" s="8"/>
      <c r="DE27" s="8"/>
      <c r="DF27" s="8"/>
      <c r="DG27" s="7"/>
      <c r="DH27" s="7"/>
      <c r="DI27" s="8"/>
      <c r="DJ27" s="8"/>
      <c r="DK27" s="8"/>
      <c r="DL27" s="8"/>
      <c r="DM27" s="8"/>
      <c r="DN27" s="7"/>
      <c r="DO27" s="7"/>
      <c r="DP27" s="8"/>
      <c r="DQ27" s="8"/>
      <c r="DR27" s="8"/>
      <c r="DS27" s="8"/>
      <c r="DT27" s="8"/>
      <c r="DU27" s="7"/>
      <c r="DV27" s="7"/>
      <c r="DW27" s="8"/>
      <c r="DX27" s="8"/>
      <c r="DY27" s="8"/>
      <c r="DZ27" s="8"/>
      <c r="EA27" s="8"/>
      <c r="EB27" s="7"/>
      <c r="EC27" s="87"/>
      <c r="ED27" s="78"/>
      <c r="EE27" s="8"/>
      <c r="EF27" s="8"/>
      <c r="EG27" s="8"/>
      <c r="EH27" s="8"/>
      <c r="EI27" s="7"/>
      <c r="EJ27" s="7"/>
      <c r="EK27" s="8"/>
      <c r="EL27" s="8"/>
      <c r="EM27" s="8"/>
      <c r="EN27" s="8"/>
      <c r="EO27" s="8"/>
      <c r="EP27" s="7"/>
      <c r="EQ27" s="7"/>
      <c r="ER27" s="26"/>
      <c r="ES27" s="8"/>
      <c r="ET27" s="8"/>
      <c r="EU27" s="8"/>
      <c r="EV27" s="8"/>
      <c r="EW27" s="7"/>
      <c r="EX27" s="7"/>
      <c r="EY27" s="8"/>
      <c r="EZ27" s="8"/>
      <c r="FA27" s="8"/>
      <c r="FB27" s="8"/>
      <c r="FC27" s="8"/>
      <c r="FD27" s="7"/>
      <c r="FE27" s="7"/>
      <c r="FF27" s="8"/>
      <c r="FG27" s="8"/>
      <c r="FH27" s="58"/>
      <c r="FI27" s="78"/>
      <c r="FJ27" s="8"/>
      <c r="FK27" s="7"/>
      <c r="FL27" s="7"/>
      <c r="FM27" s="8"/>
      <c r="FN27" s="8"/>
      <c r="FO27" s="8"/>
      <c r="FP27" s="8"/>
      <c r="FQ27" s="8"/>
      <c r="FR27" s="7"/>
      <c r="FS27" s="7"/>
      <c r="FT27" s="8"/>
      <c r="FU27" s="8"/>
      <c r="FV27" s="8"/>
      <c r="FW27" s="8"/>
      <c r="FX27" s="26"/>
      <c r="FY27" s="7"/>
      <c r="FZ27" s="7"/>
      <c r="GA27" s="8"/>
      <c r="GB27" s="8"/>
      <c r="GC27" s="8"/>
      <c r="GD27" s="8"/>
      <c r="GE27" s="8"/>
      <c r="GF27" s="7"/>
      <c r="GG27" s="7"/>
      <c r="GH27" s="8"/>
      <c r="GI27" s="8"/>
      <c r="GJ27" s="8"/>
      <c r="GK27" s="8"/>
      <c r="GL27" s="58"/>
      <c r="GM27" s="83"/>
      <c r="GN27" s="7"/>
      <c r="GO27" s="8"/>
      <c r="GP27" s="8"/>
      <c r="GQ27" s="8"/>
      <c r="GR27" s="8"/>
      <c r="GS27" s="8"/>
      <c r="GT27" s="7"/>
      <c r="GU27" s="7"/>
      <c r="GV27" s="8"/>
      <c r="GW27" s="8"/>
      <c r="GX27" s="8"/>
      <c r="GY27" s="8"/>
      <c r="GZ27" s="8"/>
      <c r="HA27" s="7"/>
      <c r="HB27" s="7"/>
      <c r="HC27" s="8"/>
      <c r="HD27" s="8"/>
      <c r="HE27" s="8"/>
      <c r="HF27" s="8"/>
      <c r="HG27" s="8"/>
      <c r="HH27" s="7"/>
      <c r="HI27" s="7"/>
      <c r="HJ27" s="8"/>
      <c r="HK27" s="8"/>
      <c r="HL27" s="8"/>
      <c r="HM27" s="8"/>
      <c r="HN27" s="8"/>
      <c r="HO27" s="7"/>
      <c r="HP27" s="7"/>
      <c r="HQ27" s="106"/>
      <c r="HR27" s="104"/>
      <c r="HS27" s="8"/>
      <c r="HT27" s="8"/>
      <c r="HU27" s="8"/>
      <c r="HV27" s="7"/>
      <c r="HW27" s="7"/>
      <c r="HX27" s="8"/>
      <c r="HY27" s="8"/>
      <c r="HZ27" s="8"/>
      <c r="IA27" s="8"/>
      <c r="IB27" s="8"/>
      <c r="IC27" s="7"/>
      <c r="ID27" s="7"/>
      <c r="IE27" s="8"/>
      <c r="IF27" s="8"/>
      <c r="IG27" s="8"/>
      <c r="IH27" s="8"/>
      <c r="II27" s="8"/>
      <c r="IJ27" s="7"/>
      <c r="IK27" s="7"/>
      <c r="IL27" s="8"/>
      <c r="IM27" s="8"/>
      <c r="IN27" s="8"/>
      <c r="IO27" s="8"/>
      <c r="IP27" s="8"/>
      <c r="IQ27" s="7"/>
      <c r="IR27" s="7"/>
      <c r="IS27" s="8"/>
      <c r="IT27" s="8"/>
      <c r="IU27" s="58"/>
      <c r="IV27" s="78"/>
      <c r="IW27" s="8"/>
      <c r="IX27" s="7"/>
      <c r="IY27" s="7"/>
      <c r="IZ27" s="8"/>
      <c r="JA27" s="8"/>
      <c r="JB27" s="8"/>
      <c r="JC27" s="26"/>
      <c r="JD27" s="8"/>
      <c r="JE27" s="7"/>
      <c r="JF27" s="7"/>
      <c r="JG27" s="15" t="s">
        <v>1</v>
      </c>
      <c r="JH27" s="15" t="s">
        <v>1</v>
      </c>
      <c r="JI27" s="15" t="s">
        <v>1</v>
      </c>
      <c r="JJ27" s="15" t="s">
        <v>1</v>
      </c>
      <c r="JK27" s="15" t="s">
        <v>1</v>
      </c>
      <c r="JL27" s="7"/>
      <c r="JM27" s="7"/>
      <c r="JN27" s="8"/>
      <c r="JO27" s="8"/>
      <c r="JP27" s="8"/>
      <c r="JQ27" s="8"/>
      <c r="JR27" s="8"/>
      <c r="JS27" s="7"/>
      <c r="JT27" s="7"/>
      <c r="JU27" s="8"/>
      <c r="JV27" s="8"/>
      <c r="JW27" s="8"/>
      <c r="JX27" s="8"/>
      <c r="JY27" s="8"/>
      <c r="JZ27" s="87"/>
      <c r="KA27" s="83"/>
      <c r="KB27" s="26"/>
      <c r="KC27" s="8"/>
      <c r="KD27" s="8"/>
      <c r="KE27" s="8"/>
      <c r="KF27" s="8"/>
      <c r="KG27" s="7"/>
      <c r="KH27" s="7"/>
      <c r="KI27" s="8"/>
      <c r="KJ27" s="8"/>
      <c r="KK27" s="8"/>
      <c r="KL27" s="8"/>
      <c r="KM27" s="8"/>
      <c r="KN27" s="7"/>
      <c r="KO27" s="7"/>
      <c r="KP27" s="8"/>
      <c r="KQ27" s="8"/>
      <c r="KR27" s="8"/>
      <c r="KS27" s="8"/>
      <c r="KT27" s="8"/>
      <c r="KU27" s="7"/>
      <c r="KV27" s="7"/>
      <c r="KW27" s="8"/>
      <c r="KX27" s="8"/>
      <c r="KY27" s="8"/>
      <c r="KZ27" s="8"/>
      <c r="LA27" s="8"/>
      <c r="LB27" s="7"/>
      <c r="LC27" s="7"/>
      <c r="LD27" s="8"/>
      <c r="LE27" s="58"/>
      <c r="LF27" s="143"/>
      <c r="LG27" s="144"/>
      <c r="LH27" s="144"/>
      <c r="LI27" s="145"/>
      <c r="LJ27" s="145"/>
      <c r="LK27" s="175" t="s">
        <v>5</v>
      </c>
      <c r="LL27" s="175" t="s">
        <v>5</v>
      </c>
      <c r="LM27" s="175" t="s">
        <v>5</v>
      </c>
      <c r="LN27" s="144"/>
      <c r="LO27" s="144"/>
      <c r="LP27" s="145"/>
      <c r="LQ27" s="145"/>
      <c r="LR27" s="144"/>
      <c r="LS27" s="144"/>
      <c r="LT27" s="144"/>
      <c r="LU27" s="144"/>
      <c r="LV27" s="144"/>
      <c r="LW27" s="145"/>
      <c r="LX27" s="145"/>
      <c r="LY27" s="144"/>
      <c r="LZ27" s="144"/>
      <c r="MA27" s="144"/>
      <c r="MB27" s="144"/>
      <c r="MC27" s="144"/>
      <c r="MD27" s="145"/>
      <c r="ME27" s="145"/>
      <c r="MF27" s="144"/>
      <c r="MG27" s="146"/>
      <c r="MH27" s="28"/>
      <c r="MI27" s="8"/>
      <c r="MJ27" s="8"/>
      <c r="MK27" s="7"/>
      <c r="ML27" s="7"/>
      <c r="MM27" s="8"/>
      <c r="MN27" s="8"/>
      <c r="MO27" s="8"/>
      <c r="MP27" s="8"/>
      <c r="MQ27" s="8"/>
      <c r="MR27" s="7"/>
      <c r="MS27" s="7"/>
      <c r="MT27" s="8"/>
      <c r="MU27" s="8"/>
      <c r="MV27" s="8"/>
      <c r="MW27" s="8"/>
      <c r="MX27" s="8"/>
      <c r="MY27" s="7"/>
      <c r="MZ27" s="7"/>
      <c r="NA27" s="8"/>
      <c r="NB27" s="8"/>
      <c r="NC27" s="8"/>
      <c r="ND27" s="8"/>
      <c r="NE27" s="8"/>
      <c r="NF27" s="7"/>
      <c r="NG27" s="7"/>
      <c r="NH27" s="8"/>
      <c r="NI27" s="8"/>
      <c r="NJ27" s="8"/>
      <c r="NK27" s="8"/>
      <c r="NL27" s="84"/>
    </row>
    <row r="28" spans="1:376" customFormat="1" ht="15.75" customHeight="1">
      <c r="A28" s="1"/>
      <c r="B28" s="29" t="s">
        <v>81</v>
      </c>
      <c r="C28" s="29" t="s">
        <v>30</v>
      </c>
      <c r="D28" s="29" t="s">
        <v>70</v>
      </c>
      <c r="E28" s="37">
        <v>0</v>
      </c>
      <c r="F28" s="29">
        <v>23</v>
      </c>
      <c r="G28" s="29">
        <v>2</v>
      </c>
      <c r="H28" s="29">
        <f t="shared" si="0"/>
        <v>6</v>
      </c>
      <c r="I28" s="30">
        <f t="shared" si="4"/>
        <v>1</v>
      </c>
      <c r="J28" s="30">
        <f t="shared" si="5"/>
        <v>0</v>
      </c>
      <c r="K28" s="71">
        <f t="shared" si="6"/>
        <v>3</v>
      </c>
      <c r="L28" s="78"/>
      <c r="M28" s="7"/>
      <c r="N28" s="7"/>
      <c r="O28" s="8"/>
      <c r="P28" s="8"/>
      <c r="Q28" s="8"/>
      <c r="R28" s="8"/>
      <c r="S28" s="8"/>
      <c r="T28" s="7"/>
      <c r="U28" s="7"/>
      <c r="V28" s="8"/>
      <c r="W28" s="8"/>
      <c r="X28" s="8"/>
      <c r="Y28" s="26"/>
      <c r="Z28" s="26"/>
      <c r="AA28" s="7"/>
      <c r="AB28" s="7"/>
      <c r="AC28" s="26"/>
      <c r="AD28" s="15" t="s">
        <v>1</v>
      </c>
      <c r="AE28" s="15" t="s">
        <v>1</v>
      </c>
      <c r="AF28" s="15" t="s">
        <v>1</v>
      </c>
      <c r="AG28" s="15" t="s">
        <v>1</v>
      </c>
      <c r="AH28" s="7"/>
      <c r="AI28" s="7"/>
      <c r="AJ28" s="26"/>
      <c r="AK28" s="8"/>
      <c r="AL28" s="8"/>
      <c r="AM28" s="8"/>
      <c r="AN28" s="8"/>
      <c r="AO28" s="87"/>
      <c r="AP28" s="83"/>
      <c r="AQ28" s="8"/>
      <c r="AR28" s="8"/>
      <c r="AS28" s="8"/>
      <c r="AT28" s="8"/>
      <c r="AU28" s="8"/>
      <c r="AV28" s="7"/>
      <c r="AW28" s="7"/>
      <c r="AX28" s="8"/>
      <c r="AY28" s="8"/>
      <c r="AZ28" s="8"/>
      <c r="BA28" s="8"/>
      <c r="BB28" s="8"/>
      <c r="BC28" s="7"/>
      <c r="BD28" s="7"/>
      <c r="BE28" s="8"/>
      <c r="BF28" s="8"/>
      <c r="BG28" s="8"/>
      <c r="BH28" s="8"/>
      <c r="BI28" s="8"/>
      <c r="BJ28" s="7"/>
      <c r="BK28" s="7"/>
      <c r="BL28" s="8"/>
      <c r="BM28" s="8"/>
      <c r="BN28" s="8"/>
      <c r="BO28" s="8"/>
      <c r="BP28" s="8"/>
      <c r="BQ28" s="7"/>
      <c r="BR28" s="7"/>
      <c r="BS28" s="8"/>
      <c r="BT28" s="58"/>
      <c r="BU28" s="78"/>
      <c r="BV28" s="8"/>
      <c r="BW28" s="8"/>
      <c r="BX28" s="7"/>
      <c r="BY28" s="7"/>
      <c r="BZ28" s="8"/>
      <c r="CA28" s="8"/>
      <c r="CB28" s="8"/>
      <c r="CC28" s="8"/>
      <c r="CD28" s="8"/>
      <c r="CE28" s="7"/>
      <c r="CF28" s="7"/>
      <c r="CG28" s="8"/>
      <c r="CH28" s="8"/>
      <c r="CI28" s="8"/>
      <c r="CJ28" s="8"/>
      <c r="CK28" s="8"/>
      <c r="CL28" s="7"/>
      <c r="CM28" s="7"/>
      <c r="CN28" s="8"/>
      <c r="CO28" s="8"/>
      <c r="CP28" s="8"/>
      <c r="CQ28" s="8"/>
      <c r="CR28" s="26"/>
      <c r="CS28" s="7"/>
      <c r="CT28" s="7"/>
      <c r="CU28" s="8"/>
      <c r="CV28" s="8"/>
      <c r="CW28" s="8"/>
      <c r="CX28" s="58"/>
      <c r="CY28" s="78"/>
      <c r="CZ28" s="7"/>
      <c r="DA28" s="7"/>
      <c r="DB28" s="8"/>
      <c r="DC28" s="8"/>
      <c r="DD28" s="8"/>
      <c r="DE28" s="8"/>
      <c r="DF28" s="8"/>
      <c r="DG28" s="7"/>
      <c r="DH28" s="7"/>
      <c r="DI28" s="8"/>
      <c r="DJ28" s="8"/>
      <c r="DK28" s="8"/>
      <c r="DL28" s="8"/>
      <c r="DM28" s="8"/>
      <c r="DN28" s="7"/>
      <c r="DO28" s="7"/>
      <c r="DP28" s="8"/>
      <c r="DQ28" s="8"/>
      <c r="DR28" s="8"/>
      <c r="DS28" s="8"/>
      <c r="DT28" s="8"/>
      <c r="DU28" s="7"/>
      <c r="DV28" s="7"/>
      <c r="DW28" s="8"/>
      <c r="DX28" s="8"/>
      <c r="DY28" s="8"/>
      <c r="DZ28" s="8"/>
      <c r="EA28" s="8"/>
      <c r="EB28" s="7"/>
      <c r="EC28" s="87"/>
      <c r="ED28" s="78"/>
      <c r="EE28" s="8"/>
      <c r="EF28" s="8"/>
      <c r="EG28" s="8"/>
      <c r="EH28" s="8"/>
      <c r="EI28" s="7"/>
      <c r="EJ28" s="7"/>
      <c r="EK28" s="8"/>
      <c r="EL28" s="8"/>
      <c r="EM28" s="8"/>
      <c r="EN28" s="8"/>
      <c r="EO28" s="8"/>
      <c r="EP28" s="7"/>
      <c r="EQ28" s="7"/>
      <c r="ER28" s="26"/>
      <c r="ES28" s="8"/>
      <c r="ET28" s="8"/>
      <c r="EU28" s="8"/>
      <c r="EV28" s="8"/>
      <c r="EW28" s="7"/>
      <c r="EX28" s="7"/>
      <c r="EY28" s="8"/>
      <c r="EZ28" s="8"/>
      <c r="FA28" s="8"/>
      <c r="FB28" s="8"/>
      <c r="FC28" s="8"/>
      <c r="FD28" s="7"/>
      <c r="FE28" s="7"/>
      <c r="FF28" s="8"/>
      <c r="FG28" s="8"/>
      <c r="FH28" s="58"/>
      <c r="FI28" s="78"/>
      <c r="FJ28" s="8"/>
      <c r="FK28" s="7"/>
      <c r="FL28" s="7"/>
      <c r="FM28" s="8"/>
      <c r="FN28" s="8"/>
      <c r="FO28" s="8"/>
      <c r="FP28" s="8"/>
      <c r="FQ28" s="8"/>
      <c r="FR28" s="7"/>
      <c r="FS28" s="7"/>
      <c r="FT28" s="8"/>
      <c r="FU28" s="8"/>
      <c r="FV28" s="8"/>
      <c r="FW28" s="8"/>
      <c r="FX28" s="26"/>
      <c r="FY28" s="7"/>
      <c r="FZ28" s="7"/>
      <c r="GA28" s="8"/>
      <c r="GB28" s="8"/>
      <c r="GC28" s="8"/>
      <c r="GD28" s="8"/>
      <c r="GE28" s="8"/>
      <c r="GF28" s="7"/>
      <c r="GG28" s="7"/>
      <c r="GH28" s="8"/>
      <c r="GI28" s="8"/>
      <c r="GJ28" s="8"/>
      <c r="GK28" s="8"/>
      <c r="GL28" s="58"/>
      <c r="GM28" s="83"/>
      <c r="GN28" s="7"/>
      <c r="GO28" s="8"/>
      <c r="GP28" s="8"/>
      <c r="GQ28" s="8"/>
      <c r="GR28" s="8"/>
      <c r="GS28" s="8"/>
      <c r="GT28" s="7"/>
      <c r="GU28" s="7"/>
      <c r="GV28" s="8"/>
      <c r="GW28" s="8"/>
      <c r="GX28" s="26"/>
      <c r="GY28" s="8"/>
      <c r="GZ28" s="8"/>
      <c r="HA28" s="7"/>
      <c r="HB28" s="7"/>
      <c r="HC28" s="8"/>
      <c r="HD28" s="8"/>
      <c r="HE28" s="8"/>
      <c r="HF28" s="8"/>
      <c r="HG28" s="8"/>
      <c r="HH28" s="7"/>
      <c r="HI28" s="7"/>
      <c r="HJ28" s="8"/>
      <c r="HK28" s="8"/>
      <c r="HL28" s="8"/>
      <c r="HM28" s="8"/>
      <c r="HN28" s="8"/>
      <c r="HO28" s="7"/>
      <c r="HP28" s="7"/>
      <c r="HQ28" s="58"/>
      <c r="HR28" s="104"/>
      <c r="HS28" s="8"/>
      <c r="HT28" s="8"/>
      <c r="HU28" s="8"/>
      <c r="HV28" s="7"/>
      <c r="HW28" s="7"/>
      <c r="HX28" s="8"/>
      <c r="HY28" s="8"/>
      <c r="HZ28" s="8"/>
      <c r="IA28" s="8"/>
      <c r="IB28" s="8"/>
      <c r="IC28" s="7"/>
      <c r="ID28" s="7"/>
      <c r="IE28" s="8"/>
      <c r="IF28" s="8"/>
      <c r="IG28" s="8"/>
      <c r="IH28" s="8"/>
      <c r="II28" s="8"/>
      <c r="IJ28" s="7"/>
      <c r="IK28" s="7"/>
      <c r="IL28" s="8"/>
      <c r="IM28" s="8"/>
      <c r="IN28" s="8"/>
      <c r="IO28" s="8"/>
      <c r="IP28" s="8"/>
      <c r="IQ28" s="7"/>
      <c r="IR28" s="7"/>
      <c r="IS28" s="8"/>
      <c r="IT28" s="8"/>
      <c r="IU28" s="58"/>
      <c r="IV28" s="78"/>
      <c r="IW28" s="8"/>
      <c r="IX28" s="7"/>
      <c r="IY28" s="7"/>
      <c r="IZ28" s="8"/>
      <c r="JA28" s="26"/>
      <c r="JB28" s="8"/>
      <c r="JC28" s="26"/>
      <c r="JD28" s="8"/>
      <c r="JE28" s="7"/>
      <c r="JF28" s="7"/>
      <c r="JG28" s="8"/>
      <c r="JH28" s="8"/>
      <c r="JI28" s="8"/>
      <c r="JJ28" s="8"/>
      <c r="JK28" s="8"/>
      <c r="JL28" s="7"/>
      <c r="JM28" s="7"/>
      <c r="JN28" s="8"/>
      <c r="JO28" s="8"/>
      <c r="JP28" s="8"/>
      <c r="JQ28" s="8"/>
      <c r="JR28" s="8"/>
      <c r="JS28" s="7"/>
      <c r="JT28" s="7"/>
      <c r="JU28" s="8"/>
      <c r="JV28" s="8"/>
      <c r="JW28" s="8"/>
      <c r="JX28" s="8"/>
      <c r="JY28" s="8"/>
      <c r="JZ28" s="87"/>
      <c r="KA28" s="83"/>
      <c r="KB28" s="8"/>
      <c r="KC28" s="8"/>
      <c r="KD28" s="8"/>
      <c r="KE28" s="8"/>
      <c r="KF28" s="26"/>
      <c r="KG28" s="7"/>
      <c r="KH28" s="7"/>
      <c r="KI28" s="8"/>
      <c r="KJ28" s="8"/>
      <c r="KK28" s="8"/>
      <c r="KL28" s="8"/>
      <c r="KM28" s="8"/>
      <c r="KN28" s="7"/>
      <c r="KO28" s="7"/>
      <c r="KP28" s="8"/>
      <c r="KQ28" s="8"/>
      <c r="KR28" s="8"/>
      <c r="KS28" s="8"/>
      <c r="KT28" s="8"/>
      <c r="KU28" s="7"/>
      <c r="KV28" s="7"/>
      <c r="KW28" s="8"/>
      <c r="KX28" s="8"/>
      <c r="KY28" s="8"/>
      <c r="KZ28" s="8"/>
      <c r="LA28" s="8"/>
      <c r="LB28" s="7"/>
      <c r="LC28" s="7"/>
      <c r="LD28" s="8"/>
      <c r="LE28" s="58"/>
      <c r="LF28" s="147"/>
      <c r="LG28" s="8"/>
      <c r="LH28" s="8"/>
      <c r="LI28" s="7"/>
      <c r="LJ28" s="7"/>
      <c r="LK28" s="8"/>
      <c r="LL28" s="8"/>
      <c r="LM28" s="8"/>
      <c r="LN28" s="68" t="s">
        <v>7</v>
      </c>
      <c r="LO28" s="68" t="s">
        <v>7</v>
      </c>
      <c r="LP28" s="7"/>
      <c r="LQ28" s="7"/>
      <c r="LR28" s="68" t="s">
        <v>7</v>
      </c>
      <c r="LS28" s="171" t="s">
        <v>1</v>
      </c>
      <c r="LT28" s="171" t="s">
        <v>1</v>
      </c>
      <c r="LU28" s="171" t="s">
        <v>1</v>
      </c>
      <c r="LV28" s="171" t="s">
        <v>1</v>
      </c>
      <c r="LW28" s="7"/>
      <c r="LX28" s="7"/>
      <c r="LY28" s="171" t="s">
        <v>1</v>
      </c>
      <c r="LZ28" s="171" t="s">
        <v>1</v>
      </c>
      <c r="MA28" s="171" t="s">
        <v>1</v>
      </c>
      <c r="MB28" s="171" t="s">
        <v>1</v>
      </c>
      <c r="MC28" s="171" t="s">
        <v>1</v>
      </c>
      <c r="MD28" s="7"/>
      <c r="ME28" s="7"/>
      <c r="MF28" s="8"/>
      <c r="MG28" s="148"/>
      <c r="MH28" s="28"/>
      <c r="MI28" s="8"/>
      <c r="MJ28" s="8"/>
      <c r="MK28" s="7"/>
      <c r="ML28" s="7"/>
      <c r="MM28" s="8"/>
      <c r="MN28" s="8"/>
      <c r="MO28" s="8"/>
      <c r="MP28" s="8"/>
      <c r="MQ28" s="8"/>
      <c r="MR28" s="7"/>
      <c r="MS28" s="7"/>
      <c r="MT28" s="8"/>
      <c r="MU28" s="8"/>
      <c r="MV28" s="8"/>
      <c r="MW28" s="8"/>
      <c r="MX28" s="8"/>
      <c r="MY28" s="7"/>
      <c r="MZ28" s="7"/>
      <c r="NA28" s="66" t="s">
        <v>1</v>
      </c>
      <c r="NB28" s="66" t="s">
        <v>1</v>
      </c>
      <c r="NC28" s="66" t="s">
        <v>1</v>
      </c>
      <c r="ND28" s="66" t="s">
        <v>1</v>
      </c>
      <c r="NE28" s="66" t="s">
        <v>3</v>
      </c>
      <c r="NF28" s="7"/>
      <c r="NG28" s="7"/>
      <c r="NH28" s="8"/>
      <c r="NI28" s="8"/>
      <c r="NJ28" s="8"/>
      <c r="NK28" s="8"/>
      <c r="NL28" s="84"/>
    </row>
    <row r="29" spans="1:376" customFormat="1" ht="15.75" customHeight="1" thickBot="1">
      <c r="A29" s="1"/>
      <c r="B29" s="29" t="s">
        <v>82</v>
      </c>
      <c r="C29" s="29" t="s">
        <v>30</v>
      </c>
      <c r="D29" s="29" t="s">
        <v>70</v>
      </c>
      <c r="E29" s="37">
        <v>0</v>
      </c>
      <c r="F29" s="29">
        <v>23</v>
      </c>
      <c r="G29" s="29">
        <v>2</v>
      </c>
      <c r="H29" s="29">
        <f t="shared" si="0"/>
        <v>15</v>
      </c>
      <c r="I29" s="30">
        <f t="shared" si="4"/>
        <v>1</v>
      </c>
      <c r="J29" s="30">
        <f t="shared" si="5"/>
        <v>0</v>
      </c>
      <c r="K29" s="71">
        <f t="shared" si="6"/>
        <v>0</v>
      </c>
      <c r="L29" s="78"/>
      <c r="M29" s="7"/>
      <c r="N29" s="7"/>
      <c r="O29" s="8"/>
      <c r="P29" s="8"/>
      <c r="Q29" s="8"/>
      <c r="R29" s="8"/>
      <c r="S29" s="8"/>
      <c r="T29" s="7"/>
      <c r="U29" s="7"/>
      <c r="V29" s="8"/>
      <c r="W29" s="8"/>
      <c r="X29" s="8"/>
      <c r="Y29" s="26"/>
      <c r="Z29" s="26"/>
      <c r="AA29" s="7"/>
      <c r="AB29" s="7"/>
      <c r="AC29" s="26"/>
      <c r="AD29" s="8"/>
      <c r="AE29" s="8"/>
      <c r="AF29" s="8"/>
      <c r="AG29" s="8"/>
      <c r="AH29" s="7"/>
      <c r="AI29" s="7"/>
      <c r="AJ29" s="26"/>
      <c r="AK29" s="8"/>
      <c r="AL29" s="8"/>
      <c r="AM29" s="8"/>
      <c r="AN29" s="8"/>
      <c r="AO29" s="87"/>
      <c r="AP29" s="83"/>
      <c r="AQ29" s="8"/>
      <c r="AR29" s="8"/>
      <c r="AS29" s="8"/>
      <c r="AT29" s="8"/>
      <c r="AU29" s="8"/>
      <c r="AV29" s="7"/>
      <c r="AW29" s="7"/>
      <c r="AX29" s="8"/>
      <c r="AY29" s="8"/>
      <c r="AZ29" s="8"/>
      <c r="BA29" s="8"/>
      <c r="BB29" s="8"/>
      <c r="BC29" s="7"/>
      <c r="BD29" s="7"/>
      <c r="BE29" s="8"/>
      <c r="BF29" s="8"/>
      <c r="BG29" s="8"/>
      <c r="BH29" s="8"/>
      <c r="BI29" s="8"/>
      <c r="BJ29" s="7"/>
      <c r="BK29" s="7"/>
      <c r="BL29" s="8"/>
      <c r="BM29" s="8"/>
      <c r="BN29" s="8"/>
      <c r="BO29" s="8"/>
      <c r="BP29" s="8"/>
      <c r="BQ29" s="7"/>
      <c r="BR29" s="7"/>
      <c r="BS29" s="8"/>
      <c r="BT29" s="58"/>
      <c r="BU29" s="78"/>
      <c r="BV29" s="8"/>
      <c r="BW29" s="8"/>
      <c r="BX29" s="7"/>
      <c r="BY29" s="7"/>
      <c r="BZ29" s="8"/>
      <c r="CA29" s="8"/>
      <c r="CB29" s="8"/>
      <c r="CC29" s="8"/>
      <c r="CD29" s="8"/>
      <c r="CE29" s="7"/>
      <c r="CF29" s="7"/>
      <c r="CG29" s="8"/>
      <c r="CH29" s="8"/>
      <c r="CI29" s="8"/>
      <c r="CJ29" s="8"/>
      <c r="CK29" s="8"/>
      <c r="CL29" s="7"/>
      <c r="CM29" s="7"/>
      <c r="CN29" s="8"/>
      <c r="CO29" s="8"/>
      <c r="CP29" s="8"/>
      <c r="CQ29" s="8"/>
      <c r="CR29" s="26"/>
      <c r="CS29" s="7"/>
      <c r="CT29" s="7"/>
      <c r="CU29" s="8"/>
      <c r="CV29" s="8"/>
      <c r="CW29" s="8"/>
      <c r="CX29" s="58"/>
      <c r="CY29" s="78"/>
      <c r="CZ29" s="7"/>
      <c r="DA29" s="7"/>
      <c r="DB29" s="8"/>
      <c r="DC29" s="8"/>
      <c r="DD29" s="8"/>
      <c r="DE29" s="8"/>
      <c r="DF29" s="8"/>
      <c r="DG29" s="7"/>
      <c r="DH29" s="7"/>
      <c r="DI29" s="8"/>
      <c r="DJ29" s="8"/>
      <c r="DK29" s="8"/>
      <c r="DL29" s="8"/>
      <c r="DM29" s="8"/>
      <c r="DN29" s="7"/>
      <c r="DO29" s="7"/>
      <c r="DP29" s="8"/>
      <c r="DQ29" s="8"/>
      <c r="DR29" s="8"/>
      <c r="DS29" s="8"/>
      <c r="DT29" s="8"/>
      <c r="DU29" s="7"/>
      <c r="DV29" s="7"/>
      <c r="DW29" s="8"/>
      <c r="DX29" s="8"/>
      <c r="DY29" s="8"/>
      <c r="DZ29" s="8"/>
      <c r="EA29" s="8"/>
      <c r="EB29" s="7"/>
      <c r="EC29" s="87"/>
      <c r="ED29" s="78"/>
      <c r="EE29" s="8"/>
      <c r="EF29" s="8"/>
      <c r="EG29" s="8"/>
      <c r="EH29" s="8"/>
      <c r="EI29" s="7"/>
      <c r="EJ29" s="7"/>
      <c r="EK29" s="8"/>
      <c r="EL29" s="8"/>
      <c r="EM29" s="8"/>
      <c r="EN29" s="8"/>
      <c r="EO29" s="8"/>
      <c r="EP29" s="7"/>
      <c r="EQ29" s="7"/>
      <c r="ER29" s="26"/>
      <c r="ES29" s="8"/>
      <c r="ET29" s="8"/>
      <c r="EU29" s="8"/>
      <c r="EV29" s="8"/>
      <c r="EW29" s="7"/>
      <c r="EX29" s="7"/>
      <c r="EY29" s="8"/>
      <c r="EZ29" s="8"/>
      <c r="FA29" s="8"/>
      <c r="FB29" s="8"/>
      <c r="FC29" s="8"/>
      <c r="FD29" s="7"/>
      <c r="FE29" s="7"/>
      <c r="FF29" s="8"/>
      <c r="FG29" s="8"/>
      <c r="FH29" s="58"/>
      <c r="FI29" s="78"/>
      <c r="FJ29" s="8"/>
      <c r="FK29" s="7"/>
      <c r="FL29" s="7"/>
      <c r="FM29" s="8"/>
      <c r="FN29" s="8"/>
      <c r="FO29" s="8"/>
      <c r="FP29" s="8"/>
      <c r="FQ29" s="8"/>
      <c r="FR29" s="7"/>
      <c r="FS29" s="7"/>
      <c r="FT29" s="8"/>
      <c r="FU29" s="8"/>
      <c r="FV29" s="8"/>
      <c r="FW29" s="8"/>
      <c r="FX29" s="26"/>
      <c r="FY29" s="7"/>
      <c r="FZ29" s="7"/>
      <c r="GA29" s="8"/>
      <c r="GB29" s="8"/>
      <c r="GC29" s="8"/>
      <c r="GD29" s="8"/>
      <c r="GE29" s="8"/>
      <c r="GF29" s="7"/>
      <c r="GG29" s="7"/>
      <c r="GH29" s="8"/>
      <c r="GI29" s="8"/>
      <c r="GJ29" s="8"/>
      <c r="GK29" s="8"/>
      <c r="GL29" s="58"/>
      <c r="GM29" s="83"/>
      <c r="GN29" s="7"/>
      <c r="GO29" s="8"/>
      <c r="GP29" s="8"/>
      <c r="GQ29" s="8"/>
      <c r="GR29" s="8"/>
      <c r="GS29" s="8"/>
      <c r="GT29" s="7"/>
      <c r="GU29" s="7"/>
      <c r="GV29" s="8"/>
      <c r="GW29" s="8"/>
      <c r="GX29" s="26"/>
      <c r="GY29" s="8"/>
      <c r="GZ29" s="8"/>
      <c r="HA29" s="7"/>
      <c r="HB29" s="7"/>
      <c r="HC29" s="8"/>
      <c r="HD29" s="8"/>
      <c r="HE29" s="8"/>
      <c r="HF29" s="8"/>
      <c r="HG29" s="8"/>
      <c r="HH29" s="7"/>
      <c r="HI29" s="7"/>
      <c r="HJ29" s="8"/>
      <c r="HK29" s="8"/>
      <c r="HL29" s="8"/>
      <c r="HM29" s="8"/>
      <c r="HN29" s="8"/>
      <c r="HO29" s="7"/>
      <c r="HP29" s="7"/>
      <c r="HQ29" s="58"/>
      <c r="HR29" s="104"/>
      <c r="HS29" s="8"/>
      <c r="HT29" s="8"/>
      <c r="HU29" s="8"/>
      <c r="HV29" s="7"/>
      <c r="HW29" s="7"/>
      <c r="HX29" s="8"/>
      <c r="HY29" s="8"/>
      <c r="HZ29" s="8"/>
      <c r="IA29" s="8"/>
      <c r="IB29" s="8"/>
      <c r="IC29" s="7"/>
      <c r="ID29" s="7"/>
      <c r="IE29" s="8"/>
      <c r="IF29" s="8"/>
      <c r="IG29" s="8"/>
      <c r="IH29" s="8"/>
      <c r="II29" s="8"/>
      <c r="IJ29" s="7"/>
      <c r="IK29" s="7"/>
      <c r="IL29" s="8"/>
      <c r="IM29" s="8"/>
      <c r="IN29" s="8"/>
      <c r="IO29" s="8"/>
      <c r="IP29" s="8"/>
      <c r="IQ29" s="7"/>
      <c r="IR29" s="7"/>
      <c r="IS29" s="8"/>
      <c r="IT29" s="8"/>
      <c r="IU29" s="58"/>
      <c r="IV29" s="78"/>
      <c r="IW29" s="8"/>
      <c r="IX29" s="7"/>
      <c r="IY29" s="7"/>
      <c r="IZ29" s="8"/>
      <c r="JA29" s="26"/>
      <c r="JB29" s="8"/>
      <c r="JC29" s="26"/>
      <c r="JD29" s="8"/>
      <c r="JE29" s="7"/>
      <c r="JF29" s="7"/>
      <c r="JG29" s="8"/>
      <c r="JH29" s="8"/>
      <c r="JI29" s="8"/>
      <c r="JJ29" s="8"/>
      <c r="JK29" s="8"/>
      <c r="JL29" s="7"/>
      <c r="JM29" s="7"/>
      <c r="JN29" s="8"/>
      <c r="JO29" s="8"/>
      <c r="JP29" s="8"/>
      <c r="JQ29" s="8"/>
      <c r="JR29" s="8"/>
      <c r="JS29" s="7"/>
      <c r="JT29" s="7"/>
      <c r="JU29" s="8"/>
      <c r="JV29" s="8"/>
      <c r="JW29" s="8"/>
      <c r="JX29" s="8"/>
      <c r="JY29" s="8"/>
      <c r="JZ29" s="87"/>
      <c r="KA29" s="83"/>
      <c r="KB29" s="8"/>
      <c r="KC29" s="8"/>
      <c r="KD29" s="8"/>
      <c r="KE29" s="8"/>
      <c r="KF29" s="26"/>
      <c r="KG29" s="7"/>
      <c r="KH29" s="7"/>
      <c r="KI29" s="8"/>
      <c r="KJ29" s="8"/>
      <c r="KK29" s="8"/>
      <c r="KL29" s="8"/>
      <c r="KM29" s="8"/>
      <c r="KN29" s="7"/>
      <c r="KO29" s="7"/>
      <c r="KP29" s="8"/>
      <c r="KQ29" s="8"/>
      <c r="KR29" s="8"/>
      <c r="KS29" s="8"/>
      <c r="KT29" s="8"/>
      <c r="KU29" s="7"/>
      <c r="KV29" s="7"/>
      <c r="KW29" s="8"/>
      <c r="KX29" s="8"/>
      <c r="KY29" s="8"/>
      <c r="KZ29" s="8"/>
      <c r="LA29" s="8"/>
      <c r="LB29" s="7"/>
      <c r="LC29" s="7"/>
      <c r="LD29" s="8"/>
      <c r="LE29" s="58"/>
      <c r="LF29" s="173" t="s">
        <v>1</v>
      </c>
      <c r="LG29" s="174" t="s">
        <v>1</v>
      </c>
      <c r="LH29" s="174" t="s">
        <v>1</v>
      </c>
      <c r="LI29" s="151"/>
      <c r="LJ29" s="151"/>
      <c r="LK29" s="174" t="s">
        <v>1</v>
      </c>
      <c r="LL29" s="174" t="s">
        <v>1</v>
      </c>
      <c r="LM29" s="174" t="s">
        <v>1</v>
      </c>
      <c r="LN29" s="174" t="s">
        <v>1</v>
      </c>
      <c r="LO29" s="174" t="s">
        <v>1</v>
      </c>
      <c r="LP29" s="151"/>
      <c r="LQ29" s="151"/>
      <c r="LR29" s="150"/>
      <c r="LS29" s="150"/>
      <c r="LT29" s="150"/>
      <c r="LU29" s="150"/>
      <c r="LV29" s="150"/>
      <c r="LW29" s="151"/>
      <c r="LX29" s="151"/>
      <c r="LY29" s="150"/>
      <c r="LZ29" s="150"/>
      <c r="MA29" s="150"/>
      <c r="MB29" s="150"/>
      <c r="MC29" s="150"/>
      <c r="MD29" s="151"/>
      <c r="ME29" s="151"/>
      <c r="MF29" s="150"/>
      <c r="MG29" s="152"/>
      <c r="MH29" s="28"/>
      <c r="MI29" s="8"/>
      <c r="MJ29" s="8"/>
      <c r="MK29" s="7"/>
      <c r="ML29" s="7"/>
      <c r="MM29" s="8"/>
      <c r="MN29" s="8"/>
      <c r="MO29" s="8"/>
      <c r="MP29" s="8"/>
      <c r="MQ29" s="8"/>
      <c r="MR29" s="7"/>
      <c r="MS29" s="7"/>
      <c r="MT29" s="8"/>
      <c r="MU29" s="8"/>
      <c r="MV29" s="8"/>
      <c r="MW29" s="8"/>
      <c r="MX29" s="8"/>
      <c r="MY29" s="7"/>
      <c r="MZ29" s="7"/>
      <c r="NA29" s="8"/>
      <c r="NB29" s="8"/>
      <c r="NC29" s="8"/>
      <c r="ND29" s="8"/>
      <c r="NE29" s="8"/>
      <c r="NF29" s="7"/>
      <c r="NG29" s="7"/>
      <c r="NH29" s="8"/>
      <c r="NI29" s="8"/>
      <c r="NJ29" s="8"/>
      <c r="NK29" s="8"/>
      <c r="NL29" s="66" t="s">
        <v>3</v>
      </c>
    </row>
    <row r="30" spans="1:376" customFormat="1" ht="15.75" hidden="1" customHeight="1" thickBot="1">
      <c r="A30" s="1"/>
      <c r="B30" s="29" t="s">
        <v>92</v>
      </c>
      <c r="C30" s="29" t="s">
        <v>36</v>
      </c>
      <c r="D30" s="29"/>
      <c r="E30" s="37">
        <v>0</v>
      </c>
      <c r="F30" s="29">
        <v>23</v>
      </c>
      <c r="G30" s="29">
        <v>2</v>
      </c>
      <c r="H30" s="29">
        <f t="shared" si="0"/>
        <v>19</v>
      </c>
      <c r="I30" s="30">
        <f t="shared" ref="I30" si="7">G30-COUNTIF(L30:NL30,$C$3)</f>
        <v>2</v>
      </c>
      <c r="J30" s="30">
        <f t="shared" ref="J30" si="8">COUNTIF(K30:NI30,$C$4)</f>
        <v>0</v>
      </c>
      <c r="K30" s="71">
        <f t="shared" ref="K30" si="9">COUNTIF(L30:NL30,$C$5)</f>
        <v>0</v>
      </c>
      <c r="L30" s="78"/>
      <c r="M30" s="7"/>
      <c r="N30" s="7"/>
      <c r="O30" s="8"/>
      <c r="P30" s="8"/>
      <c r="Q30" s="8"/>
      <c r="R30" s="8"/>
      <c r="S30" s="8"/>
      <c r="T30" s="7"/>
      <c r="U30" s="7"/>
      <c r="V30" s="8"/>
      <c r="W30" s="8"/>
      <c r="X30" s="8"/>
      <c r="Y30" s="26"/>
      <c r="Z30" s="26"/>
      <c r="AA30" s="7"/>
      <c r="AB30" s="7"/>
      <c r="AC30" s="26"/>
      <c r="AD30" s="15" t="s">
        <v>1</v>
      </c>
      <c r="AE30" s="15" t="s">
        <v>1</v>
      </c>
      <c r="AF30" s="15" t="s">
        <v>1</v>
      </c>
      <c r="AG30" s="8"/>
      <c r="AH30" s="7"/>
      <c r="AI30" s="7"/>
      <c r="AJ30" s="26"/>
      <c r="AK30" s="8"/>
      <c r="AL30" s="8"/>
      <c r="AM30" s="8"/>
      <c r="AN30" s="8"/>
      <c r="AO30" s="87"/>
      <c r="AP30" s="83"/>
      <c r="AQ30" s="8"/>
      <c r="AR30" s="8"/>
      <c r="AS30" s="8"/>
      <c r="AT30" s="8"/>
      <c r="AU30" s="8"/>
      <c r="AV30" s="7"/>
      <c r="AW30" s="7"/>
      <c r="AX30" s="8"/>
      <c r="AY30" s="8"/>
      <c r="AZ30" s="8"/>
      <c r="BA30" s="8"/>
      <c r="BB30" s="8"/>
      <c r="BC30" s="7"/>
      <c r="BD30" s="7"/>
      <c r="BE30" s="8"/>
      <c r="BF30" s="8"/>
      <c r="BG30" s="8"/>
      <c r="BH30" s="8"/>
      <c r="BI30" s="8"/>
      <c r="BJ30" s="7"/>
      <c r="BK30" s="7"/>
      <c r="BL30" s="8"/>
      <c r="BM30" s="8"/>
      <c r="BN30" s="8"/>
      <c r="BO30" s="8"/>
      <c r="BP30" s="8"/>
      <c r="BQ30" s="7"/>
      <c r="BR30" s="7"/>
      <c r="BS30" s="15" t="s">
        <v>1</v>
      </c>
      <c r="BT30" s="58"/>
      <c r="BU30" s="78"/>
      <c r="BV30" s="8"/>
      <c r="BW30" s="8"/>
      <c r="BX30" s="7"/>
      <c r="BY30" s="7"/>
      <c r="BZ30" s="8"/>
      <c r="CA30" s="8"/>
      <c r="CB30" s="8"/>
      <c r="CC30" s="8"/>
      <c r="CD30" s="8"/>
      <c r="CE30" s="7"/>
      <c r="CF30" s="7"/>
      <c r="CG30" s="8"/>
      <c r="CH30" s="8"/>
      <c r="CI30" s="8"/>
      <c r="CJ30" s="8"/>
      <c r="CK30" s="8"/>
      <c r="CL30" s="7"/>
      <c r="CM30" s="7"/>
      <c r="CN30" s="8"/>
      <c r="CO30" s="8"/>
      <c r="CP30" s="8"/>
      <c r="CQ30" s="8"/>
      <c r="CR30" s="26"/>
      <c r="CS30" s="7"/>
      <c r="CT30" s="7"/>
      <c r="CU30" s="8"/>
      <c r="CV30" s="8"/>
      <c r="CW30" s="8"/>
      <c r="CX30" s="58"/>
      <c r="CY30" s="78"/>
      <c r="CZ30" s="7"/>
      <c r="DA30" s="7"/>
      <c r="DB30" s="8"/>
      <c r="DC30" s="8"/>
      <c r="DD30" s="8"/>
      <c r="DE30" s="8"/>
      <c r="DF30" s="8"/>
      <c r="DG30" s="7"/>
      <c r="DH30" s="7"/>
      <c r="DI30" s="8"/>
      <c r="DJ30" s="8"/>
      <c r="DK30" s="8"/>
      <c r="DL30" s="8"/>
      <c r="DM30" s="8"/>
      <c r="DN30" s="7"/>
      <c r="DO30" s="7"/>
      <c r="DP30" s="8"/>
      <c r="DQ30" s="8"/>
      <c r="DR30" s="8"/>
      <c r="DS30" s="8"/>
      <c r="DT30" s="8"/>
      <c r="DU30" s="7"/>
      <c r="DV30" s="7"/>
      <c r="DW30" s="8"/>
      <c r="DX30" s="8"/>
      <c r="DY30" s="8"/>
      <c r="DZ30" s="8"/>
      <c r="EA30" s="8"/>
      <c r="EB30" s="7"/>
      <c r="EC30" s="87"/>
      <c r="ED30" s="78"/>
      <c r="EE30" s="8"/>
      <c r="EF30" s="8"/>
      <c r="EG30" s="8"/>
      <c r="EH30" s="8"/>
      <c r="EI30" s="7"/>
      <c r="EJ30" s="7"/>
      <c r="EK30" s="8"/>
      <c r="EL30" s="8"/>
      <c r="EM30" s="8"/>
      <c r="EN30" s="8"/>
      <c r="EO30" s="8"/>
      <c r="EP30" s="7"/>
      <c r="EQ30" s="7"/>
      <c r="ER30" s="26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100"/>
      <c r="FI30" s="9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64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100"/>
      <c r="GM30" s="9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100"/>
      <c r="HR30" s="9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100"/>
      <c r="IV30" s="9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100"/>
      <c r="KA30" s="9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100"/>
      <c r="LF30" s="131"/>
      <c r="LG30" s="132"/>
      <c r="LH30" s="132"/>
      <c r="LI30" s="132"/>
      <c r="LJ30" s="132"/>
      <c r="LK30" s="132"/>
      <c r="LL30" s="132"/>
      <c r="LM30" s="132"/>
      <c r="LN30" s="132"/>
      <c r="LO30" s="132"/>
      <c r="LP30" s="132"/>
      <c r="LQ30" s="132"/>
      <c r="LR30" s="132"/>
      <c r="LS30" s="132"/>
      <c r="LT30" s="132"/>
      <c r="LU30" s="132"/>
      <c r="LV30" s="132"/>
      <c r="LW30" s="132"/>
      <c r="LX30" s="132"/>
      <c r="LY30" s="132"/>
      <c r="LZ30" s="132"/>
      <c r="MA30" s="132"/>
      <c r="MB30" s="132"/>
      <c r="MC30" s="132"/>
      <c r="MD30" s="132"/>
      <c r="ME30" s="132"/>
      <c r="MF30" s="132"/>
      <c r="MG30" s="133"/>
      <c r="MH30" s="93"/>
      <c r="MI30" s="53"/>
      <c r="MJ30" s="53"/>
      <c r="MK30" s="53"/>
      <c r="ML30" s="53"/>
      <c r="MM30" s="53"/>
      <c r="MN30" s="53"/>
      <c r="MO30" s="53"/>
      <c r="MP30" s="53"/>
      <c r="MQ30" s="53"/>
      <c r="MR30" s="53"/>
      <c r="MS30" s="53"/>
      <c r="MT30" s="53"/>
      <c r="MU30" s="53"/>
      <c r="MV30" s="53"/>
      <c r="MW30" s="53"/>
      <c r="MX30" s="53"/>
      <c r="MY30" s="53"/>
      <c r="MZ30" s="53"/>
      <c r="NA30" s="53"/>
      <c r="NB30" s="53"/>
      <c r="NC30" s="53"/>
      <c r="ND30" s="53"/>
      <c r="NE30" s="53"/>
      <c r="NF30" s="53"/>
      <c r="NG30" s="53"/>
      <c r="NH30" s="53"/>
      <c r="NI30" s="53"/>
      <c r="NJ30" s="53"/>
      <c r="NK30" s="53"/>
      <c r="NL30" s="94"/>
    </row>
    <row r="31" spans="1:376" customFormat="1" ht="15.75" customHeight="1" thickBot="1">
      <c r="A31" s="1"/>
      <c r="B31" s="29" t="s">
        <v>32</v>
      </c>
      <c r="C31" s="29" t="s">
        <v>30</v>
      </c>
      <c r="D31" s="29" t="s">
        <v>49</v>
      </c>
      <c r="E31" s="37">
        <v>0</v>
      </c>
      <c r="F31" s="29">
        <v>23</v>
      </c>
      <c r="G31" s="29">
        <v>3</v>
      </c>
      <c r="H31" s="29">
        <f t="shared" si="0"/>
        <v>0</v>
      </c>
      <c r="I31" s="30">
        <f t="shared" si="1"/>
        <v>1</v>
      </c>
      <c r="J31" s="30">
        <f t="shared" si="2"/>
        <v>1</v>
      </c>
      <c r="K31" s="71">
        <f t="shared" si="3"/>
        <v>0</v>
      </c>
      <c r="L31" s="78"/>
      <c r="M31" s="7"/>
      <c r="N31" s="7"/>
      <c r="O31" s="8"/>
      <c r="P31" s="8"/>
      <c r="Q31" s="8"/>
      <c r="R31" s="8"/>
      <c r="S31" s="8"/>
      <c r="T31" s="7"/>
      <c r="U31" s="7"/>
      <c r="V31" s="8"/>
      <c r="W31" s="8"/>
      <c r="X31" s="8"/>
      <c r="Y31" s="8"/>
      <c r="Z31" s="26"/>
      <c r="AA31" s="7"/>
      <c r="AB31" s="7"/>
      <c r="AC31" s="8"/>
      <c r="AD31" s="8"/>
      <c r="AE31" s="8"/>
      <c r="AF31" s="8"/>
      <c r="AG31" s="8"/>
      <c r="AH31" s="7"/>
      <c r="AI31" s="7"/>
      <c r="AJ31" s="8"/>
      <c r="AK31" s="8"/>
      <c r="AL31" s="8"/>
      <c r="AM31" s="8"/>
      <c r="AN31" s="8"/>
      <c r="AO31" s="87"/>
      <c r="AP31" s="83"/>
      <c r="AQ31" s="8"/>
      <c r="AR31" s="8"/>
      <c r="AS31" s="8"/>
      <c r="AT31" s="8"/>
      <c r="AU31" s="8"/>
      <c r="AV31" s="7"/>
      <c r="AW31" s="7"/>
      <c r="AX31" s="8"/>
      <c r="AY31" s="8"/>
      <c r="AZ31" s="8"/>
      <c r="BA31" s="8"/>
      <c r="BB31" s="8"/>
      <c r="BC31" s="7"/>
      <c r="BD31" s="7"/>
      <c r="BE31" s="8"/>
      <c r="BF31" s="8"/>
      <c r="BG31" s="8"/>
      <c r="BH31" s="8"/>
      <c r="BI31" s="8"/>
      <c r="BJ31" s="7"/>
      <c r="BK31" s="7"/>
      <c r="BL31" s="8"/>
      <c r="BM31" s="8"/>
      <c r="BN31" s="8"/>
      <c r="BO31" s="8"/>
      <c r="BP31" s="8"/>
      <c r="BQ31" s="7"/>
      <c r="BR31" s="7"/>
      <c r="BS31" s="8"/>
      <c r="BT31" s="58"/>
      <c r="BU31" s="78"/>
      <c r="BV31" s="8"/>
      <c r="BW31" s="8"/>
      <c r="BX31" s="7"/>
      <c r="BY31" s="7"/>
      <c r="BZ31" s="8"/>
      <c r="CA31" s="8"/>
      <c r="CB31" s="8"/>
      <c r="CC31" s="8"/>
      <c r="CD31" s="17" t="s">
        <v>3</v>
      </c>
      <c r="CE31" s="7"/>
      <c r="CF31" s="7"/>
      <c r="CG31" s="8"/>
      <c r="CH31" s="8"/>
      <c r="CI31" s="8"/>
      <c r="CJ31" s="8"/>
      <c r="CK31" s="8"/>
      <c r="CL31" s="7"/>
      <c r="CM31" s="7"/>
      <c r="CN31" s="8"/>
      <c r="CO31" s="26"/>
      <c r="CP31" s="8"/>
      <c r="CQ31" s="8"/>
      <c r="CR31" s="8"/>
      <c r="CS31" s="7"/>
      <c r="CT31" s="7"/>
      <c r="CU31" s="26"/>
      <c r="CV31" s="8"/>
      <c r="CW31" s="8"/>
      <c r="CX31" s="58"/>
      <c r="CY31" s="78"/>
      <c r="CZ31" s="7"/>
      <c r="DA31" s="7"/>
      <c r="DB31" s="8"/>
      <c r="DC31" s="8"/>
      <c r="DD31" s="8"/>
      <c r="DE31" s="8"/>
      <c r="DF31" s="8"/>
      <c r="DG31" s="7"/>
      <c r="DH31" s="7"/>
      <c r="DI31" s="15" t="s">
        <v>1</v>
      </c>
      <c r="DJ31" s="15" t="s">
        <v>1</v>
      </c>
      <c r="DK31" s="15" t="s">
        <v>1</v>
      </c>
      <c r="DL31" s="15" t="s">
        <v>1</v>
      </c>
      <c r="DM31" s="15" t="s">
        <v>1</v>
      </c>
      <c r="DN31" s="7"/>
      <c r="DO31" s="7"/>
      <c r="DP31" s="8"/>
      <c r="DQ31" s="8"/>
      <c r="DR31" s="8"/>
      <c r="DS31" s="8"/>
      <c r="DT31" s="8"/>
      <c r="DU31" s="7"/>
      <c r="DV31" s="7"/>
      <c r="DW31" s="8"/>
      <c r="DX31" s="8"/>
      <c r="DY31" s="8"/>
      <c r="DZ31" s="8"/>
      <c r="EA31" s="8"/>
      <c r="EB31" s="7"/>
      <c r="EC31" s="87"/>
      <c r="ED31" s="78"/>
      <c r="EE31" s="8"/>
      <c r="EF31" s="8"/>
      <c r="EG31" s="8"/>
      <c r="EH31" s="8"/>
      <c r="EI31" s="7"/>
      <c r="EJ31" s="7"/>
      <c r="EK31" s="8"/>
      <c r="EL31" s="8"/>
      <c r="EM31" s="8"/>
      <c r="EN31" s="8"/>
      <c r="EO31" s="8"/>
      <c r="EP31" s="7"/>
      <c r="EQ31" s="7"/>
      <c r="ER31" s="26"/>
      <c r="ES31" s="8"/>
      <c r="ET31" s="8"/>
      <c r="EU31" s="8"/>
      <c r="EV31" s="8"/>
      <c r="EW31" s="7"/>
      <c r="EX31" s="7"/>
      <c r="EY31" s="8"/>
      <c r="EZ31" s="8"/>
      <c r="FA31" s="8"/>
      <c r="FB31" s="8"/>
      <c r="FC31" s="8"/>
      <c r="FD31" s="7"/>
      <c r="FE31" s="7"/>
      <c r="FF31" s="8"/>
      <c r="FG31" s="8"/>
      <c r="FH31" s="58"/>
      <c r="FI31" s="78"/>
      <c r="FJ31" s="8"/>
      <c r="FK31" s="7"/>
      <c r="FL31" s="7"/>
      <c r="FM31" s="8"/>
      <c r="FN31" s="8"/>
      <c r="FO31" s="8"/>
      <c r="FP31" s="8"/>
      <c r="FQ31" s="8"/>
      <c r="FR31" s="7"/>
      <c r="FS31" s="7"/>
      <c r="FT31" s="8"/>
      <c r="FU31" s="8"/>
      <c r="FV31" s="8"/>
      <c r="FW31" s="8"/>
      <c r="FX31" s="57"/>
      <c r="FY31" s="55"/>
      <c r="FZ31" s="7"/>
      <c r="GA31" s="26"/>
      <c r="GB31" s="15" t="s">
        <v>1</v>
      </c>
      <c r="GC31" s="8"/>
      <c r="GD31" s="8"/>
      <c r="GE31" s="8"/>
      <c r="GF31" s="7"/>
      <c r="GG31" s="7"/>
      <c r="GH31" s="8"/>
      <c r="GI31" s="8"/>
      <c r="GJ31" s="8"/>
      <c r="GK31" s="8"/>
      <c r="GL31" s="58"/>
      <c r="GM31" s="83"/>
      <c r="GN31" s="7"/>
      <c r="GO31" s="8"/>
      <c r="GP31" s="8"/>
      <c r="GQ31" s="8"/>
      <c r="GR31" s="8"/>
      <c r="GS31" s="8"/>
      <c r="GT31" s="7"/>
      <c r="GU31" s="7"/>
      <c r="GV31" s="26"/>
      <c r="GW31" s="8"/>
      <c r="GX31" s="8"/>
      <c r="GY31" s="8"/>
      <c r="GZ31" s="8"/>
      <c r="HA31" s="7"/>
      <c r="HB31" s="7"/>
      <c r="HC31" s="8"/>
      <c r="HD31" s="8"/>
      <c r="HE31" s="8"/>
      <c r="HF31" s="8"/>
      <c r="HG31" s="8"/>
      <c r="HH31" s="7"/>
      <c r="HI31" s="7"/>
      <c r="HJ31" s="8"/>
      <c r="HK31" s="8"/>
      <c r="HL31" s="8"/>
      <c r="HM31" s="8"/>
      <c r="HN31" s="8"/>
      <c r="HO31" s="7"/>
      <c r="HP31" s="7"/>
      <c r="HQ31" s="106"/>
      <c r="HR31" s="104"/>
      <c r="HS31" s="8"/>
      <c r="HT31" s="8"/>
      <c r="HU31" s="8"/>
      <c r="HV31" s="7"/>
      <c r="HW31" s="7"/>
      <c r="HX31" s="8"/>
      <c r="HY31" s="8"/>
      <c r="HZ31" s="8"/>
      <c r="IA31" s="8"/>
      <c r="IB31" s="8"/>
      <c r="IC31" s="7"/>
      <c r="ID31" s="7"/>
      <c r="IE31" s="8"/>
      <c r="IF31" s="8"/>
      <c r="IG31" s="8"/>
      <c r="IH31" s="8"/>
      <c r="II31" s="8"/>
      <c r="IJ31" s="7"/>
      <c r="IK31" s="7"/>
      <c r="IL31" s="8"/>
      <c r="IM31" s="8"/>
      <c r="IN31" s="8"/>
      <c r="IO31" s="8"/>
      <c r="IP31" s="8"/>
      <c r="IQ31" s="7"/>
      <c r="IR31" s="7"/>
      <c r="IS31" s="8"/>
      <c r="IT31" s="8"/>
      <c r="IU31" s="58"/>
      <c r="IV31" s="78"/>
      <c r="IW31" s="8"/>
      <c r="IX31" s="7"/>
      <c r="IY31" s="7"/>
      <c r="IZ31" s="8"/>
      <c r="JA31" s="8"/>
      <c r="JB31" s="8"/>
      <c r="JC31" s="26"/>
      <c r="JD31" s="8"/>
      <c r="JE31" s="7"/>
      <c r="JF31" s="7"/>
      <c r="JG31" s="15" t="s">
        <v>1</v>
      </c>
      <c r="JH31" s="15" t="s">
        <v>1</v>
      </c>
      <c r="JI31" s="8"/>
      <c r="JJ31" s="8"/>
      <c r="JK31" s="8"/>
      <c r="JL31" s="7"/>
      <c r="JM31" s="7"/>
      <c r="JN31" s="8"/>
      <c r="JO31" s="8"/>
      <c r="JP31" s="8"/>
      <c r="JQ31" s="15" t="s">
        <v>1</v>
      </c>
      <c r="JR31" s="15" t="s">
        <v>1</v>
      </c>
      <c r="JS31" s="7"/>
      <c r="JT31" s="7"/>
      <c r="JU31" s="15" t="s">
        <v>1</v>
      </c>
      <c r="JV31" s="8"/>
      <c r="JW31" s="8"/>
      <c r="JX31" s="8"/>
      <c r="JY31" s="8"/>
      <c r="JZ31" s="87"/>
      <c r="KA31" s="83"/>
      <c r="KB31" s="26"/>
      <c r="KC31" s="8"/>
      <c r="KD31" s="8"/>
      <c r="KE31" s="8"/>
      <c r="KF31" s="8"/>
      <c r="KG31" s="7"/>
      <c r="KH31" s="7"/>
      <c r="KI31" s="8"/>
      <c r="KJ31" s="8"/>
      <c r="KK31" s="8"/>
      <c r="KL31" s="8"/>
      <c r="KM31" s="8"/>
      <c r="KN31" s="7"/>
      <c r="KO31" s="7"/>
      <c r="KP31" s="8"/>
      <c r="KQ31" s="8"/>
      <c r="KR31" s="8"/>
      <c r="KS31" s="8"/>
      <c r="KT31" s="8"/>
      <c r="KU31" s="7"/>
      <c r="KV31" s="7"/>
      <c r="KW31" s="67" t="s">
        <v>5</v>
      </c>
      <c r="KX31" s="8"/>
      <c r="KY31" s="8"/>
      <c r="KZ31" s="8"/>
      <c r="LA31" s="8"/>
      <c r="LB31" s="7"/>
      <c r="LC31" s="7"/>
      <c r="LD31" s="8"/>
      <c r="LE31" s="58"/>
      <c r="LF31" s="165" t="s">
        <v>3</v>
      </c>
      <c r="LG31" s="144"/>
      <c r="LH31" s="144"/>
      <c r="LI31" s="145"/>
      <c r="LJ31" s="145"/>
      <c r="LK31" s="144"/>
      <c r="LL31" s="144"/>
      <c r="LM31" s="144"/>
      <c r="LN31" s="176" t="s">
        <v>1</v>
      </c>
      <c r="LO31" s="176" t="s">
        <v>1</v>
      </c>
      <c r="LP31" s="145"/>
      <c r="LQ31" s="145"/>
      <c r="LR31" s="176" t="s">
        <v>1</v>
      </c>
      <c r="LS31" s="176" t="s">
        <v>1</v>
      </c>
      <c r="LT31" s="176" t="s">
        <v>1</v>
      </c>
      <c r="LU31" s="176" t="s">
        <v>1</v>
      </c>
      <c r="LV31" s="176" t="s">
        <v>1</v>
      </c>
      <c r="LW31" s="145"/>
      <c r="LX31" s="145"/>
      <c r="LY31" s="176" t="s">
        <v>1</v>
      </c>
      <c r="LZ31" s="176" t="s">
        <v>1</v>
      </c>
      <c r="MA31" s="176" t="s">
        <v>1</v>
      </c>
      <c r="MB31" s="176" t="s">
        <v>1</v>
      </c>
      <c r="MC31" s="176" t="s">
        <v>1</v>
      </c>
      <c r="MD31" s="145"/>
      <c r="ME31" s="145"/>
      <c r="MF31" s="144"/>
      <c r="MG31" s="146"/>
      <c r="MH31" s="28"/>
      <c r="MI31" s="8"/>
      <c r="MJ31" s="8"/>
      <c r="MK31" s="7"/>
      <c r="ML31" s="7"/>
      <c r="MM31" s="8"/>
      <c r="MN31" s="8"/>
      <c r="MO31" s="8"/>
      <c r="MP31" s="8"/>
      <c r="MQ31" s="8"/>
      <c r="MR31" s="7"/>
      <c r="MS31" s="7"/>
      <c r="MT31" s="8"/>
      <c r="MU31" s="8"/>
      <c r="MV31" s="8"/>
      <c r="MW31" s="8"/>
      <c r="MX31" s="8"/>
      <c r="MY31" s="7"/>
      <c r="MZ31" s="7"/>
      <c r="NA31" s="8"/>
      <c r="NB31" s="8"/>
      <c r="NC31" s="8"/>
      <c r="ND31" s="8"/>
      <c r="NE31" s="8"/>
      <c r="NF31" s="7"/>
      <c r="NG31" s="7"/>
      <c r="NH31" s="8"/>
      <c r="NI31" s="8"/>
      <c r="NJ31" s="8"/>
      <c r="NK31" s="8"/>
      <c r="NL31" s="84"/>
    </row>
    <row r="32" spans="1:376" customFormat="1" ht="15.75" customHeight="1" thickBot="1">
      <c r="A32" s="1"/>
      <c r="B32" s="29" t="s">
        <v>55</v>
      </c>
      <c r="C32" s="29" t="s">
        <v>30</v>
      </c>
      <c r="D32" s="29" t="s">
        <v>49</v>
      </c>
      <c r="E32" s="37">
        <v>0</v>
      </c>
      <c r="F32" s="29">
        <v>23</v>
      </c>
      <c r="G32" s="29">
        <v>0</v>
      </c>
      <c r="H32" s="29">
        <f t="shared" si="0"/>
        <v>3</v>
      </c>
      <c r="I32" s="30">
        <f t="shared" ref="I32" si="10">G32-COUNTIF(L32:NL32,$C$3)</f>
        <v>0</v>
      </c>
      <c r="J32" s="30">
        <f t="shared" ref="J32" si="11">COUNTIF(K32:NI32,$C$4)</f>
        <v>0</v>
      </c>
      <c r="K32" s="71">
        <f t="shared" ref="K32" si="12">COUNTIF(L32:NL32,$C$5)</f>
        <v>0</v>
      </c>
      <c r="L32" s="78"/>
      <c r="M32" s="7"/>
      <c r="N32" s="7"/>
      <c r="O32" s="8"/>
      <c r="P32" s="8"/>
      <c r="Q32" s="8"/>
      <c r="R32" s="8"/>
      <c r="S32" s="8"/>
      <c r="T32" s="7"/>
      <c r="U32" s="7"/>
      <c r="V32" s="8"/>
      <c r="W32" s="8"/>
      <c r="X32" s="8"/>
      <c r="Y32" s="8"/>
      <c r="Z32" s="26"/>
      <c r="AA32" s="7"/>
      <c r="AB32" s="7"/>
      <c r="AC32" s="8"/>
      <c r="AD32" s="8"/>
      <c r="AE32" s="8"/>
      <c r="AF32" s="8"/>
      <c r="AG32" s="8"/>
      <c r="AH32" s="7"/>
      <c r="AI32" s="7"/>
      <c r="AJ32" s="8"/>
      <c r="AK32" s="8"/>
      <c r="AL32" s="8"/>
      <c r="AM32" s="8"/>
      <c r="AN32" s="8"/>
      <c r="AO32" s="87"/>
      <c r="AP32" s="83"/>
      <c r="AQ32" s="8"/>
      <c r="AR32" s="8"/>
      <c r="AS32" s="8"/>
      <c r="AT32" s="8"/>
      <c r="AU32" s="8"/>
      <c r="AV32" s="7"/>
      <c r="AW32" s="7"/>
      <c r="AX32" s="8"/>
      <c r="AY32" s="8"/>
      <c r="AZ32" s="8"/>
      <c r="BA32" s="8"/>
      <c r="BB32" s="8"/>
      <c r="BC32" s="7"/>
      <c r="BD32" s="7"/>
      <c r="BE32" s="8"/>
      <c r="BF32" s="8"/>
      <c r="BG32" s="8"/>
      <c r="BH32" s="8"/>
      <c r="BI32" s="8"/>
      <c r="BJ32" s="7"/>
      <c r="BK32" s="7"/>
      <c r="BL32" s="8"/>
      <c r="BM32" s="8"/>
      <c r="BN32" s="8"/>
      <c r="BO32" s="8"/>
      <c r="BP32" s="8"/>
      <c r="BQ32" s="7"/>
      <c r="BR32" s="7"/>
      <c r="BS32" s="8"/>
      <c r="BT32" s="58"/>
      <c r="BU32" s="78"/>
      <c r="BV32" s="8"/>
      <c r="BW32" s="8"/>
      <c r="BX32" s="7"/>
      <c r="BY32" s="7"/>
      <c r="BZ32" s="8"/>
      <c r="CA32" s="8"/>
      <c r="CB32" s="8"/>
      <c r="CC32" s="8"/>
      <c r="CD32" s="8"/>
      <c r="CE32" s="7"/>
      <c r="CF32" s="7"/>
      <c r="CG32" s="8"/>
      <c r="CH32" s="8"/>
      <c r="CI32" s="8"/>
      <c r="CJ32" s="8"/>
      <c r="CK32" s="8"/>
      <c r="CL32" s="7"/>
      <c r="CM32" s="7"/>
      <c r="CN32" s="8"/>
      <c r="CO32" s="26"/>
      <c r="CP32" s="8"/>
      <c r="CQ32" s="8"/>
      <c r="CR32" s="8"/>
      <c r="CS32" s="7"/>
      <c r="CT32" s="7"/>
      <c r="CU32" s="26"/>
      <c r="CV32" s="8"/>
      <c r="CW32" s="8"/>
      <c r="CX32" s="58"/>
      <c r="CY32" s="78"/>
      <c r="CZ32" s="7"/>
      <c r="DA32" s="7"/>
      <c r="DB32" s="8"/>
      <c r="DC32" s="8"/>
      <c r="DD32" s="8"/>
      <c r="DE32" s="8"/>
      <c r="DF32" s="8"/>
      <c r="DG32" s="7"/>
      <c r="DH32" s="7"/>
      <c r="DI32" s="8"/>
      <c r="DJ32" s="8"/>
      <c r="DK32" s="8"/>
      <c r="DL32" s="8"/>
      <c r="DM32" s="8"/>
      <c r="DN32" s="7"/>
      <c r="DO32" s="7"/>
      <c r="DP32" s="8"/>
      <c r="DQ32" s="8"/>
      <c r="DR32" s="8"/>
      <c r="DS32" s="8"/>
      <c r="DT32" s="8"/>
      <c r="DU32" s="7"/>
      <c r="DV32" s="7"/>
      <c r="DW32" s="8"/>
      <c r="DX32" s="8"/>
      <c r="DY32" s="8"/>
      <c r="DZ32" s="8"/>
      <c r="EA32" s="8"/>
      <c r="EB32" s="7"/>
      <c r="EC32" s="87"/>
      <c r="ED32" s="78"/>
      <c r="EE32" s="8"/>
      <c r="EF32" s="8"/>
      <c r="EG32" s="8"/>
      <c r="EH32" s="8"/>
      <c r="EI32" s="7"/>
      <c r="EJ32" s="7"/>
      <c r="EK32" s="8"/>
      <c r="EL32" s="8"/>
      <c r="EM32" s="8"/>
      <c r="EN32" s="8"/>
      <c r="EO32" s="8"/>
      <c r="EP32" s="7"/>
      <c r="EQ32" s="7"/>
      <c r="ER32" s="26"/>
      <c r="ES32" s="8"/>
      <c r="ET32" s="8"/>
      <c r="EU32" s="8"/>
      <c r="EV32" s="8"/>
      <c r="EW32" s="7"/>
      <c r="EX32" s="7"/>
      <c r="EY32" s="8"/>
      <c r="EZ32" s="8"/>
      <c r="FA32" s="8"/>
      <c r="FB32" s="8"/>
      <c r="FC32" s="8"/>
      <c r="FD32" s="7"/>
      <c r="FE32" s="7"/>
      <c r="FF32" s="8"/>
      <c r="FG32" s="8"/>
      <c r="FH32" s="58"/>
      <c r="FI32" s="78"/>
      <c r="FJ32" s="8"/>
      <c r="FK32" s="7"/>
      <c r="FL32" s="7"/>
      <c r="FM32" s="8"/>
      <c r="FN32" s="8"/>
      <c r="FO32" s="8"/>
      <c r="FP32" s="8"/>
      <c r="FQ32" s="8"/>
      <c r="FR32" s="7"/>
      <c r="FS32" s="7"/>
      <c r="FT32" s="8"/>
      <c r="FU32" s="8"/>
      <c r="FV32" s="8"/>
      <c r="FW32" s="8"/>
      <c r="FX32" s="57"/>
      <c r="FY32" s="7"/>
      <c r="FZ32" s="7"/>
      <c r="GA32" s="26"/>
      <c r="GB32" s="8"/>
      <c r="GC32" s="8"/>
      <c r="GD32" s="8"/>
      <c r="GE32" s="8"/>
      <c r="GF32" s="7"/>
      <c r="GG32" s="7"/>
      <c r="GH32" s="8"/>
      <c r="GI32" s="8"/>
      <c r="GJ32" s="8"/>
      <c r="GK32" s="8"/>
      <c r="GL32" s="58"/>
      <c r="GM32" s="83"/>
      <c r="GN32" s="7"/>
      <c r="GO32" s="8"/>
      <c r="GP32" s="8"/>
      <c r="GQ32" s="8"/>
      <c r="GR32" s="8"/>
      <c r="GS32" s="8"/>
      <c r="GT32" s="7"/>
      <c r="GU32" s="7"/>
      <c r="GV32" s="26"/>
      <c r="GW32" s="8"/>
      <c r="GX32" s="8"/>
      <c r="GY32" s="8"/>
      <c r="GZ32" s="8"/>
      <c r="HA32" s="7"/>
      <c r="HB32" s="7"/>
      <c r="HC32" s="8"/>
      <c r="HD32" s="8"/>
      <c r="HE32" s="8"/>
      <c r="HF32" s="8"/>
      <c r="HG32" s="8"/>
      <c r="HH32" s="7"/>
      <c r="HI32" s="7"/>
      <c r="HJ32" s="8"/>
      <c r="HK32" s="8"/>
      <c r="HL32" s="8"/>
      <c r="HM32" s="8"/>
      <c r="HN32" s="8"/>
      <c r="HO32" s="7"/>
      <c r="HP32" s="7"/>
      <c r="HQ32" s="106"/>
      <c r="HR32" s="104"/>
      <c r="HS32" s="15" t="s">
        <v>1</v>
      </c>
      <c r="HT32" s="15" t="s">
        <v>1</v>
      </c>
      <c r="HU32" s="15" t="s">
        <v>1</v>
      </c>
      <c r="HV32" s="7"/>
      <c r="HW32" s="7"/>
      <c r="HX32" s="8"/>
      <c r="HY32" s="8"/>
      <c r="HZ32" s="8"/>
      <c r="IA32" s="8"/>
      <c r="IB32" s="8"/>
      <c r="IC32" s="7"/>
      <c r="ID32" s="7"/>
      <c r="IE32" s="8"/>
      <c r="IF32" s="8"/>
      <c r="IG32" s="8"/>
      <c r="IH32" s="8"/>
      <c r="II32" s="8"/>
      <c r="IJ32" s="7"/>
      <c r="IK32" s="7"/>
      <c r="IL32" s="8"/>
      <c r="IM32" s="8"/>
      <c r="IN32" s="8"/>
      <c r="IO32" s="8"/>
      <c r="IP32" s="8"/>
      <c r="IQ32" s="7"/>
      <c r="IR32" s="7"/>
      <c r="IS32" s="8"/>
      <c r="IT32" s="8"/>
      <c r="IU32" s="58"/>
      <c r="IV32" s="78"/>
      <c r="IW32" s="8"/>
      <c r="IX32" s="7"/>
      <c r="IY32" s="7"/>
      <c r="IZ32" s="8"/>
      <c r="JA32" s="8"/>
      <c r="JB32" s="8"/>
      <c r="JC32" s="26"/>
      <c r="JD32" s="8"/>
      <c r="JE32" s="7"/>
      <c r="JF32" s="7"/>
      <c r="JG32" s="8"/>
      <c r="JH32" s="8"/>
      <c r="JI32" s="8"/>
      <c r="JJ32" s="8"/>
      <c r="JK32" s="8"/>
      <c r="JL32" s="7"/>
      <c r="JM32" s="7"/>
      <c r="JN32" s="8"/>
      <c r="JO32" s="8"/>
      <c r="JP32" s="8"/>
      <c r="JQ32" s="8"/>
      <c r="JR32" s="8"/>
      <c r="JS32" s="7"/>
      <c r="JT32" s="7"/>
      <c r="JU32" s="8"/>
      <c r="JV32" s="8"/>
      <c r="JW32" s="8"/>
      <c r="JX32" s="8"/>
      <c r="JY32" s="8"/>
      <c r="JZ32" s="87"/>
      <c r="KA32" s="83"/>
      <c r="KB32" s="26"/>
      <c r="KC32" s="8"/>
      <c r="KD32" s="8"/>
      <c r="KE32" s="8"/>
      <c r="KF32" s="8"/>
      <c r="KG32" s="7"/>
      <c r="KH32" s="7"/>
      <c r="KI32" s="8"/>
      <c r="KJ32" s="8"/>
      <c r="KK32" s="8"/>
      <c r="KL32" s="8"/>
      <c r="KM32" s="8"/>
      <c r="KN32" s="7"/>
      <c r="KO32" s="7"/>
      <c r="KP32" s="11"/>
      <c r="KQ32" s="11"/>
      <c r="KR32" s="11"/>
      <c r="KS32" s="11"/>
      <c r="KT32" s="11"/>
      <c r="KU32" s="7"/>
      <c r="KV32" s="7"/>
      <c r="KW32" s="11"/>
      <c r="KX32" s="11"/>
      <c r="KY32" s="11"/>
      <c r="KZ32" s="11"/>
      <c r="LA32" s="11"/>
      <c r="LB32" s="7"/>
      <c r="LC32" s="7"/>
      <c r="LD32" s="15" t="s">
        <v>1</v>
      </c>
      <c r="LE32" s="74" t="s">
        <v>1</v>
      </c>
      <c r="LF32" s="177" t="s">
        <v>1</v>
      </c>
      <c r="LG32" s="171" t="s">
        <v>1</v>
      </c>
      <c r="LH32" s="171" t="s">
        <v>1</v>
      </c>
      <c r="LI32" s="7"/>
      <c r="LJ32" s="7"/>
      <c r="LK32" s="171" t="s">
        <v>1</v>
      </c>
      <c r="LL32" s="171" t="s">
        <v>1</v>
      </c>
      <c r="LM32" s="171" t="s">
        <v>1</v>
      </c>
      <c r="LN32" s="171" t="s">
        <v>1</v>
      </c>
      <c r="LO32" s="171" t="s">
        <v>1</v>
      </c>
      <c r="LP32" s="7"/>
      <c r="LQ32" s="7"/>
      <c r="LR32" s="171" t="s">
        <v>1</v>
      </c>
      <c r="LS32" s="171" t="s">
        <v>1</v>
      </c>
      <c r="LT32" s="171" t="s">
        <v>1</v>
      </c>
      <c r="LU32" s="171" t="s">
        <v>1</v>
      </c>
      <c r="LV32" s="171" t="s">
        <v>1</v>
      </c>
      <c r="LW32" s="7"/>
      <c r="LX32" s="7"/>
      <c r="LY32" s="171" t="s">
        <v>1</v>
      </c>
      <c r="LZ32" s="171" t="s">
        <v>1</v>
      </c>
      <c r="MA32" s="8"/>
      <c r="MB32" s="8"/>
      <c r="MC32" s="8"/>
      <c r="MD32" s="7"/>
      <c r="ME32" s="7"/>
      <c r="MF32" s="8"/>
      <c r="MG32" s="148"/>
      <c r="MH32" s="28"/>
      <c r="MI32" s="8"/>
      <c r="MJ32" s="8"/>
      <c r="MK32" s="7"/>
      <c r="ML32" s="7"/>
      <c r="MM32" s="8"/>
      <c r="MN32" s="8"/>
      <c r="MO32" s="8"/>
      <c r="MP32" s="8"/>
      <c r="MQ32" s="8"/>
      <c r="MR32" s="7"/>
      <c r="MS32" s="7"/>
      <c r="MT32" s="8"/>
      <c r="MU32" s="8"/>
      <c r="MV32" s="8"/>
      <c r="MW32" s="8"/>
      <c r="MX32" s="8"/>
      <c r="MY32" s="7"/>
      <c r="MZ32" s="7"/>
      <c r="NA32" s="8"/>
      <c r="NB32" s="8"/>
      <c r="NC32" s="8"/>
      <c r="ND32" s="8"/>
      <c r="NE32" s="8"/>
      <c r="NF32" s="7"/>
      <c r="NG32" s="7"/>
      <c r="NH32" s="8"/>
      <c r="NI32" s="8"/>
      <c r="NJ32" s="8"/>
      <c r="NK32" s="8"/>
      <c r="NL32" s="84"/>
    </row>
    <row r="33" spans="1:376" customFormat="1" ht="15.75" thickBot="1">
      <c r="A33" s="1"/>
      <c r="B33" s="29" t="s">
        <v>63</v>
      </c>
      <c r="C33" s="29" t="s">
        <v>30</v>
      </c>
      <c r="D33" s="29" t="s">
        <v>49</v>
      </c>
      <c r="E33" s="37">
        <v>0</v>
      </c>
      <c r="F33" s="29">
        <v>23</v>
      </c>
      <c r="G33" s="29">
        <v>2</v>
      </c>
      <c r="H33" s="29">
        <f t="shared" si="0"/>
        <v>-5</v>
      </c>
      <c r="I33" s="30">
        <f t="shared" si="1"/>
        <v>0</v>
      </c>
      <c r="J33" s="30">
        <f t="shared" si="2"/>
        <v>0</v>
      </c>
      <c r="K33" s="71">
        <f t="shared" si="3"/>
        <v>0</v>
      </c>
      <c r="L33" s="78"/>
      <c r="M33" s="7"/>
      <c r="N33" s="7"/>
      <c r="O33" s="8"/>
      <c r="P33" s="8"/>
      <c r="Q33" s="8"/>
      <c r="R33" s="8"/>
      <c r="S33" s="8"/>
      <c r="T33" s="7"/>
      <c r="U33" s="7"/>
      <c r="V33" s="8"/>
      <c r="W33" s="8"/>
      <c r="X33" s="8"/>
      <c r="Y33" s="26"/>
      <c r="Z33" s="26"/>
      <c r="AA33" s="7"/>
      <c r="AB33" s="7"/>
      <c r="AC33" s="26"/>
      <c r="AD33" s="15" t="s">
        <v>1</v>
      </c>
      <c r="AE33" s="15" t="s">
        <v>1</v>
      </c>
      <c r="AF33" s="17" t="s">
        <v>3</v>
      </c>
      <c r="AG33" s="17" t="s">
        <v>3</v>
      </c>
      <c r="AH33" s="7"/>
      <c r="AI33" s="7"/>
      <c r="AJ33" s="26"/>
      <c r="AK33" s="8"/>
      <c r="AL33" s="8"/>
      <c r="AM33" s="8"/>
      <c r="AN33" s="8"/>
      <c r="AO33" s="87"/>
      <c r="AP33" s="83"/>
      <c r="AQ33" s="8"/>
      <c r="AR33" s="8"/>
      <c r="AS33" s="8"/>
      <c r="AT33" s="8"/>
      <c r="AU33" s="8"/>
      <c r="AV33" s="7"/>
      <c r="AW33" s="7"/>
      <c r="AX33" s="8"/>
      <c r="AY33" s="8"/>
      <c r="AZ33" s="8"/>
      <c r="BA33" s="8"/>
      <c r="BB33" s="8"/>
      <c r="BC33" s="7"/>
      <c r="BD33" s="7"/>
      <c r="BE33" s="8"/>
      <c r="BF33" s="8"/>
      <c r="BG33" s="8"/>
      <c r="BH33" s="8"/>
      <c r="BI33" s="8"/>
      <c r="BJ33" s="7"/>
      <c r="BK33" s="7"/>
      <c r="BL33" s="8"/>
      <c r="BM33" s="8"/>
      <c r="BN33" s="8"/>
      <c r="BO33" s="8"/>
      <c r="BP33" s="8"/>
      <c r="BQ33" s="7"/>
      <c r="BR33" s="7"/>
      <c r="BS33" s="8"/>
      <c r="BT33" s="58"/>
      <c r="BU33" s="78"/>
      <c r="BV33" s="8"/>
      <c r="BW33" s="8"/>
      <c r="BX33" s="7"/>
      <c r="BY33" s="7"/>
      <c r="BZ33" s="8"/>
      <c r="CA33" s="8"/>
      <c r="CB33" s="8"/>
      <c r="CC33" s="8"/>
      <c r="CD33" s="8"/>
      <c r="CE33" s="7"/>
      <c r="CF33" s="7"/>
      <c r="CG33" s="8"/>
      <c r="CH33" s="8"/>
      <c r="CI33" s="8"/>
      <c r="CJ33" s="8"/>
      <c r="CK33" s="8"/>
      <c r="CL33" s="7"/>
      <c r="CM33" s="7"/>
      <c r="CN33" s="8"/>
      <c r="CO33" s="8"/>
      <c r="CP33" s="8"/>
      <c r="CQ33" s="8"/>
      <c r="CR33" s="26"/>
      <c r="CS33" s="7"/>
      <c r="CT33" s="7"/>
      <c r="CU33" s="8"/>
      <c r="CV33" s="8"/>
      <c r="CW33" s="8"/>
      <c r="CX33" s="58"/>
      <c r="CY33" s="78"/>
      <c r="CZ33" s="7"/>
      <c r="DA33" s="7"/>
      <c r="DB33" s="8"/>
      <c r="DC33" s="8"/>
      <c r="DD33" s="8"/>
      <c r="DE33" s="8"/>
      <c r="DF33" s="8"/>
      <c r="DG33" s="7"/>
      <c r="DH33" s="7"/>
      <c r="DI33" s="8"/>
      <c r="DJ33" s="8"/>
      <c r="DK33" s="8"/>
      <c r="DL33" s="8"/>
      <c r="DM33" s="8"/>
      <c r="DN33" s="7"/>
      <c r="DO33" s="7"/>
      <c r="DP33" s="8"/>
      <c r="DQ33" s="8"/>
      <c r="DR33" s="8"/>
      <c r="DS33" s="8"/>
      <c r="DT33" s="8"/>
      <c r="DU33" s="7"/>
      <c r="DV33" s="7"/>
      <c r="DW33" s="8"/>
      <c r="DX33" s="8"/>
      <c r="DY33" s="8"/>
      <c r="DZ33" s="8"/>
      <c r="EA33" s="8"/>
      <c r="EB33" s="7"/>
      <c r="EC33" s="87"/>
      <c r="ED33" s="97" t="s">
        <v>1</v>
      </c>
      <c r="EE33" s="15" t="s">
        <v>1</v>
      </c>
      <c r="EF33" s="15" t="s">
        <v>1</v>
      </c>
      <c r="EG33" s="15" t="s">
        <v>1</v>
      </c>
      <c r="EH33" s="15" t="s">
        <v>1</v>
      </c>
      <c r="EI33" s="7"/>
      <c r="EJ33" s="7"/>
      <c r="EK33" s="15" t="s">
        <v>1</v>
      </c>
      <c r="EL33" s="15" t="s">
        <v>1</v>
      </c>
      <c r="EM33" s="15" t="s">
        <v>1</v>
      </c>
      <c r="EN33" s="15" t="s">
        <v>1</v>
      </c>
      <c r="EO33" s="15" t="s">
        <v>1</v>
      </c>
      <c r="EP33" s="7"/>
      <c r="EQ33" s="7"/>
      <c r="ER33" s="26"/>
      <c r="ES33" s="15" t="s">
        <v>1</v>
      </c>
      <c r="ET33" s="15" t="s">
        <v>1</v>
      </c>
      <c r="EU33" s="15" t="s">
        <v>1</v>
      </c>
      <c r="EV33" s="15" t="s">
        <v>1</v>
      </c>
      <c r="EW33" s="7"/>
      <c r="EX33" s="7"/>
      <c r="EY33" s="8"/>
      <c r="EZ33" s="8"/>
      <c r="FA33" s="8"/>
      <c r="FB33" s="8"/>
      <c r="FC33" s="8"/>
      <c r="FD33" s="7"/>
      <c r="FE33" s="7"/>
      <c r="FF33" s="8"/>
      <c r="FG33" s="8"/>
      <c r="FH33" s="58"/>
      <c r="FI33" s="78"/>
      <c r="FJ33" s="8"/>
      <c r="FK33" s="7"/>
      <c r="FL33" s="7"/>
      <c r="FM33" s="8"/>
      <c r="FN33" s="8"/>
      <c r="FO33" s="8"/>
      <c r="FP33" s="8"/>
      <c r="FQ33" s="8"/>
      <c r="FR33" s="7"/>
      <c r="FS33" s="7"/>
      <c r="FT33" s="8"/>
      <c r="FU33" s="8"/>
      <c r="FV33" s="8"/>
      <c r="FW33" s="8"/>
      <c r="FX33" s="8"/>
      <c r="FY33" s="7"/>
      <c r="FZ33" s="7"/>
      <c r="GA33" s="8"/>
      <c r="GB33" s="8"/>
      <c r="GC33" s="8"/>
      <c r="GD33" s="8"/>
      <c r="GE33" s="8"/>
      <c r="GF33" s="7"/>
      <c r="GG33" s="7"/>
      <c r="GH33" s="8"/>
      <c r="GI33" s="8"/>
      <c r="GJ33" s="8"/>
      <c r="GK33" s="8"/>
      <c r="GL33" s="58"/>
      <c r="GM33" s="83"/>
      <c r="GN33" s="7"/>
      <c r="GO33" s="8"/>
      <c r="GP33" s="8"/>
      <c r="GQ33" s="8"/>
      <c r="GR33" s="8"/>
      <c r="GS33" s="8"/>
      <c r="GT33" s="7"/>
      <c r="GU33" s="7"/>
      <c r="GV33" s="8"/>
      <c r="GW33" s="8"/>
      <c r="GX33" s="26"/>
      <c r="GY33" s="8"/>
      <c r="GZ33" s="8"/>
      <c r="HA33" s="7"/>
      <c r="HB33" s="7"/>
      <c r="HC33" s="8"/>
      <c r="HD33" s="8"/>
      <c r="HE33" s="8"/>
      <c r="HF33" s="8"/>
      <c r="HG33" s="8"/>
      <c r="HH33" s="7"/>
      <c r="HI33" s="7"/>
      <c r="HJ33" s="8"/>
      <c r="HK33" s="8"/>
      <c r="HL33" s="8"/>
      <c r="HM33" s="8"/>
      <c r="HN33" s="8"/>
      <c r="HO33" s="7"/>
      <c r="HP33" s="7"/>
      <c r="HQ33" s="74" t="s">
        <v>1</v>
      </c>
      <c r="HR33" s="104"/>
      <c r="HS33" s="8"/>
      <c r="HT33" s="8"/>
      <c r="HU33" s="8"/>
      <c r="HV33" s="7"/>
      <c r="HW33" s="7"/>
      <c r="HX33" s="8"/>
      <c r="HY33" s="8"/>
      <c r="HZ33" s="8"/>
      <c r="IA33" s="8"/>
      <c r="IB33" s="8"/>
      <c r="IC33" s="7"/>
      <c r="ID33" s="7"/>
      <c r="IE33" s="8"/>
      <c r="IF33" s="8"/>
      <c r="IG33" s="8"/>
      <c r="IH33" s="8"/>
      <c r="II33" s="8"/>
      <c r="IJ33" s="7"/>
      <c r="IK33" s="7"/>
      <c r="IL33" s="8"/>
      <c r="IM33" s="8"/>
      <c r="IN33" s="8"/>
      <c r="IO33" s="8"/>
      <c r="IP33" s="8"/>
      <c r="IQ33" s="7"/>
      <c r="IR33" s="7"/>
      <c r="IS33" s="8"/>
      <c r="IT33" s="8"/>
      <c r="IU33" s="58"/>
      <c r="IV33" s="78"/>
      <c r="IW33" s="8"/>
      <c r="IX33" s="7"/>
      <c r="IY33" s="7"/>
      <c r="IZ33" s="15" t="s">
        <v>1</v>
      </c>
      <c r="JA33" s="26"/>
      <c r="JB33" s="15" t="s">
        <v>1</v>
      </c>
      <c r="JC33" s="26"/>
      <c r="JD33" s="8"/>
      <c r="JE33" s="7"/>
      <c r="JF33" s="7"/>
      <c r="JG33" s="8"/>
      <c r="JH33" s="8"/>
      <c r="JI33" s="8"/>
      <c r="JJ33" s="8"/>
      <c r="JK33" s="8"/>
      <c r="JL33" s="7"/>
      <c r="JM33" s="7"/>
      <c r="JN33" s="8"/>
      <c r="JO33" s="8"/>
      <c r="JP33" s="8"/>
      <c r="JQ33" s="8"/>
      <c r="JR33" s="8"/>
      <c r="JS33" s="7"/>
      <c r="JT33" s="7"/>
      <c r="JU33" s="8"/>
      <c r="JV33" s="8"/>
      <c r="JW33" s="8"/>
      <c r="JX33" s="8"/>
      <c r="JY33" s="8"/>
      <c r="JZ33" s="87"/>
      <c r="KA33" s="83"/>
      <c r="KB33" s="15" t="s">
        <v>1</v>
      </c>
      <c r="KC33" s="15" t="s">
        <v>1</v>
      </c>
      <c r="KD33" s="15" t="s">
        <v>1</v>
      </c>
      <c r="KE33" s="15" t="s">
        <v>1</v>
      </c>
      <c r="KF33" s="26"/>
      <c r="KG33" s="7"/>
      <c r="KH33" s="7"/>
      <c r="KI33" s="8"/>
      <c r="KJ33" s="8"/>
      <c r="KK33" s="8"/>
      <c r="KL33" s="8"/>
      <c r="KM33" s="8"/>
      <c r="KN33" s="7"/>
      <c r="KO33" s="7"/>
      <c r="KP33" s="8"/>
      <c r="KQ33" s="8"/>
      <c r="KR33" s="8"/>
      <c r="KS33" s="8"/>
      <c r="KT33" s="8"/>
      <c r="KU33" s="7"/>
      <c r="KV33" s="7"/>
      <c r="KW33" s="8"/>
      <c r="KX33" s="8"/>
      <c r="KY33" s="8"/>
      <c r="KZ33" s="8"/>
      <c r="LA33" s="8"/>
      <c r="LB33" s="7"/>
      <c r="LC33" s="7"/>
      <c r="LD33" s="8"/>
      <c r="LE33" s="58"/>
      <c r="LF33" s="147"/>
      <c r="LG33" s="8"/>
      <c r="LH33" s="8"/>
      <c r="LI33" s="7"/>
      <c r="LJ33" s="7"/>
      <c r="LK33" s="8"/>
      <c r="LL33" s="8"/>
      <c r="LM33" s="8"/>
      <c r="LN33" s="8"/>
      <c r="LO33" s="8"/>
      <c r="LP33" s="7"/>
      <c r="LQ33" s="7"/>
      <c r="LR33" s="8"/>
      <c r="LS33" s="8"/>
      <c r="LT33" s="8"/>
      <c r="LU33" s="8"/>
      <c r="LV33" s="8"/>
      <c r="LW33" s="7"/>
      <c r="LX33" s="7"/>
      <c r="LY33" s="8"/>
      <c r="LZ33" s="171" t="s">
        <v>1</v>
      </c>
      <c r="MA33" s="171" t="s">
        <v>1</v>
      </c>
      <c r="MB33" s="171" t="s">
        <v>1</v>
      </c>
      <c r="MC33" s="171" t="s">
        <v>1</v>
      </c>
      <c r="MD33" s="7"/>
      <c r="ME33" s="7"/>
      <c r="MF33" s="171" t="s">
        <v>1</v>
      </c>
      <c r="MG33" s="148"/>
      <c r="MH33" s="28"/>
      <c r="MI33" s="8"/>
      <c r="MJ33" s="8"/>
      <c r="MK33" s="7"/>
      <c r="ML33" s="7"/>
      <c r="MM33" s="8"/>
      <c r="MN33" s="8"/>
      <c r="MO33" s="8"/>
      <c r="MP33" s="8"/>
      <c r="MQ33" s="8"/>
      <c r="MR33" s="7"/>
      <c r="MS33" s="7"/>
      <c r="MT33" s="8"/>
      <c r="MU33" s="8"/>
      <c r="MV33" s="8"/>
      <c r="MW33" s="8"/>
      <c r="MX33" s="8"/>
      <c r="MY33" s="7"/>
      <c r="MZ33" s="7"/>
      <c r="NA33" s="8"/>
      <c r="NB33" s="8"/>
      <c r="NC33" s="8"/>
      <c r="ND33" s="8"/>
      <c r="NE33" s="8"/>
      <c r="NF33" s="7"/>
      <c r="NG33" s="7"/>
      <c r="NH33" s="8"/>
      <c r="NI33" s="8"/>
      <c r="NJ33" s="8"/>
      <c r="NK33" s="8"/>
      <c r="NL33" s="84"/>
    </row>
    <row r="34" spans="1:376" customFormat="1" ht="15.75" hidden="1" customHeight="1" thickBot="1">
      <c r="A34" s="1"/>
      <c r="B34" s="29" t="s">
        <v>52</v>
      </c>
      <c r="C34" s="29" t="s">
        <v>30</v>
      </c>
      <c r="D34" s="29"/>
      <c r="E34" s="37">
        <v>0</v>
      </c>
      <c r="F34" s="29">
        <v>23</v>
      </c>
      <c r="G34" s="29">
        <v>0</v>
      </c>
      <c r="H34" s="29">
        <f t="shared" si="0"/>
        <v>18</v>
      </c>
      <c r="I34" s="30">
        <f t="shared" si="1"/>
        <v>-3</v>
      </c>
      <c r="J34" s="30">
        <f t="shared" si="2"/>
        <v>0</v>
      </c>
      <c r="K34" s="71">
        <f t="shared" si="3"/>
        <v>0</v>
      </c>
      <c r="L34" s="78"/>
      <c r="M34" s="7"/>
      <c r="N34" s="7"/>
      <c r="O34" s="8"/>
      <c r="P34" s="8"/>
      <c r="Q34" s="8"/>
      <c r="R34" s="8"/>
      <c r="S34" s="8"/>
      <c r="T34" s="7"/>
      <c r="U34" s="7"/>
      <c r="V34" s="8"/>
      <c r="W34" s="8"/>
      <c r="X34" s="8"/>
      <c r="Y34" s="8"/>
      <c r="Z34" s="26"/>
      <c r="AA34" s="7"/>
      <c r="AB34" s="7"/>
      <c r="AC34" s="8"/>
      <c r="AD34" s="8"/>
      <c r="AE34" s="8"/>
      <c r="AF34" s="8"/>
      <c r="AG34" s="8"/>
      <c r="AH34" s="7"/>
      <c r="AI34" s="7"/>
      <c r="AJ34" s="8"/>
      <c r="AK34" s="8"/>
      <c r="AL34" s="8"/>
      <c r="AM34" s="8"/>
      <c r="AN34" s="8"/>
      <c r="AO34" s="87"/>
      <c r="AP34" s="83"/>
      <c r="AQ34" s="8"/>
      <c r="AR34" s="8"/>
      <c r="AS34" s="8"/>
      <c r="AT34" s="8"/>
      <c r="AU34" s="8"/>
      <c r="AV34" s="7"/>
      <c r="AW34" s="7"/>
      <c r="AX34" s="8"/>
      <c r="AY34" s="8"/>
      <c r="AZ34" s="8"/>
      <c r="BA34" s="8"/>
      <c r="BB34" s="8"/>
      <c r="BC34" s="7"/>
      <c r="BD34" s="7"/>
      <c r="BE34" s="8"/>
      <c r="BF34" s="8"/>
      <c r="BG34" s="8"/>
      <c r="BH34" s="8"/>
      <c r="BI34" s="8"/>
      <c r="BJ34" s="7"/>
      <c r="BK34" s="7"/>
      <c r="BL34" s="17" t="s">
        <v>3</v>
      </c>
      <c r="BM34" s="17" t="s">
        <v>3</v>
      </c>
      <c r="BN34" s="8"/>
      <c r="BO34" s="8"/>
      <c r="BP34" s="8"/>
      <c r="BQ34" s="7"/>
      <c r="BR34" s="7"/>
      <c r="BS34" s="8"/>
      <c r="BT34" s="58"/>
      <c r="BU34" s="78"/>
      <c r="BV34" s="8"/>
      <c r="BW34" s="8"/>
      <c r="BX34" s="7"/>
      <c r="BY34" s="7"/>
      <c r="BZ34" s="8"/>
      <c r="CA34" s="8"/>
      <c r="CB34" s="8"/>
      <c r="CC34" s="8"/>
      <c r="CD34" s="8"/>
      <c r="CE34" s="7"/>
      <c r="CF34" s="7"/>
      <c r="CG34" s="8"/>
      <c r="CH34" s="8"/>
      <c r="CI34" s="8"/>
      <c r="CJ34" s="8"/>
      <c r="CK34" s="8"/>
      <c r="CL34" s="7"/>
      <c r="CM34" s="7"/>
      <c r="CN34" s="8"/>
      <c r="CO34" s="91"/>
      <c r="CP34" s="8"/>
      <c r="CQ34" s="8"/>
      <c r="CR34" s="26"/>
      <c r="CS34" s="7"/>
      <c r="CT34" s="7"/>
      <c r="CU34" s="26"/>
      <c r="CV34" s="8"/>
      <c r="CW34" s="8"/>
      <c r="CX34" s="58"/>
      <c r="CY34" s="78"/>
      <c r="CZ34" s="7"/>
      <c r="DA34" s="7"/>
      <c r="DB34" s="8"/>
      <c r="DC34" s="8"/>
      <c r="DD34" s="8"/>
      <c r="DE34" s="8"/>
      <c r="DF34" s="8"/>
      <c r="DG34" s="7"/>
      <c r="DH34" s="7"/>
      <c r="DI34" s="8"/>
      <c r="DJ34" s="8"/>
      <c r="DK34" s="8"/>
      <c r="DL34" s="8"/>
      <c r="DM34" s="8"/>
      <c r="DN34" s="7"/>
      <c r="DO34" s="7"/>
      <c r="DP34" s="8"/>
      <c r="DQ34" s="8"/>
      <c r="DR34" s="17" t="s">
        <v>3</v>
      </c>
      <c r="DS34" s="8"/>
      <c r="DT34" s="8"/>
      <c r="DU34" s="7"/>
      <c r="DV34" s="7"/>
      <c r="DW34" s="8"/>
      <c r="DX34" s="8"/>
      <c r="DY34" s="8"/>
      <c r="DZ34" s="8"/>
      <c r="EA34" s="8"/>
      <c r="EB34" s="7"/>
      <c r="EC34" s="87"/>
      <c r="ED34" s="9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100"/>
      <c r="FI34" s="9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4" t="s">
        <v>1</v>
      </c>
      <c r="GI34" s="54" t="s">
        <v>1</v>
      </c>
      <c r="GJ34" s="54" t="s">
        <v>1</v>
      </c>
      <c r="GK34" s="54" t="s">
        <v>1</v>
      </c>
      <c r="GL34" s="103" t="s">
        <v>1</v>
      </c>
      <c r="GM34" s="9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100"/>
      <c r="HR34" s="9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100"/>
      <c r="IV34" s="9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100"/>
      <c r="KA34" s="9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100"/>
      <c r="LF34" s="157"/>
      <c r="LG34" s="53"/>
      <c r="LH34" s="53"/>
      <c r="LI34" s="53"/>
      <c r="LJ34" s="53"/>
      <c r="LK34" s="53"/>
      <c r="LL34" s="53"/>
      <c r="LM34" s="53"/>
      <c r="LN34" s="53"/>
      <c r="LO34" s="53"/>
      <c r="LP34" s="53"/>
      <c r="LQ34" s="53"/>
      <c r="LR34" s="53"/>
      <c r="LS34" s="53"/>
      <c r="LT34" s="53"/>
      <c r="LU34" s="53"/>
      <c r="LV34" s="53"/>
      <c r="LW34" s="53"/>
      <c r="LX34" s="53"/>
      <c r="LY34" s="53"/>
      <c r="LZ34" s="53"/>
      <c r="MA34" s="53"/>
      <c r="MB34" s="53"/>
      <c r="MC34" s="53"/>
      <c r="MD34" s="53"/>
      <c r="ME34" s="53"/>
      <c r="MF34" s="53"/>
      <c r="MG34" s="158"/>
      <c r="MH34" s="122"/>
      <c r="MI34" s="53"/>
      <c r="MJ34" s="53"/>
      <c r="MK34" s="53"/>
      <c r="ML34" s="53"/>
      <c r="MM34" s="53"/>
      <c r="MN34" s="53"/>
      <c r="MO34" s="53"/>
      <c r="MP34" s="53"/>
      <c r="MQ34" s="53"/>
      <c r="MR34" s="53"/>
      <c r="MS34" s="53"/>
      <c r="MT34" s="53"/>
      <c r="MU34" s="53"/>
      <c r="MV34" s="53"/>
      <c r="MW34" s="53"/>
      <c r="MX34" s="53"/>
      <c r="MY34" s="53"/>
      <c r="MZ34" s="53"/>
      <c r="NA34" s="53"/>
      <c r="NB34" s="53"/>
      <c r="NC34" s="53"/>
      <c r="ND34" s="53"/>
      <c r="NE34" s="53"/>
      <c r="NF34" s="53"/>
      <c r="NG34" s="53"/>
      <c r="NH34" s="53"/>
      <c r="NI34" s="53"/>
      <c r="NJ34" s="53"/>
      <c r="NK34" s="53"/>
      <c r="NL34" s="94"/>
    </row>
    <row r="35" spans="1:376" customFormat="1" ht="15.75" customHeight="1" thickBot="1">
      <c r="A35" s="1"/>
      <c r="B35" s="29" t="s">
        <v>74</v>
      </c>
      <c r="C35" s="29" t="s">
        <v>30</v>
      </c>
      <c r="D35" s="29" t="s">
        <v>49</v>
      </c>
      <c r="E35" s="37">
        <v>0</v>
      </c>
      <c r="F35" s="29">
        <v>23</v>
      </c>
      <c r="G35" s="29">
        <v>0</v>
      </c>
      <c r="H35" s="29">
        <f t="shared" si="0"/>
        <v>9</v>
      </c>
      <c r="I35" s="30">
        <f t="shared" si="1"/>
        <v>0</v>
      </c>
      <c r="J35" s="30">
        <f t="shared" si="2"/>
        <v>0</v>
      </c>
      <c r="K35" s="71">
        <f t="shared" si="3"/>
        <v>0</v>
      </c>
      <c r="L35" s="78"/>
      <c r="M35" s="7"/>
      <c r="N35" s="7"/>
      <c r="O35" s="8"/>
      <c r="P35" s="8"/>
      <c r="Q35" s="8"/>
      <c r="R35" s="8"/>
      <c r="S35" s="8"/>
      <c r="T35" s="7"/>
      <c r="U35" s="7"/>
      <c r="V35" s="8"/>
      <c r="W35" s="8"/>
      <c r="X35" s="8"/>
      <c r="Y35" s="8"/>
      <c r="Z35" s="26"/>
      <c r="AA35" s="7"/>
      <c r="AB35" s="7"/>
      <c r="AC35" s="8"/>
      <c r="AD35" s="8"/>
      <c r="AE35" s="8"/>
      <c r="AF35" s="8"/>
      <c r="AG35" s="8"/>
      <c r="AH35" s="7"/>
      <c r="AI35" s="7"/>
      <c r="AJ35" s="8"/>
      <c r="AK35" s="8"/>
      <c r="AL35" s="8"/>
      <c r="AM35" s="8"/>
      <c r="AN35" s="8"/>
      <c r="AO35" s="87"/>
      <c r="AP35" s="83"/>
      <c r="AQ35" s="8"/>
      <c r="AR35" s="8"/>
      <c r="AS35" s="8"/>
      <c r="AT35" s="8"/>
      <c r="AU35" s="8"/>
      <c r="AV35" s="7"/>
      <c r="AW35" s="7"/>
      <c r="AX35" s="8"/>
      <c r="AY35" s="8"/>
      <c r="AZ35" s="8"/>
      <c r="BA35" s="8"/>
      <c r="BB35" s="8"/>
      <c r="BC35" s="7"/>
      <c r="BD35" s="7"/>
      <c r="BE35" s="8"/>
      <c r="BF35" s="8"/>
      <c r="BG35" s="8"/>
      <c r="BH35" s="8"/>
      <c r="BI35" s="8"/>
      <c r="BJ35" s="7"/>
      <c r="BK35" s="7"/>
      <c r="BL35" s="8"/>
      <c r="BM35" s="8"/>
      <c r="BN35" s="8"/>
      <c r="BO35" s="8"/>
      <c r="BP35" s="8"/>
      <c r="BQ35" s="7"/>
      <c r="BR35" s="7"/>
      <c r="BS35" s="8"/>
      <c r="BT35" s="58"/>
      <c r="BU35" s="78"/>
      <c r="BV35" s="8"/>
      <c r="BW35" s="8"/>
      <c r="BX35" s="7"/>
      <c r="BY35" s="7"/>
      <c r="BZ35" s="8"/>
      <c r="CA35" s="8"/>
      <c r="CB35" s="8"/>
      <c r="CC35" s="8"/>
      <c r="CD35" s="8"/>
      <c r="CE35" s="7"/>
      <c r="CF35" s="7"/>
      <c r="CG35" s="8"/>
      <c r="CH35" s="8"/>
      <c r="CI35" s="8"/>
      <c r="CJ35" s="8"/>
      <c r="CK35" s="8"/>
      <c r="CL35" s="7"/>
      <c r="CM35" s="7"/>
      <c r="CN35" s="8"/>
      <c r="CO35" s="91"/>
      <c r="CP35" s="8"/>
      <c r="CQ35" s="8"/>
      <c r="CR35" s="26"/>
      <c r="CS35" s="7"/>
      <c r="CT35" s="7"/>
      <c r="CU35" s="26"/>
      <c r="CV35" s="8"/>
      <c r="CW35" s="8"/>
      <c r="CX35" s="58"/>
      <c r="CY35" s="78"/>
      <c r="CZ35" s="7"/>
      <c r="DA35" s="7"/>
      <c r="DB35" s="8"/>
      <c r="DC35" s="8"/>
      <c r="DD35" s="8"/>
      <c r="DE35" s="8"/>
      <c r="DF35" s="8"/>
      <c r="DG35" s="7"/>
      <c r="DH35" s="7"/>
      <c r="DI35" s="8"/>
      <c r="DJ35" s="8"/>
      <c r="DK35" s="8"/>
      <c r="DL35" s="8"/>
      <c r="DM35" s="8"/>
      <c r="DN35" s="7"/>
      <c r="DO35" s="7"/>
      <c r="DP35" s="8"/>
      <c r="DQ35" s="8"/>
      <c r="DR35" s="8"/>
      <c r="DS35" s="8"/>
      <c r="DT35" s="8"/>
      <c r="DU35" s="7"/>
      <c r="DV35" s="7"/>
      <c r="DW35" s="8"/>
      <c r="DX35" s="8"/>
      <c r="DY35" s="8"/>
      <c r="DZ35" s="8"/>
      <c r="EA35" s="8"/>
      <c r="EB35" s="7"/>
      <c r="EC35" s="87"/>
      <c r="ED35" s="78"/>
      <c r="EE35" s="8"/>
      <c r="EF35" s="8"/>
      <c r="EG35" s="8"/>
      <c r="EH35" s="8"/>
      <c r="EI35" s="7"/>
      <c r="EJ35" s="7"/>
      <c r="EK35" s="8"/>
      <c r="EL35" s="8"/>
      <c r="EM35" s="8"/>
      <c r="EN35" s="8"/>
      <c r="EO35" s="8"/>
      <c r="EP35" s="7"/>
      <c r="EQ35" s="7"/>
      <c r="ER35" s="26"/>
      <c r="ES35" s="8"/>
      <c r="ET35" s="8"/>
      <c r="EU35" s="8"/>
      <c r="EV35" s="8"/>
      <c r="EW35" s="7"/>
      <c r="EX35" s="7"/>
      <c r="EY35" s="8"/>
      <c r="EZ35" s="8"/>
      <c r="FA35" s="8"/>
      <c r="FB35" s="8"/>
      <c r="FC35" s="8"/>
      <c r="FD35" s="7"/>
      <c r="FE35" s="7"/>
      <c r="FF35" s="8"/>
      <c r="FG35" s="8"/>
      <c r="FH35" s="58"/>
      <c r="FI35" s="78"/>
      <c r="FJ35" s="8"/>
      <c r="FK35" s="7"/>
      <c r="FL35" s="7"/>
      <c r="FM35" s="8"/>
      <c r="FN35" s="8"/>
      <c r="FO35" s="8"/>
      <c r="FP35" s="8"/>
      <c r="FQ35" s="8"/>
      <c r="FR35" s="7"/>
      <c r="FS35" s="7"/>
      <c r="FT35" s="8"/>
      <c r="FU35" s="8"/>
      <c r="FV35" s="8"/>
      <c r="FW35" s="8"/>
      <c r="FX35" s="26"/>
      <c r="FY35" s="7"/>
      <c r="FZ35" s="7"/>
      <c r="GA35" s="26"/>
      <c r="GB35" s="8"/>
      <c r="GC35" s="8"/>
      <c r="GD35" s="8"/>
      <c r="GE35" s="8"/>
      <c r="GF35" s="7"/>
      <c r="GG35" s="7"/>
      <c r="GH35" s="8"/>
      <c r="GI35" s="8"/>
      <c r="GJ35" s="8"/>
      <c r="GK35" s="8"/>
      <c r="GL35" s="58"/>
      <c r="GM35" s="83"/>
      <c r="GN35" s="7"/>
      <c r="GO35" s="8"/>
      <c r="GP35" s="8"/>
      <c r="GQ35" s="8"/>
      <c r="GR35" s="8"/>
      <c r="GS35" s="8"/>
      <c r="GT35" s="7"/>
      <c r="GU35" s="7"/>
      <c r="GV35" s="26"/>
      <c r="GW35" s="8"/>
      <c r="GX35" s="8"/>
      <c r="GY35" s="8"/>
      <c r="GZ35" s="8"/>
      <c r="HA35" s="7"/>
      <c r="HB35" s="7"/>
      <c r="HC35" s="8"/>
      <c r="HD35" s="8"/>
      <c r="HE35" s="8"/>
      <c r="HF35" s="8"/>
      <c r="HG35" s="8"/>
      <c r="HH35" s="7"/>
      <c r="HI35" s="7"/>
      <c r="HJ35" s="8"/>
      <c r="HK35" s="8"/>
      <c r="HL35" s="8"/>
      <c r="HM35" s="8"/>
      <c r="HN35" s="8"/>
      <c r="HO35" s="7"/>
      <c r="HP35" s="7"/>
      <c r="HQ35" s="106"/>
      <c r="HR35" s="104"/>
      <c r="HS35" s="8"/>
      <c r="HT35" s="8"/>
      <c r="HU35" s="8"/>
      <c r="HV35" s="7"/>
      <c r="HW35" s="7"/>
      <c r="HX35" s="8"/>
      <c r="HY35" s="8"/>
      <c r="HZ35" s="8"/>
      <c r="IA35" s="8"/>
      <c r="IB35" s="8"/>
      <c r="IC35" s="7"/>
      <c r="ID35" s="7"/>
      <c r="IE35" s="8"/>
      <c r="IF35" s="8"/>
      <c r="IG35" s="8"/>
      <c r="IH35" s="8"/>
      <c r="II35" s="8"/>
      <c r="IJ35" s="7"/>
      <c r="IK35" s="7"/>
      <c r="IL35" s="8"/>
      <c r="IM35" s="8"/>
      <c r="IN35" s="8"/>
      <c r="IO35" s="8"/>
      <c r="IP35" s="8"/>
      <c r="IQ35" s="7"/>
      <c r="IR35" s="7"/>
      <c r="IS35" s="8"/>
      <c r="IT35" s="8"/>
      <c r="IU35" s="58"/>
      <c r="IV35" s="78"/>
      <c r="IW35" s="8"/>
      <c r="IX35" s="7"/>
      <c r="IY35" s="7"/>
      <c r="IZ35" s="8"/>
      <c r="JA35" s="8"/>
      <c r="JB35" s="8"/>
      <c r="JC35" s="26"/>
      <c r="JD35" s="8"/>
      <c r="JE35" s="7"/>
      <c r="JF35" s="7"/>
      <c r="JG35" s="8"/>
      <c r="JH35" s="8"/>
      <c r="JI35" s="8"/>
      <c r="JJ35" s="8"/>
      <c r="JK35" s="8"/>
      <c r="JL35" s="7"/>
      <c r="JM35" s="7"/>
      <c r="JN35" s="8"/>
      <c r="JO35" s="8"/>
      <c r="JP35" s="8"/>
      <c r="JQ35" s="8"/>
      <c r="JR35" s="8"/>
      <c r="JS35" s="7"/>
      <c r="JT35" s="7"/>
      <c r="JU35" s="8"/>
      <c r="JV35" s="8"/>
      <c r="JW35" s="8"/>
      <c r="JX35" s="8"/>
      <c r="JY35" s="8"/>
      <c r="JZ35" s="87"/>
      <c r="KA35" s="83"/>
      <c r="KB35" s="26"/>
      <c r="KC35" s="15" t="s">
        <v>1</v>
      </c>
      <c r="KD35" s="15" t="s">
        <v>1</v>
      </c>
      <c r="KE35" s="15" t="s">
        <v>1</v>
      </c>
      <c r="KF35" s="15" t="s">
        <v>1</v>
      </c>
      <c r="KG35" s="7"/>
      <c r="KH35" s="7"/>
      <c r="KI35" s="15" t="s">
        <v>1</v>
      </c>
      <c r="KJ35" s="15" t="s">
        <v>1</v>
      </c>
      <c r="KK35" s="15" t="s">
        <v>1</v>
      </c>
      <c r="KL35" s="15" t="s">
        <v>1</v>
      </c>
      <c r="KM35" s="15" t="s">
        <v>1</v>
      </c>
      <c r="KN35" s="7"/>
      <c r="KO35" s="7"/>
      <c r="KP35" s="15" t="s">
        <v>1</v>
      </c>
      <c r="KQ35" s="15" t="s">
        <v>1</v>
      </c>
      <c r="KR35" s="15" t="s">
        <v>1</v>
      </c>
      <c r="KS35" s="15" t="s">
        <v>1</v>
      </c>
      <c r="KT35" s="15" t="s">
        <v>1</v>
      </c>
      <c r="KU35" s="7"/>
      <c r="KV35" s="7"/>
      <c r="KW35" s="8"/>
      <c r="KX35" s="8"/>
      <c r="KY35" s="8"/>
      <c r="KZ35" s="8"/>
      <c r="LA35" s="8"/>
      <c r="LB35" s="7"/>
      <c r="LC35" s="7"/>
      <c r="LD35" s="8"/>
      <c r="LE35" s="58"/>
      <c r="LF35" s="147"/>
      <c r="LG35" s="8"/>
      <c r="LH35" s="8"/>
      <c r="LI35" s="7"/>
      <c r="LJ35" s="7"/>
      <c r="LK35" s="8"/>
      <c r="LL35" s="8"/>
      <c r="LM35" s="8"/>
      <c r="LN35" s="8"/>
      <c r="LO35" s="8"/>
      <c r="LP35" s="7"/>
      <c r="LQ35" s="7"/>
      <c r="LR35" s="8"/>
      <c r="LS35" s="8"/>
      <c r="LT35" s="8"/>
      <c r="LU35" s="8"/>
      <c r="LV35" s="8"/>
      <c r="LW35" s="7"/>
      <c r="LX35" s="7"/>
      <c r="LY35" s="8"/>
      <c r="LZ35" s="8"/>
      <c r="MA35" s="8"/>
      <c r="MB35" s="8"/>
      <c r="MC35" s="8"/>
      <c r="MD35" s="7"/>
      <c r="ME35" s="7"/>
      <c r="MF35" s="8"/>
      <c r="MG35" s="148"/>
      <c r="MH35" s="28"/>
      <c r="MI35" s="8"/>
      <c r="MJ35" s="8"/>
      <c r="MK35" s="7"/>
      <c r="ML35" s="7"/>
      <c r="MM35" s="8"/>
      <c r="MN35" s="8"/>
      <c r="MO35" s="8"/>
      <c r="MP35" s="8"/>
      <c r="MQ35" s="8"/>
      <c r="MR35" s="7"/>
      <c r="MS35" s="7"/>
      <c r="MT35" s="8"/>
      <c r="MU35" s="8"/>
      <c r="MV35" s="8"/>
      <c r="MW35" s="8"/>
      <c r="MX35" s="8"/>
      <c r="MY35" s="7"/>
      <c r="MZ35" s="7"/>
      <c r="NA35" s="8"/>
      <c r="NB35" s="8"/>
      <c r="NC35" s="8"/>
      <c r="ND35" s="8"/>
      <c r="NE35" s="8"/>
      <c r="NF35" s="7"/>
      <c r="NG35" s="7"/>
      <c r="NH35" s="8"/>
      <c r="NI35" s="8"/>
      <c r="NJ35" s="8"/>
      <c r="NK35" s="8"/>
      <c r="NL35" s="84"/>
    </row>
    <row r="36" spans="1:376" customFormat="1" ht="15.75" thickBot="1">
      <c r="A36" s="1"/>
      <c r="B36" s="29" t="s">
        <v>93</v>
      </c>
      <c r="C36" s="29" t="s">
        <v>30</v>
      </c>
      <c r="D36" s="29" t="s">
        <v>49</v>
      </c>
      <c r="E36" s="37">
        <v>0</v>
      </c>
      <c r="F36" s="29">
        <v>23</v>
      </c>
      <c r="G36" s="29">
        <v>2</v>
      </c>
      <c r="H36" s="29">
        <f t="shared" si="0"/>
        <v>11</v>
      </c>
      <c r="I36" s="30">
        <f t="shared" si="1"/>
        <v>2</v>
      </c>
      <c r="J36" s="30">
        <f t="shared" si="2"/>
        <v>0</v>
      </c>
      <c r="K36" s="71">
        <f t="shared" si="3"/>
        <v>0</v>
      </c>
      <c r="L36" s="78"/>
      <c r="M36" s="7"/>
      <c r="N36" s="7"/>
      <c r="O36" s="8"/>
      <c r="P36" s="8"/>
      <c r="Q36" s="8"/>
      <c r="R36" s="8"/>
      <c r="S36" s="8"/>
      <c r="T36" s="7"/>
      <c r="U36" s="7"/>
      <c r="V36" s="8"/>
      <c r="W36" s="8"/>
      <c r="X36" s="8"/>
      <c r="Y36" s="26"/>
      <c r="Z36" s="26"/>
      <c r="AA36" s="7"/>
      <c r="AB36" s="7"/>
      <c r="AC36" s="26"/>
      <c r="AD36" s="8"/>
      <c r="AE36" s="8"/>
      <c r="AF36" s="8"/>
      <c r="AG36" s="8"/>
      <c r="AH36" s="7"/>
      <c r="AI36" s="7"/>
      <c r="AJ36" s="26"/>
      <c r="AK36" s="8"/>
      <c r="AL36" s="8"/>
      <c r="AM36" s="8"/>
      <c r="AN36" s="8"/>
      <c r="AO36" s="87"/>
      <c r="AP36" s="83"/>
      <c r="AQ36" s="8"/>
      <c r="AR36" s="8"/>
      <c r="AS36" s="8"/>
      <c r="AT36" s="8"/>
      <c r="AU36" s="8"/>
      <c r="AV36" s="7"/>
      <c r="AW36" s="7"/>
      <c r="AX36" s="8"/>
      <c r="AY36" s="8"/>
      <c r="AZ36" s="8"/>
      <c r="BA36" s="8"/>
      <c r="BB36" s="8"/>
      <c r="BC36" s="7"/>
      <c r="BD36" s="7"/>
      <c r="BE36" s="8"/>
      <c r="BF36" s="8"/>
      <c r="BG36" s="8"/>
      <c r="BH36" s="8"/>
      <c r="BI36" s="8"/>
      <c r="BJ36" s="7"/>
      <c r="BK36" s="7"/>
      <c r="BL36" s="8"/>
      <c r="BM36" s="8"/>
      <c r="BN36" s="8"/>
      <c r="BO36" s="8"/>
      <c r="BP36" s="8"/>
      <c r="BQ36" s="7"/>
      <c r="BR36" s="7"/>
      <c r="BS36" s="8"/>
      <c r="BT36" s="58"/>
      <c r="BU36" s="78"/>
      <c r="BV36" s="8"/>
      <c r="BW36" s="8"/>
      <c r="BX36" s="7"/>
      <c r="BY36" s="7"/>
      <c r="BZ36" s="8"/>
      <c r="CA36" s="8"/>
      <c r="CB36" s="8"/>
      <c r="CC36" s="8"/>
      <c r="CD36" s="8"/>
      <c r="CE36" s="7"/>
      <c r="CF36" s="7"/>
      <c r="CG36" s="8"/>
      <c r="CH36" s="8"/>
      <c r="CI36" s="8"/>
      <c r="CJ36" s="8"/>
      <c r="CK36" s="8"/>
      <c r="CL36" s="7"/>
      <c r="CM36" s="7"/>
      <c r="CN36" s="8"/>
      <c r="CO36" s="8"/>
      <c r="CP36" s="8"/>
      <c r="CQ36" s="8"/>
      <c r="CR36" s="26"/>
      <c r="CS36" s="7"/>
      <c r="CT36" s="7"/>
      <c r="CU36" s="8"/>
      <c r="CV36" s="8"/>
      <c r="CW36" s="8"/>
      <c r="CX36" s="58"/>
      <c r="CY36" s="78"/>
      <c r="CZ36" s="7"/>
      <c r="DA36" s="7"/>
      <c r="DB36" s="8"/>
      <c r="DC36" s="8"/>
      <c r="DD36" s="8"/>
      <c r="DE36" s="8"/>
      <c r="DF36" s="8"/>
      <c r="DG36" s="7"/>
      <c r="DH36" s="7"/>
      <c r="DI36" s="8"/>
      <c r="DJ36" s="8"/>
      <c r="DK36" s="8"/>
      <c r="DL36" s="8"/>
      <c r="DM36" s="8"/>
      <c r="DN36" s="7"/>
      <c r="DO36" s="7"/>
      <c r="DP36" s="8"/>
      <c r="DQ36" s="8"/>
      <c r="DR36" s="8"/>
      <c r="DS36" s="8"/>
      <c r="DT36" s="8"/>
      <c r="DU36" s="7"/>
      <c r="DV36" s="7"/>
      <c r="DW36" s="8"/>
      <c r="DX36" s="8"/>
      <c r="DY36" s="8"/>
      <c r="DZ36" s="8"/>
      <c r="EA36" s="8"/>
      <c r="EB36" s="7"/>
      <c r="EC36" s="87"/>
      <c r="ED36" s="78"/>
      <c r="EE36" s="8"/>
      <c r="EF36" s="8"/>
      <c r="EG36" s="8"/>
      <c r="EH36" s="8"/>
      <c r="EI36" s="7"/>
      <c r="EJ36" s="7"/>
      <c r="EK36" s="8"/>
      <c r="EL36" s="8"/>
      <c r="EM36" s="8"/>
      <c r="EN36" s="8"/>
      <c r="EO36" s="8"/>
      <c r="EP36" s="7"/>
      <c r="EQ36" s="7"/>
      <c r="ER36" s="26"/>
      <c r="ES36" s="15" t="s">
        <v>1</v>
      </c>
      <c r="ET36" s="15" t="s">
        <v>1</v>
      </c>
      <c r="EU36" s="15" t="s">
        <v>1</v>
      </c>
      <c r="EV36" s="15" t="s">
        <v>1</v>
      </c>
      <c r="EW36" s="7"/>
      <c r="EX36" s="7"/>
      <c r="EY36" s="15" t="s">
        <v>1</v>
      </c>
      <c r="EZ36" s="15" t="s">
        <v>1</v>
      </c>
      <c r="FA36" s="15" t="s">
        <v>1</v>
      </c>
      <c r="FB36" s="15" t="s">
        <v>1</v>
      </c>
      <c r="FC36" s="15" t="s">
        <v>1</v>
      </c>
      <c r="FD36" s="7"/>
      <c r="FE36" s="7"/>
      <c r="FF36" s="15" t="s">
        <v>1</v>
      </c>
      <c r="FG36" s="15" t="s">
        <v>1</v>
      </c>
      <c r="FH36" s="74" t="s">
        <v>1</v>
      </c>
      <c r="FI36" s="78"/>
      <c r="FJ36" s="8"/>
      <c r="FK36" s="7"/>
      <c r="FL36" s="7"/>
      <c r="FM36" s="8"/>
      <c r="FN36" s="8"/>
      <c r="FO36" s="8"/>
      <c r="FP36" s="8"/>
      <c r="FQ36" s="8"/>
      <c r="FR36" s="7"/>
      <c r="FS36" s="7"/>
      <c r="FT36" s="8"/>
      <c r="FU36" s="8"/>
      <c r="FV36" s="8"/>
      <c r="FW36" s="8"/>
      <c r="FX36" s="26"/>
      <c r="FY36" s="7"/>
      <c r="FZ36" s="7"/>
      <c r="GA36" s="8"/>
      <c r="GB36" s="8"/>
      <c r="GC36" s="8"/>
      <c r="GD36" s="8"/>
      <c r="GE36" s="8"/>
      <c r="GF36" s="7"/>
      <c r="GG36" s="7"/>
      <c r="GH36" s="8"/>
      <c r="GI36" s="8"/>
      <c r="GJ36" s="8"/>
      <c r="GK36" s="8"/>
      <c r="GL36" s="58"/>
      <c r="GM36" s="83"/>
      <c r="GN36" s="7"/>
      <c r="GO36" s="8"/>
      <c r="GP36" s="8"/>
      <c r="GQ36" s="8"/>
      <c r="GR36" s="8"/>
      <c r="GS36" s="8"/>
      <c r="GT36" s="7"/>
      <c r="GU36" s="7"/>
      <c r="GV36" s="8"/>
      <c r="GW36" s="8"/>
      <c r="GX36" s="26"/>
      <c r="GY36" s="8"/>
      <c r="GZ36" s="8"/>
      <c r="HA36" s="7"/>
      <c r="HB36" s="7"/>
      <c r="HC36" s="8"/>
      <c r="HD36" s="8"/>
      <c r="HE36" s="8"/>
      <c r="HF36" s="8"/>
      <c r="HG36" s="8"/>
      <c r="HH36" s="7"/>
      <c r="HI36" s="7"/>
      <c r="HJ36" s="8"/>
      <c r="HK36" s="8"/>
      <c r="HL36" s="8"/>
      <c r="HM36" s="8"/>
      <c r="HN36" s="8"/>
      <c r="HO36" s="7"/>
      <c r="HP36" s="7"/>
      <c r="HQ36" s="58"/>
      <c r="HR36" s="104"/>
      <c r="HS36" s="8"/>
      <c r="HT36" s="8"/>
      <c r="HU36" s="8"/>
      <c r="HV36" s="7"/>
      <c r="HW36" s="7"/>
      <c r="HX36" s="8"/>
      <c r="HY36" s="8"/>
      <c r="HZ36" s="8"/>
      <c r="IA36" s="8"/>
      <c r="IB36" s="8"/>
      <c r="IC36" s="7"/>
      <c r="ID36" s="7"/>
      <c r="IE36" s="8"/>
      <c r="IF36" s="8"/>
      <c r="IG36" s="8"/>
      <c r="IH36" s="8"/>
      <c r="II36" s="8"/>
      <c r="IJ36" s="7"/>
      <c r="IK36" s="7"/>
      <c r="IL36" s="8"/>
      <c r="IM36" s="8"/>
      <c r="IN36" s="8"/>
      <c r="IO36" s="8"/>
      <c r="IP36" s="8"/>
      <c r="IQ36" s="7"/>
      <c r="IR36" s="7"/>
      <c r="IS36" s="8"/>
      <c r="IT36" s="8"/>
      <c r="IU36" s="58"/>
      <c r="IV36" s="78"/>
      <c r="IW36" s="8"/>
      <c r="IX36" s="7"/>
      <c r="IY36" s="7"/>
      <c r="IZ36" s="8"/>
      <c r="JA36" s="26"/>
      <c r="JB36" s="8"/>
      <c r="JC36" s="26"/>
      <c r="JD36" s="8"/>
      <c r="JE36" s="7"/>
      <c r="JF36" s="7"/>
      <c r="JG36" s="8"/>
      <c r="JH36" s="8"/>
      <c r="JI36" s="8"/>
      <c r="JJ36" s="8"/>
      <c r="JK36" s="8"/>
      <c r="JL36" s="7"/>
      <c r="JM36" s="7"/>
      <c r="JN36" s="8"/>
      <c r="JO36" s="8"/>
      <c r="JP36" s="8"/>
      <c r="JQ36" s="8"/>
      <c r="JR36" s="8"/>
      <c r="JS36" s="7"/>
      <c r="JT36" s="7"/>
      <c r="JU36" s="8"/>
      <c r="JV36" s="8"/>
      <c r="JW36" s="8"/>
      <c r="JX36" s="8"/>
      <c r="JY36" s="63"/>
      <c r="JZ36" s="87"/>
      <c r="KA36" s="83"/>
      <c r="KB36" s="8"/>
      <c r="KC36" s="8"/>
      <c r="KD36" s="8"/>
      <c r="KE36" s="8"/>
      <c r="KF36" s="26"/>
      <c r="KG36" s="7"/>
      <c r="KH36" s="7"/>
      <c r="KI36" s="8"/>
      <c r="KJ36" s="8"/>
      <c r="KK36" s="8"/>
      <c r="KL36" s="8"/>
      <c r="KM36" s="8"/>
      <c r="KN36" s="7"/>
      <c r="KO36" s="7"/>
      <c r="KP36" s="8"/>
      <c r="KQ36" s="8"/>
      <c r="KR36" s="8"/>
      <c r="KS36" s="8"/>
      <c r="KT36" s="8"/>
      <c r="KU36" s="7"/>
      <c r="KV36" s="7"/>
      <c r="KW36" s="8"/>
      <c r="KX36" s="8"/>
      <c r="KY36" s="8"/>
      <c r="KZ36" s="8"/>
      <c r="LA36" s="8"/>
      <c r="LB36" s="7"/>
      <c r="LC36" s="7"/>
      <c r="LD36" s="8"/>
      <c r="LE36" s="58"/>
      <c r="LF36" s="147"/>
      <c r="LG36" s="8"/>
      <c r="LH36" s="8"/>
      <c r="LI36" s="7"/>
      <c r="LJ36" s="7"/>
      <c r="LK36" s="8"/>
      <c r="LL36" s="8"/>
      <c r="LM36" s="8"/>
      <c r="LN36" s="8"/>
      <c r="LO36" s="8"/>
      <c r="LP36" s="7"/>
      <c r="LQ36" s="7"/>
      <c r="LR36" s="8"/>
      <c r="LS36" s="8"/>
      <c r="LT36" s="8"/>
      <c r="LU36" s="8"/>
      <c r="LV36" s="8"/>
      <c r="LW36" s="7"/>
      <c r="LX36" s="7"/>
      <c r="LY36" s="8"/>
      <c r="LZ36" s="8"/>
      <c r="MA36" s="8"/>
      <c r="MB36" s="8"/>
      <c r="MC36" s="8"/>
      <c r="MD36" s="7"/>
      <c r="ME36" s="7"/>
      <c r="MF36" s="8"/>
      <c r="MG36" s="148"/>
      <c r="MH36" s="28"/>
      <c r="MI36" s="8"/>
      <c r="MJ36" s="8"/>
      <c r="MK36" s="7"/>
      <c r="ML36" s="7"/>
      <c r="MM36" s="8"/>
      <c r="MN36" s="8"/>
      <c r="MO36" s="8"/>
      <c r="MP36" s="8"/>
      <c r="MQ36" s="8"/>
      <c r="MR36" s="7"/>
      <c r="MS36" s="7"/>
      <c r="MT36" s="8"/>
      <c r="MU36" s="8"/>
      <c r="MV36" s="8"/>
      <c r="MW36" s="8"/>
      <c r="MX36" s="8"/>
      <c r="MY36" s="7"/>
      <c r="MZ36" s="7"/>
      <c r="NA36" s="8"/>
      <c r="NB36" s="8"/>
      <c r="NC36" s="8"/>
      <c r="ND36" s="8"/>
      <c r="NE36" s="8"/>
      <c r="NF36" s="7"/>
      <c r="NG36" s="7"/>
      <c r="NH36" s="8"/>
      <c r="NI36" s="8"/>
      <c r="NJ36" s="8"/>
      <c r="NK36" s="8"/>
      <c r="NL36" s="84"/>
    </row>
    <row r="37" spans="1:376" customFormat="1" ht="15.75" customHeight="1" thickBot="1">
      <c r="A37" s="1"/>
      <c r="B37" s="29" t="s">
        <v>78</v>
      </c>
      <c r="C37" s="29" t="s">
        <v>30</v>
      </c>
      <c r="D37" s="29" t="s">
        <v>49</v>
      </c>
      <c r="E37" s="37">
        <v>0</v>
      </c>
      <c r="F37" s="29">
        <v>23</v>
      </c>
      <c r="G37" s="29">
        <v>3</v>
      </c>
      <c r="H37" s="29">
        <f t="shared" si="0"/>
        <v>-10</v>
      </c>
      <c r="I37" s="30">
        <f t="shared" si="1"/>
        <v>-2</v>
      </c>
      <c r="J37" s="30">
        <f t="shared" si="2"/>
        <v>0</v>
      </c>
      <c r="K37" s="71">
        <f t="shared" si="3"/>
        <v>3</v>
      </c>
      <c r="L37" s="78"/>
      <c r="M37" s="7"/>
      <c r="N37" s="7"/>
      <c r="O37" s="8"/>
      <c r="P37" s="8"/>
      <c r="Q37" s="8"/>
      <c r="R37" s="8"/>
      <c r="S37" s="8"/>
      <c r="T37" s="7"/>
      <c r="U37" s="7"/>
      <c r="V37" s="8"/>
      <c r="W37" s="8"/>
      <c r="X37" s="8"/>
      <c r="Y37" s="8"/>
      <c r="Z37" s="26"/>
      <c r="AA37" s="7"/>
      <c r="AB37" s="7"/>
      <c r="AC37" s="8"/>
      <c r="AD37" s="8"/>
      <c r="AE37" s="8"/>
      <c r="AF37" s="8"/>
      <c r="AG37" s="8"/>
      <c r="AH37" s="7"/>
      <c r="AI37" s="7"/>
      <c r="AJ37" s="8"/>
      <c r="AK37" s="8"/>
      <c r="AL37" s="8"/>
      <c r="AM37" s="8"/>
      <c r="AN37" s="8"/>
      <c r="AO37" s="87"/>
      <c r="AP37" s="83"/>
      <c r="AQ37" s="8"/>
      <c r="AR37" s="8"/>
      <c r="AS37" s="8"/>
      <c r="AT37" s="8"/>
      <c r="AU37" s="8"/>
      <c r="AV37" s="7"/>
      <c r="AW37" s="7"/>
      <c r="AX37" s="8"/>
      <c r="AY37" s="8"/>
      <c r="AZ37" s="8"/>
      <c r="BA37" s="8"/>
      <c r="BB37" s="8"/>
      <c r="BC37" s="7"/>
      <c r="BD37" s="7"/>
      <c r="BE37" s="15" t="s">
        <v>1</v>
      </c>
      <c r="BF37" s="15" t="s">
        <v>1</v>
      </c>
      <c r="BG37" s="15" t="s">
        <v>1</v>
      </c>
      <c r="BH37" s="15" t="s">
        <v>1</v>
      </c>
      <c r="BI37" s="15" t="s">
        <v>1</v>
      </c>
      <c r="BJ37" s="7"/>
      <c r="BK37" s="7"/>
      <c r="BL37" s="15" t="s">
        <v>1</v>
      </c>
      <c r="BM37" s="15" t="s">
        <v>1</v>
      </c>
      <c r="BN37" s="15" t="s">
        <v>1</v>
      </c>
      <c r="BO37" s="15" t="s">
        <v>1</v>
      </c>
      <c r="BP37" s="15" t="s">
        <v>1</v>
      </c>
      <c r="BQ37" s="7"/>
      <c r="BR37" s="7"/>
      <c r="BS37" s="8"/>
      <c r="BT37" s="58"/>
      <c r="BU37" s="78"/>
      <c r="BV37" s="8"/>
      <c r="BW37" s="8"/>
      <c r="BX37" s="7"/>
      <c r="BY37" s="7"/>
      <c r="BZ37" s="8"/>
      <c r="CA37" s="8"/>
      <c r="CB37" s="8"/>
      <c r="CC37" s="8"/>
      <c r="CD37" s="8"/>
      <c r="CE37" s="7"/>
      <c r="CF37" s="7"/>
      <c r="CG37" s="8"/>
      <c r="CH37" s="8"/>
      <c r="CI37" s="8"/>
      <c r="CJ37" s="8"/>
      <c r="CK37" s="8"/>
      <c r="CL37" s="7"/>
      <c r="CM37" s="7"/>
      <c r="CN37" s="8"/>
      <c r="CO37" s="26"/>
      <c r="CP37" s="8"/>
      <c r="CQ37" s="8"/>
      <c r="CR37" s="8"/>
      <c r="CS37" s="7"/>
      <c r="CT37" s="7"/>
      <c r="CU37" s="26"/>
      <c r="CV37" s="8"/>
      <c r="CW37" s="8"/>
      <c r="CX37" s="58"/>
      <c r="CY37" s="95" t="s">
        <v>3</v>
      </c>
      <c r="CZ37" s="7"/>
      <c r="DA37" s="7"/>
      <c r="DB37" s="8"/>
      <c r="DC37" s="8"/>
      <c r="DD37" s="8"/>
      <c r="DE37" s="8"/>
      <c r="DF37" s="8"/>
      <c r="DG37" s="7"/>
      <c r="DH37" s="7"/>
      <c r="DI37" s="8"/>
      <c r="DJ37" s="8"/>
      <c r="DK37" s="8"/>
      <c r="DL37" s="8"/>
      <c r="DM37" s="8"/>
      <c r="DN37" s="7"/>
      <c r="DO37" s="7"/>
      <c r="DP37" s="8"/>
      <c r="DQ37" s="8"/>
      <c r="DR37" s="8"/>
      <c r="DS37" s="8"/>
      <c r="DT37" s="8"/>
      <c r="DU37" s="7"/>
      <c r="DV37" s="7"/>
      <c r="DW37" s="8"/>
      <c r="DX37" s="8"/>
      <c r="DY37" s="8"/>
      <c r="DZ37" s="8"/>
      <c r="EA37" s="8"/>
      <c r="EB37" s="7"/>
      <c r="EC37" s="87"/>
      <c r="ED37" s="78"/>
      <c r="EE37" s="8"/>
      <c r="EF37" s="8"/>
      <c r="EG37" s="8"/>
      <c r="EH37" s="8"/>
      <c r="EI37" s="7"/>
      <c r="EJ37" s="7"/>
      <c r="EK37" s="8"/>
      <c r="EL37" s="8"/>
      <c r="EM37" s="8"/>
      <c r="EN37" s="8"/>
      <c r="EO37" s="8"/>
      <c r="EP37" s="7"/>
      <c r="EQ37" s="7"/>
      <c r="ER37" s="26"/>
      <c r="ES37" s="8"/>
      <c r="ET37" s="8"/>
      <c r="EU37" s="8"/>
      <c r="EV37" s="8"/>
      <c r="EW37" s="7"/>
      <c r="EX37" s="7"/>
      <c r="EY37" s="8"/>
      <c r="EZ37" s="8"/>
      <c r="FA37" s="8"/>
      <c r="FB37" s="8"/>
      <c r="FC37" s="8"/>
      <c r="FD37" s="7"/>
      <c r="FE37" s="7"/>
      <c r="FF37" s="8"/>
      <c r="FG37" s="8"/>
      <c r="FH37" s="58"/>
      <c r="FI37" s="78"/>
      <c r="FJ37" s="8"/>
      <c r="FK37" s="7"/>
      <c r="FL37" s="7"/>
      <c r="FM37" s="8"/>
      <c r="FN37" s="8"/>
      <c r="FO37" s="8"/>
      <c r="FP37" s="8"/>
      <c r="FQ37" s="8"/>
      <c r="FR37" s="7"/>
      <c r="FS37" s="7"/>
      <c r="FT37" s="8"/>
      <c r="FU37" s="8"/>
      <c r="FV37" s="8"/>
      <c r="FW37" s="8"/>
      <c r="FX37" s="26"/>
      <c r="FY37" s="7"/>
      <c r="FZ37" s="7"/>
      <c r="GA37" s="26"/>
      <c r="GB37" s="8"/>
      <c r="GC37" s="8"/>
      <c r="GD37" s="8"/>
      <c r="GE37" s="8"/>
      <c r="GF37" s="7"/>
      <c r="GG37" s="7"/>
      <c r="GH37" s="8"/>
      <c r="GI37" s="8"/>
      <c r="GJ37" s="8"/>
      <c r="GK37" s="8"/>
      <c r="GL37" s="58"/>
      <c r="GM37" s="83"/>
      <c r="GN37" s="7"/>
      <c r="GO37" s="8"/>
      <c r="GP37" s="8"/>
      <c r="GQ37" s="8"/>
      <c r="GR37" s="8"/>
      <c r="GS37" s="8"/>
      <c r="GT37" s="7"/>
      <c r="GU37" s="7"/>
      <c r="GV37" s="26"/>
      <c r="GW37" s="8"/>
      <c r="GX37" s="8"/>
      <c r="GY37" s="8"/>
      <c r="GZ37" s="8"/>
      <c r="HA37" s="7"/>
      <c r="HB37" s="7"/>
      <c r="HC37" s="8"/>
      <c r="HD37" s="8"/>
      <c r="HE37" s="8"/>
      <c r="HF37" s="8"/>
      <c r="HG37" s="8"/>
      <c r="HH37" s="7"/>
      <c r="HI37" s="7"/>
      <c r="HJ37" s="15" t="s">
        <v>1</v>
      </c>
      <c r="HK37" s="15" t="s">
        <v>1</v>
      </c>
      <c r="HL37" s="15" t="s">
        <v>1</v>
      </c>
      <c r="HM37" s="15" t="s">
        <v>1</v>
      </c>
      <c r="HN37" s="15" t="s">
        <v>1</v>
      </c>
      <c r="HO37" s="7"/>
      <c r="HP37" s="7"/>
      <c r="HQ37" s="106"/>
      <c r="HR37" s="104"/>
      <c r="HS37" s="21" t="s">
        <v>7</v>
      </c>
      <c r="HT37" s="21" t="s">
        <v>7</v>
      </c>
      <c r="HU37" s="21" t="s">
        <v>7</v>
      </c>
      <c r="HV37" s="7"/>
      <c r="HW37" s="7"/>
      <c r="HX37" s="8"/>
      <c r="HY37" s="8"/>
      <c r="HZ37" s="8"/>
      <c r="IA37" s="8"/>
      <c r="IB37" s="8"/>
      <c r="IC37" s="7"/>
      <c r="ID37" s="7"/>
      <c r="IE37" s="8"/>
      <c r="IF37" s="8"/>
      <c r="IG37" s="8"/>
      <c r="IH37" s="8"/>
      <c r="II37" s="8"/>
      <c r="IJ37" s="7"/>
      <c r="IK37" s="7"/>
      <c r="IL37" s="8"/>
      <c r="IM37" s="8"/>
      <c r="IN37" s="8"/>
      <c r="IO37" s="8"/>
      <c r="IP37" s="8"/>
      <c r="IQ37" s="7"/>
      <c r="IR37" s="7"/>
      <c r="IS37" s="8"/>
      <c r="IT37" s="8"/>
      <c r="IU37" s="58"/>
      <c r="IV37" s="78"/>
      <c r="IW37" s="8"/>
      <c r="IX37" s="7"/>
      <c r="IY37" s="7"/>
      <c r="IZ37" s="8"/>
      <c r="JA37" s="8"/>
      <c r="JB37" s="8"/>
      <c r="JC37" s="26"/>
      <c r="JD37" s="8"/>
      <c r="JE37" s="7"/>
      <c r="JF37" s="7"/>
      <c r="JG37" s="8"/>
      <c r="JH37" s="8"/>
      <c r="JI37" s="8"/>
      <c r="JJ37" s="8"/>
      <c r="JK37" s="8"/>
      <c r="JL37" s="7"/>
      <c r="JM37" s="7"/>
      <c r="JN37" s="8"/>
      <c r="JO37" s="8"/>
      <c r="JP37" s="8"/>
      <c r="JQ37" s="8"/>
      <c r="JR37" s="8"/>
      <c r="JS37" s="7"/>
      <c r="JT37" s="7"/>
      <c r="JU37" s="8"/>
      <c r="JV37" s="8"/>
      <c r="JW37" s="15" t="s">
        <v>1</v>
      </c>
      <c r="JX37" s="15" t="s">
        <v>1</v>
      </c>
      <c r="JY37" s="15" t="s">
        <v>1</v>
      </c>
      <c r="JZ37" s="87"/>
      <c r="KA37" s="83"/>
      <c r="KB37" s="26"/>
      <c r="KC37" s="8"/>
      <c r="KD37" s="8"/>
      <c r="KE37" s="8"/>
      <c r="KF37" s="8"/>
      <c r="KG37" s="7"/>
      <c r="KH37" s="7"/>
      <c r="KI37" s="8"/>
      <c r="KJ37" s="8"/>
      <c r="KK37" s="8"/>
      <c r="KL37" s="8"/>
      <c r="KM37" s="8"/>
      <c r="KN37" s="7"/>
      <c r="KO37" s="7"/>
      <c r="KP37" s="8"/>
      <c r="KQ37" s="8"/>
      <c r="KR37" s="8"/>
      <c r="KS37" s="8"/>
      <c r="KT37" s="8"/>
      <c r="KU37" s="7"/>
      <c r="KV37" s="7"/>
      <c r="KW37" s="15" t="s">
        <v>1</v>
      </c>
      <c r="KX37" s="15" t="s">
        <v>1</v>
      </c>
      <c r="KY37" s="15" t="s">
        <v>1</v>
      </c>
      <c r="KZ37" s="15" t="s">
        <v>1</v>
      </c>
      <c r="LA37" s="15" t="s">
        <v>1</v>
      </c>
      <c r="LB37" s="7"/>
      <c r="LC37" s="7"/>
      <c r="LD37" s="17" t="s">
        <v>3</v>
      </c>
      <c r="LE37" s="111" t="s">
        <v>3</v>
      </c>
      <c r="LF37" s="149"/>
      <c r="LG37" s="150"/>
      <c r="LH37" s="150"/>
      <c r="LI37" s="151"/>
      <c r="LJ37" s="151"/>
      <c r="LK37" s="150"/>
      <c r="LL37" s="150"/>
      <c r="LM37" s="150"/>
      <c r="LN37" s="150"/>
      <c r="LO37" s="150"/>
      <c r="LP37" s="151"/>
      <c r="LQ37" s="151"/>
      <c r="LR37" s="150"/>
      <c r="LS37" s="150"/>
      <c r="LT37" s="150"/>
      <c r="LU37" s="174" t="s">
        <v>1</v>
      </c>
      <c r="LV37" s="174" t="s">
        <v>1</v>
      </c>
      <c r="LW37" s="151"/>
      <c r="LX37" s="151"/>
      <c r="LY37" s="174" t="s">
        <v>1</v>
      </c>
      <c r="LZ37" s="174" t="s">
        <v>1</v>
      </c>
      <c r="MA37" s="174" t="s">
        <v>1</v>
      </c>
      <c r="MB37" s="174" t="s">
        <v>1</v>
      </c>
      <c r="MC37" s="174" t="s">
        <v>1</v>
      </c>
      <c r="MD37" s="151"/>
      <c r="ME37" s="151"/>
      <c r="MF37" s="174" t="s">
        <v>1</v>
      </c>
      <c r="MG37" s="178" t="s">
        <v>1</v>
      </c>
      <c r="MH37" s="177" t="s">
        <v>1</v>
      </c>
      <c r="MI37" s="8"/>
      <c r="MJ37" s="8"/>
      <c r="MK37" s="7"/>
      <c r="ML37" s="7"/>
      <c r="MM37" s="8"/>
      <c r="MN37" s="8"/>
      <c r="MO37" s="8"/>
      <c r="MP37" s="8"/>
      <c r="MQ37" s="8"/>
      <c r="MR37" s="7"/>
      <c r="MS37" s="7"/>
      <c r="MT37" s="8"/>
      <c r="MU37" s="8"/>
      <c r="MV37" s="8"/>
      <c r="MW37" s="8"/>
      <c r="MX37" s="8"/>
      <c r="MY37" s="7"/>
      <c r="MZ37" s="7"/>
      <c r="NA37" s="8"/>
      <c r="NB37" s="8"/>
      <c r="NC37" s="8"/>
      <c r="ND37" s="8"/>
      <c r="NE37" s="8"/>
      <c r="NF37" s="7"/>
      <c r="NG37" s="7"/>
      <c r="NH37" s="8"/>
      <c r="NI37" s="8"/>
      <c r="NJ37" s="8"/>
      <c r="NK37" s="66" t="s">
        <v>3</v>
      </c>
      <c r="NL37" s="66" t="s">
        <v>3</v>
      </c>
    </row>
    <row r="38" spans="1:376" customFormat="1" ht="15" customHeight="1" thickBot="1">
      <c r="A38" s="1"/>
      <c r="B38" s="29" t="s">
        <v>79</v>
      </c>
      <c r="C38" s="29" t="s">
        <v>36</v>
      </c>
      <c r="D38" s="29" t="s">
        <v>49</v>
      </c>
      <c r="E38" s="37">
        <v>0</v>
      </c>
      <c r="F38" s="29">
        <v>23</v>
      </c>
      <c r="G38" s="29">
        <v>3</v>
      </c>
      <c r="H38" s="29">
        <f t="shared" si="0"/>
        <v>0</v>
      </c>
      <c r="I38" s="30">
        <f t="shared" si="1"/>
        <v>0</v>
      </c>
      <c r="J38" s="30">
        <f t="shared" si="2"/>
        <v>1</v>
      </c>
      <c r="K38" s="71">
        <f t="shared" si="3"/>
        <v>0</v>
      </c>
      <c r="L38" s="78"/>
      <c r="M38" s="7"/>
      <c r="N38" s="7"/>
      <c r="O38" s="8"/>
      <c r="P38" s="8"/>
      <c r="Q38" s="8"/>
      <c r="R38" s="8"/>
      <c r="S38" s="8"/>
      <c r="T38" s="7"/>
      <c r="U38" s="7"/>
      <c r="V38" s="8"/>
      <c r="W38" s="8"/>
      <c r="X38" s="8"/>
      <c r="Y38" s="8"/>
      <c r="Z38" s="26"/>
      <c r="AA38" s="7"/>
      <c r="AB38" s="7"/>
      <c r="AC38" s="8"/>
      <c r="AD38" s="8"/>
      <c r="AE38" s="8"/>
      <c r="AF38" s="8"/>
      <c r="AG38" s="8"/>
      <c r="AH38" s="7"/>
      <c r="AI38" s="7"/>
      <c r="AJ38" s="8"/>
      <c r="AK38" s="8"/>
      <c r="AL38" s="8"/>
      <c r="AM38" s="8"/>
      <c r="AN38" s="8"/>
      <c r="AO38" s="87"/>
      <c r="AP38" s="83"/>
      <c r="AQ38" s="8"/>
      <c r="AR38" s="8"/>
      <c r="AS38" s="8"/>
      <c r="AT38" s="8"/>
      <c r="AU38" s="8"/>
      <c r="AV38" s="7"/>
      <c r="AW38" s="7"/>
      <c r="AX38" s="8"/>
      <c r="AY38" s="8"/>
      <c r="AZ38" s="8"/>
      <c r="BA38" s="8"/>
      <c r="BB38" s="8"/>
      <c r="BC38" s="7"/>
      <c r="BD38" s="7"/>
      <c r="BE38" s="8"/>
      <c r="BF38" s="8"/>
      <c r="BG38" s="8"/>
      <c r="BH38" s="8"/>
      <c r="BI38" s="8"/>
      <c r="BJ38" s="7"/>
      <c r="BK38" s="7"/>
      <c r="BL38" s="8"/>
      <c r="BM38" s="8"/>
      <c r="BN38" s="8"/>
      <c r="BO38" s="8"/>
      <c r="BP38" s="8"/>
      <c r="BQ38" s="7"/>
      <c r="BR38" s="7"/>
      <c r="BS38" s="8"/>
      <c r="BT38" s="58"/>
      <c r="BU38" s="78"/>
      <c r="BV38" s="8"/>
      <c r="BW38" s="8"/>
      <c r="BX38" s="7"/>
      <c r="BY38" s="7"/>
      <c r="BZ38" s="8"/>
      <c r="CA38" s="8"/>
      <c r="CB38" s="8"/>
      <c r="CC38" s="8"/>
      <c r="CD38" s="8"/>
      <c r="CE38" s="7"/>
      <c r="CF38" s="7"/>
      <c r="CG38" s="8"/>
      <c r="CH38" s="8"/>
      <c r="CI38" s="8"/>
      <c r="CJ38" s="8"/>
      <c r="CK38" s="8"/>
      <c r="CL38" s="7"/>
      <c r="CM38" s="7"/>
      <c r="CN38" s="8"/>
      <c r="CO38" s="26"/>
      <c r="CP38" s="8"/>
      <c r="CQ38" s="8"/>
      <c r="CR38" s="8"/>
      <c r="CS38" s="7"/>
      <c r="CT38" s="7"/>
      <c r="CU38" s="26"/>
      <c r="CV38" s="8"/>
      <c r="CW38" s="8"/>
      <c r="CX38" s="58"/>
      <c r="CY38" s="78"/>
      <c r="CZ38" s="7"/>
      <c r="DA38" s="7"/>
      <c r="DB38" s="8"/>
      <c r="DC38" s="8"/>
      <c r="DD38" s="8"/>
      <c r="DE38" s="8"/>
      <c r="DF38" s="8"/>
      <c r="DG38" s="7"/>
      <c r="DH38" s="7"/>
      <c r="DI38" s="8"/>
      <c r="DJ38" s="8"/>
      <c r="DK38" s="8"/>
      <c r="DL38" s="8"/>
      <c r="DM38" s="8"/>
      <c r="DN38" s="7"/>
      <c r="DO38" s="7"/>
      <c r="DP38" s="8"/>
      <c r="DQ38" s="8"/>
      <c r="DR38" s="8"/>
      <c r="DS38" s="8"/>
      <c r="DT38" s="8"/>
      <c r="DU38" s="7"/>
      <c r="DV38" s="7"/>
      <c r="DW38" s="8"/>
      <c r="DX38" s="8"/>
      <c r="DY38" s="8"/>
      <c r="DZ38" s="8"/>
      <c r="EA38" s="8"/>
      <c r="EB38" s="7"/>
      <c r="EC38" s="87"/>
      <c r="ED38" s="78"/>
      <c r="EE38" s="8"/>
      <c r="EF38" s="8"/>
      <c r="EG38" s="8"/>
      <c r="EH38" s="8"/>
      <c r="EI38" s="7"/>
      <c r="EJ38" s="7"/>
      <c r="EK38" s="15" t="s">
        <v>1</v>
      </c>
      <c r="EL38" s="15" t="s">
        <v>1</v>
      </c>
      <c r="EM38" s="62" t="s">
        <v>5</v>
      </c>
      <c r="EN38" s="15" t="s">
        <v>1</v>
      </c>
      <c r="EO38" s="15" t="s">
        <v>1</v>
      </c>
      <c r="EP38" s="7"/>
      <c r="EQ38" s="7"/>
      <c r="ER38" s="26"/>
      <c r="ES38" s="8"/>
      <c r="ET38" s="8"/>
      <c r="EU38" s="8"/>
      <c r="EV38" s="8"/>
      <c r="EW38" s="7"/>
      <c r="EX38" s="7"/>
      <c r="EY38" s="8"/>
      <c r="EZ38" s="8"/>
      <c r="FA38" s="8"/>
      <c r="FB38" s="8"/>
      <c r="FC38" s="8"/>
      <c r="FD38" s="7"/>
      <c r="FE38" s="7"/>
      <c r="FF38" s="8"/>
      <c r="FG38" s="8"/>
      <c r="FH38" s="58"/>
      <c r="FI38" s="78"/>
      <c r="FJ38" s="8"/>
      <c r="FK38" s="7"/>
      <c r="FL38" s="7"/>
      <c r="FM38" s="8"/>
      <c r="FN38" s="8"/>
      <c r="FO38" s="8"/>
      <c r="FP38" s="8"/>
      <c r="FQ38" s="8"/>
      <c r="FR38" s="7"/>
      <c r="FS38" s="7"/>
      <c r="FT38" s="8"/>
      <c r="FU38" s="8"/>
      <c r="FV38" s="8"/>
      <c r="FW38" s="8"/>
      <c r="FX38" s="56"/>
      <c r="FY38" s="7"/>
      <c r="FZ38" s="7"/>
      <c r="GA38" s="26"/>
      <c r="GB38" s="8"/>
      <c r="GC38" s="8"/>
      <c r="GD38" s="8"/>
      <c r="GE38" s="8"/>
      <c r="GF38" s="7"/>
      <c r="GG38" s="7"/>
      <c r="GH38" s="8"/>
      <c r="GI38" s="8"/>
      <c r="GJ38" s="8"/>
      <c r="GK38" s="8"/>
      <c r="GL38" s="58"/>
      <c r="GM38" s="83"/>
      <c r="GN38" s="7"/>
      <c r="GO38" s="8"/>
      <c r="GP38" s="8"/>
      <c r="GQ38" s="8"/>
      <c r="GR38" s="8"/>
      <c r="GS38" s="8"/>
      <c r="GT38" s="7"/>
      <c r="GU38" s="7"/>
      <c r="GV38" s="26"/>
      <c r="GW38" s="8"/>
      <c r="GX38" s="8"/>
      <c r="GY38" s="8"/>
      <c r="GZ38" s="8"/>
      <c r="HA38" s="7"/>
      <c r="HB38" s="7"/>
      <c r="HC38" s="8"/>
      <c r="HD38" s="8"/>
      <c r="HE38" s="8"/>
      <c r="HF38" s="8"/>
      <c r="HG38" s="8"/>
      <c r="HH38" s="7"/>
      <c r="HI38" s="7"/>
      <c r="HJ38" s="8"/>
      <c r="HK38" s="8"/>
      <c r="HL38" s="8"/>
      <c r="HM38" s="8"/>
      <c r="HN38" s="8"/>
      <c r="HO38" s="7"/>
      <c r="HP38" s="7"/>
      <c r="HQ38" s="106"/>
      <c r="HR38" s="104"/>
      <c r="HS38" s="8"/>
      <c r="HT38" s="8"/>
      <c r="HU38" s="8"/>
      <c r="HV38" s="7"/>
      <c r="HW38" s="7"/>
      <c r="HX38" s="8"/>
      <c r="HY38" s="8"/>
      <c r="HZ38" s="8"/>
      <c r="IA38" s="8"/>
      <c r="IB38" s="8"/>
      <c r="IC38" s="7"/>
      <c r="ID38" s="7"/>
      <c r="IE38" s="8"/>
      <c r="IF38" s="8"/>
      <c r="IG38" s="8"/>
      <c r="IH38" s="8"/>
      <c r="II38" s="8"/>
      <c r="IJ38" s="7"/>
      <c r="IK38" s="7"/>
      <c r="IL38" s="8"/>
      <c r="IM38" s="8"/>
      <c r="IN38" s="8"/>
      <c r="IO38" s="8"/>
      <c r="IP38" s="8"/>
      <c r="IQ38" s="7"/>
      <c r="IR38" s="7"/>
      <c r="IS38" s="8"/>
      <c r="IT38" s="8"/>
      <c r="IU38" s="58"/>
      <c r="IV38" s="78"/>
      <c r="IW38" s="8"/>
      <c r="IX38" s="7"/>
      <c r="IY38" s="7"/>
      <c r="IZ38" s="8"/>
      <c r="JA38" s="8"/>
      <c r="JB38" s="8"/>
      <c r="JC38" s="26"/>
      <c r="JD38" s="8"/>
      <c r="JE38" s="7"/>
      <c r="JF38" s="7"/>
      <c r="JG38" s="8"/>
      <c r="JH38" s="8"/>
      <c r="JI38" s="8"/>
      <c r="JJ38" s="8"/>
      <c r="JK38" s="8"/>
      <c r="JL38" s="7"/>
      <c r="JM38" s="7"/>
      <c r="JN38" s="8"/>
      <c r="JO38" s="8"/>
      <c r="JP38" s="8"/>
      <c r="JQ38" s="8"/>
      <c r="JR38" s="8"/>
      <c r="JS38" s="7"/>
      <c r="JT38" s="7"/>
      <c r="JU38" s="8"/>
      <c r="JV38" s="8"/>
      <c r="JW38" s="8"/>
      <c r="JX38" s="8"/>
      <c r="JY38" s="8"/>
      <c r="JZ38" s="87"/>
      <c r="KA38" s="83"/>
      <c r="KB38" s="26"/>
      <c r="KC38" s="15" t="s">
        <v>1</v>
      </c>
      <c r="KD38" s="15" t="s">
        <v>1</v>
      </c>
      <c r="KE38" s="15" t="s">
        <v>1</v>
      </c>
      <c r="KF38" s="15" t="s">
        <v>1</v>
      </c>
      <c r="KG38" s="7"/>
      <c r="KH38" s="7"/>
      <c r="KI38" s="15" t="s">
        <v>1</v>
      </c>
      <c r="KJ38" s="15" t="s">
        <v>1</v>
      </c>
      <c r="KK38" s="15" t="s">
        <v>1</v>
      </c>
      <c r="KL38" s="15" t="s">
        <v>1</v>
      </c>
      <c r="KM38" s="15" t="s">
        <v>1</v>
      </c>
      <c r="KN38" s="7"/>
      <c r="KO38" s="7"/>
      <c r="KP38" s="15" t="s">
        <v>1</v>
      </c>
      <c r="KQ38" s="8"/>
      <c r="KR38" s="8"/>
      <c r="KS38" s="8"/>
      <c r="KT38" s="8"/>
      <c r="KU38" s="7"/>
      <c r="KV38" s="7"/>
      <c r="KW38" s="8"/>
      <c r="KX38" s="8"/>
      <c r="KY38" s="8"/>
      <c r="KZ38" s="8"/>
      <c r="LA38" s="8"/>
      <c r="LB38" s="7"/>
      <c r="LC38" s="7"/>
      <c r="LD38" s="8"/>
      <c r="LE38" s="58"/>
      <c r="LF38" s="134"/>
      <c r="LG38" s="61"/>
      <c r="LH38" s="61"/>
      <c r="LI38" s="135"/>
      <c r="LJ38" s="135"/>
      <c r="LK38" s="136" t="s">
        <v>3</v>
      </c>
      <c r="LL38" s="136" t="s">
        <v>3</v>
      </c>
      <c r="LM38" s="136" t="s">
        <v>3</v>
      </c>
      <c r="LN38" s="136" t="s">
        <v>1</v>
      </c>
      <c r="LO38" s="136" t="s">
        <v>1</v>
      </c>
      <c r="LP38" s="135"/>
      <c r="LQ38" s="135"/>
      <c r="LR38" s="136" t="s">
        <v>1</v>
      </c>
      <c r="LS38" s="136" t="s">
        <v>1</v>
      </c>
      <c r="LT38" s="136" t="s">
        <v>1</v>
      </c>
      <c r="LU38" s="136" t="s">
        <v>1</v>
      </c>
      <c r="LV38" s="136" t="s">
        <v>1</v>
      </c>
      <c r="LW38" s="135"/>
      <c r="LX38" s="135"/>
      <c r="LY38" s="136" t="s">
        <v>1</v>
      </c>
      <c r="LZ38" s="136" t="s">
        <v>1</v>
      </c>
      <c r="MA38" s="61"/>
      <c r="MB38" s="61"/>
      <c r="MC38" s="61"/>
      <c r="MD38" s="135"/>
      <c r="ME38" s="135"/>
      <c r="MF38" s="61"/>
      <c r="MG38" s="27"/>
      <c r="MH38" s="78"/>
      <c r="MI38" s="8"/>
      <c r="MJ38" s="8"/>
      <c r="MK38" s="7"/>
      <c r="ML38" s="7"/>
      <c r="MM38" s="8"/>
      <c r="MN38" s="8"/>
      <c r="MO38" s="8"/>
      <c r="MP38" s="8"/>
      <c r="MQ38" s="8"/>
      <c r="MR38" s="7"/>
      <c r="MS38" s="7"/>
      <c r="MT38" s="8"/>
      <c r="MU38" s="8"/>
      <c r="MV38" s="8"/>
      <c r="MW38" s="8"/>
      <c r="MX38" s="8"/>
      <c r="MY38" s="7"/>
      <c r="MZ38" s="7"/>
      <c r="NA38" s="8"/>
      <c r="NB38" s="8"/>
      <c r="NC38" s="8"/>
      <c r="ND38" s="8"/>
      <c r="NE38" s="8"/>
      <c r="NF38" s="7"/>
      <c r="NG38" s="7"/>
      <c r="NH38" s="8"/>
      <c r="NI38" s="8"/>
      <c r="NJ38" s="8"/>
      <c r="NK38" s="8"/>
      <c r="NL38" s="84"/>
    </row>
    <row r="39" spans="1:376" customFormat="1" ht="15.75" customHeight="1">
      <c r="A39" s="1"/>
      <c r="B39" s="29" t="s">
        <v>80</v>
      </c>
      <c r="C39" s="29" t="s">
        <v>36</v>
      </c>
      <c r="D39" s="29" t="s">
        <v>49</v>
      </c>
      <c r="E39" s="37">
        <v>0</v>
      </c>
      <c r="F39" s="29">
        <v>23</v>
      </c>
      <c r="G39" s="29">
        <v>3</v>
      </c>
      <c r="H39" s="29">
        <f t="shared" si="0"/>
        <v>12</v>
      </c>
      <c r="I39" s="30">
        <f t="shared" si="1"/>
        <v>0</v>
      </c>
      <c r="J39" s="30">
        <f t="shared" si="2"/>
        <v>0</v>
      </c>
      <c r="K39" s="71">
        <f t="shared" si="3"/>
        <v>0</v>
      </c>
      <c r="L39" s="78"/>
      <c r="M39" s="7"/>
      <c r="N39" s="7"/>
      <c r="O39" s="8"/>
      <c r="P39" s="8"/>
      <c r="Q39" s="8"/>
      <c r="R39" s="8"/>
      <c r="S39" s="8"/>
      <c r="T39" s="7"/>
      <c r="U39" s="7"/>
      <c r="V39" s="8"/>
      <c r="W39" s="8"/>
      <c r="X39" s="8"/>
      <c r="Y39" s="8"/>
      <c r="Z39" s="26"/>
      <c r="AA39" s="7"/>
      <c r="AB39" s="7"/>
      <c r="AC39" s="8"/>
      <c r="AD39" s="8"/>
      <c r="AE39" s="8"/>
      <c r="AF39" s="8"/>
      <c r="AG39" s="8"/>
      <c r="AH39" s="7"/>
      <c r="AI39" s="7"/>
      <c r="AJ39" s="8"/>
      <c r="AK39" s="8"/>
      <c r="AL39" s="8"/>
      <c r="AM39" s="8"/>
      <c r="AN39" s="8"/>
      <c r="AO39" s="87"/>
      <c r="AP39" s="83"/>
      <c r="AQ39" s="8"/>
      <c r="AR39" s="8"/>
      <c r="AS39" s="8"/>
      <c r="AT39" s="8"/>
      <c r="AU39" s="8"/>
      <c r="AV39" s="7"/>
      <c r="AW39" s="7"/>
      <c r="AX39" s="8"/>
      <c r="AY39" s="8"/>
      <c r="AZ39" s="8"/>
      <c r="BA39" s="8"/>
      <c r="BB39" s="8"/>
      <c r="BC39" s="7"/>
      <c r="BD39" s="7"/>
      <c r="BE39" s="8"/>
      <c r="BF39" s="8"/>
      <c r="BG39" s="8"/>
      <c r="BH39" s="8"/>
      <c r="BI39" s="8"/>
      <c r="BJ39" s="7"/>
      <c r="BK39" s="7"/>
      <c r="BL39" s="8"/>
      <c r="BM39" s="8"/>
      <c r="BN39" s="8"/>
      <c r="BO39" s="8"/>
      <c r="BP39" s="8"/>
      <c r="BQ39" s="7"/>
      <c r="BR39" s="7"/>
      <c r="BS39" s="8"/>
      <c r="BT39" s="58"/>
      <c r="BU39" s="78"/>
      <c r="BV39" s="8"/>
      <c r="BW39" s="8"/>
      <c r="BX39" s="7"/>
      <c r="BY39" s="7"/>
      <c r="BZ39" s="8"/>
      <c r="CA39" s="8"/>
      <c r="CB39" s="8"/>
      <c r="CC39" s="8"/>
      <c r="CD39" s="8"/>
      <c r="CE39" s="7"/>
      <c r="CF39" s="7"/>
      <c r="CG39" s="8"/>
      <c r="CH39" s="8"/>
      <c r="CI39" s="8"/>
      <c r="CJ39" s="8"/>
      <c r="CK39" s="8"/>
      <c r="CL39" s="7"/>
      <c r="CM39" s="7"/>
      <c r="CN39" s="8"/>
      <c r="CO39" s="26"/>
      <c r="CP39" s="8"/>
      <c r="CQ39" s="8"/>
      <c r="CR39" s="8"/>
      <c r="CS39" s="7"/>
      <c r="CT39" s="7"/>
      <c r="CU39" s="26"/>
      <c r="CV39" s="8"/>
      <c r="CW39" s="8"/>
      <c r="CX39" s="58"/>
      <c r="CY39" s="78"/>
      <c r="CZ39" s="7"/>
      <c r="DA39" s="7"/>
      <c r="DB39" s="8"/>
      <c r="DC39" s="8"/>
      <c r="DD39" s="8"/>
      <c r="DE39" s="8"/>
      <c r="DF39" s="8"/>
      <c r="DG39" s="7"/>
      <c r="DH39" s="7"/>
      <c r="DI39" s="8"/>
      <c r="DJ39" s="8"/>
      <c r="DK39" s="8"/>
      <c r="DL39" s="8"/>
      <c r="DM39" s="8"/>
      <c r="DN39" s="7"/>
      <c r="DO39" s="7"/>
      <c r="DP39" s="8"/>
      <c r="DQ39" s="8"/>
      <c r="DR39" s="8"/>
      <c r="DS39" s="8"/>
      <c r="DT39" s="8"/>
      <c r="DU39" s="7"/>
      <c r="DV39" s="7"/>
      <c r="DW39" s="8"/>
      <c r="DX39" s="8"/>
      <c r="DY39" s="8"/>
      <c r="DZ39" s="8"/>
      <c r="EA39" s="8"/>
      <c r="EB39" s="7"/>
      <c r="EC39" s="87"/>
      <c r="ED39" s="78"/>
      <c r="EE39" s="8"/>
      <c r="EF39" s="8"/>
      <c r="EG39" s="8"/>
      <c r="EH39" s="8"/>
      <c r="EI39" s="7"/>
      <c r="EJ39" s="7"/>
      <c r="EK39" s="8"/>
      <c r="EL39" s="8"/>
      <c r="EM39" s="8"/>
      <c r="EN39" s="8"/>
      <c r="EO39" s="8"/>
      <c r="EP39" s="7"/>
      <c r="EQ39" s="7"/>
      <c r="ER39" s="26"/>
      <c r="ES39" s="8"/>
      <c r="ET39" s="8"/>
      <c r="EU39" s="8"/>
      <c r="EV39" s="17" t="s">
        <v>3</v>
      </c>
      <c r="EW39" s="7"/>
      <c r="EX39" s="7"/>
      <c r="EY39" s="17" t="s">
        <v>3</v>
      </c>
      <c r="EZ39" s="8"/>
      <c r="FA39" s="8"/>
      <c r="FB39" s="8"/>
      <c r="FC39" s="8"/>
      <c r="FD39" s="7"/>
      <c r="FE39" s="7"/>
      <c r="FF39" s="8"/>
      <c r="FG39" s="8"/>
      <c r="FH39" s="58"/>
      <c r="FI39" s="78"/>
      <c r="FJ39" s="8"/>
      <c r="FK39" s="7"/>
      <c r="FL39" s="7"/>
      <c r="FM39" s="8"/>
      <c r="FN39" s="8"/>
      <c r="FO39" s="8"/>
      <c r="FP39" s="8"/>
      <c r="FQ39" s="8"/>
      <c r="FR39" s="7"/>
      <c r="FS39" s="7"/>
      <c r="FT39" s="8"/>
      <c r="FU39" s="8"/>
      <c r="FV39" s="8"/>
      <c r="FW39" s="58"/>
      <c r="FX39" s="56"/>
      <c r="FY39" s="55"/>
      <c r="FZ39" s="7"/>
      <c r="GA39" s="26"/>
      <c r="GB39" s="8"/>
      <c r="GC39" s="8"/>
      <c r="GD39" s="8"/>
      <c r="GE39" s="8"/>
      <c r="GF39" s="7"/>
      <c r="GG39" s="7"/>
      <c r="GH39" s="8"/>
      <c r="GI39" s="8"/>
      <c r="GJ39" s="8"/>
      <c r="GK39" s="8"/>
      <c r="GL39" s="58"/>
      <c r="GM39" s="83"/>
      <c r="GN39" s="7"/>
      <c r="GO39" s="8"/>
      <c r="GP39" s="8"/>
      <c r="GQ39" s="8"/>
      <c r="GR39" s="8"/>
      <c r="GS39" s="8"/>
      <c r="GT39" s="7"/>
      <c r="GU39" s="7"/>
      <c r="GV39" s="26"/>
      <c r="GW39" s="8"/>
      <c r="GX39" s="8"/>
      <c r="GY39" s="8"/>
      <c r="GZ39" s="8"/>
      <c r="HA39" s="7"/>
      <c r="HB39" s="7"/>
      <c r="HC39" s="8"/>
      <c r="HD39" s="8"/>
      <c r="HE39" s="8"/>
      <c r="HF39" s="8"/>
      <c r="HG39" s="8"/>
      <c r="HH39" s="7"/>
      <c r="HI39" s="7"/>
      <c r="HJ39" s="8"/>
      <c r="HK39" s="8"/>
      <c r="HL39" s="8"/>
      <c r="HM39" s="8"/>
      <c r="HN39" s="17" t="s">
        <v>1</v>
      </c>
      <c r="HO39" s="7"/>
      <c r="HP39" s="7"/>
      <c r="HQ39" s="106"/>
      <c r="HR39" s="104"/>
      <c r="HS39" s="8"/>
      <c r="HT39" s="8"/>
      <c r="HU39" s="8"/>
      <c r="HV39" s="7"/>
      <c r="HW39" s="7"/>
      <c r="HX39" s="8"/>
      <c r="HY39" s="8"/>
      <c r="HZ39" s="8"/>
      <c r="IA39" s="8"/>
      <c r="IB39" s="8"/>
      <c r="IC39" s="7"/>
      <c r="ID39" s="7"/>
      <c r="IE39" s="8"/>
      <c r="IF39" s="8"/>
      <c r="IG39" s="8"/>
      <c r="IH39" s="8"/>
      <c r="II39" s="8"/>
      <c r="IJ39" s="7"/>
      <c r="IK39" s="7"/>
      <c r="IL39" s="8"/>
      <c r="IM39" s="8"/>
      <c r="IN39" s="8"/>
      <c r="IO39" s="8"/>
      <c r="IP39" s="8"/>
      <c r="IQ39" s="7"/>
      <c r="IR39" s="7"/>
      <c r="IS39" s="8"/>
      <c r="IT39" s="8"/>
      <c r="IU39" s="58"/>
      <c r="IV39" s="78"/>
      <c r="IW39" s="8"/>
      <c r="IX39" s="7"/>
      <c r="IY39" s="7"/>
      <c r="IZ39" s="8"/>
      <c r="JA39" s="8"/>
      <c r="JB39" s="8"/>
      <c r="JC39" s="26"/>
      <c r="JD39" s="17" t="s">
        <v>3</v>
      </c>
      <c r="JE39" s="7"/>
      <c r="JF39" s="7"/>
      <c r="JG39" s="8"/>
      <c r="JH39" s="8"/>
      <c r="JI39" s="8"/>
      <c r="JJ39" s="8"/>
      <c r="JK39" s="8"/>
      <c r="JL39" s="7"/>
      <c r="JM39" s="7"/>
      <c r="JN39" s="8"/>
      <c r="JO39" s="8"/>
      <c r="JP39" s="8"/>
      <c r="JQ39" s="8"/>
      <c r="JR39" s="8"/>
      <c r="JS39" s="7"/>
      <c r="JT39" s="7"/>
      <c r="JU39" s="8"/>
      <c r="JV39" s="8"/>
      <c r="JW39" s="8"/>
      <c r="JX39" s="8"/>
      <c r="JY39" s="8"/>
      <c r="JZ39" s="87"/>
      <c r="KA39" s="83"/>
      <c r="KB39" s="26"/>
      <c r="KC39" s="8"/>
      <c r="KD39" s="8"/>
      <c r="KE39" s="8"/>
      <c r="KF39" s="8"/>
      <c r="KG39" s="7"/>
      <c r="KH39" s="7"/>
      <c r="KI39" s="8"/>
      <c r="KJ39" s="8"/>
      <c r="KK39" s="8"/>
      <c r="KL39" s="8"/>
      <c r="KM39" s="8"/>
      <c r="KN39" s="7"/>
      <c r="KO39" s="7"/>
      <c r="KP39" s="8"/>
      <c r="KQ39" s="8"/>
      <c r="KR39" s="8"/>
      <c r="KS39" s="8"/>
      <c r="KT39" s="8"/>
      <c r="KU39" s="7"/>
      <c r="KV39" s="7"/>
      <c r="KW39" s="8"/>
      <c r="KX39" s="8"/>
      <c r="KY39" s="8"/>
      <c r="KZ39" s="8"/>
      <c r="LA39" s="8"/>
      <c r="LB39" s="7"/>
      <c r="LC39" s="7"/>
      <c r="LD39" s="8"/>
      <c r="LE39" s="58"/>
      <c r="LF39" s="117"/>
      <c r="LG39" s="114"/>
      <c r="LH39" s="114"/>
      <c r="LI39" s="115"/>
      <c r="LJ39" s="115"/>
      <c r="LK39" s="114"/>
      <c r="LL39" s="114"/>
      <c r="LM39" s="114"/>
      <c r="LN39" s="114"/>
      <c r="LO39" s="114"/>
      <c r="LP39" s="115"/>
      <c r="LQ39" s="115"/>
      <c r="LR39" s="114"/>
      <c r="LS39" s="114"/>
      <c r="LT39" s="114"/>
      <c r="LU39" s="114"/>
      <c r="LV39" s="114"/>
      <c r="LW39" s="115"/>
      <c r="LX39" s="115"/>
      <c r="LY39" s="116" t="s">
        <v>1</v>
      </c>
      <c r="LZ39" s="116" t="s">
        <v>1</v>
      </c>
      <c r="MA39" s="116" t="s">
        <v>1</v>
      </c>
      <c r="MB39" s="116" t="s">
        <v>1</v>
      </c>
      <c r="MC39" s="116" t="s">
        <v>1</v>
      </c>
      <c r="MD39" s="115"/>
      <c r="ME39" s="115"/>
      <c r="MF39" s="116" t="s">
        <v>1</v>
      </c>
      <c r="MG39" s="126" t="s">
        <v>1</v>
      </c>
      <c r="MH39" s="97" t="s">
        <v>1</v>
      </c>
      <c r="MI39" s="15" t="s">
        <v>1</v>
      </c>
      <c r="MJ39" s="15" t="s">
        <v>1</v>
      </c>
      <c r="MK39" s="7"/>
      <c r="ML39" s="7"/>
      <c r="MM39" s="8"/>
      <c r="MN39" s="8"/>
      <c r="MO39" s="8"/>
      <c r="MP39" s="8"/>
      <c r="MQ39" s="8"/>
      <c r="MR39" s="7"/>
      <c r="MS39" s="7"/>
      <c r="MT39" s="8"/>
      <c r="MU39" s="8"/>
      <c r="MV39" s="8"/>
      <c r="MW39" s="8"/>
      <c r="MX39" s="8"/>
      <c r="MY39" s="7"/>
      <c r="MZ39" s="7"/>
      <c r="NA39" s="8"/>
      <c r="NB39" s="8"/>
      <c r="NC39" s="8"/>
      <c r="ND39" s="8"/>
      <c r="NE39" s="8"/>
      <c r="NF39" s="7"/>
      <c r="NG39" s="7"/>
      <c r="NH39" s="8"/>
      <c r="NI39" s="8"/>
      <c r="NJ39" s="8"/>
      <c r="NK39" s="8"/>
      <c r="NL39" s="84"/>
    </row>
    <row r="40" spans="1:376" customFormat="1" ht="15.75" hidden="1" customHeight="1" thickBot="1">
      <c r="A40" s="1"/>
      <c r="B40" s="29" t="s">
        <v>84</v>
      </c>
      <c r="C40" s="29" t="s">
        <v>30</v>
      </c>
      <c r="D40" s="29"/>
      <c r="E40" s="37">
        <v>0</v>
      </c>
      <c r="F40" s="29">
        <v>23</v>
      </c>
      <c r="G40" s="29">
        <v>0</v>
      </c>
      <c r="H40" s="29">
        <f t="shared" si="0"/>
        <v>18</v>
      </c>
      <c r="I40" s="30">
        <f t="shared" si="1"/>
        <v>0</v>
      </c>
      <c r="J40" s="30">
        <f t="shared" si="2"/>
        <v>0</v>
      </c>
      <c r="K40" s="71">
        <f t="shared" si="3"/>
        <v>0</v>
      </c>
      <c r="L40" s="78"/>
      <c r="M40" s="7"/>
      <c r="N40" s="7"/>
      <c r="O40" s="8"/>
      <c r="P40" s="8"/>
      <c r="Q40" s="8"/>
      <c r="R40" s="8"/>
      <c r="S40" s="8"/>
      <c r="T40" s="7"/>
      <c r="U40" s="7"/>
      <c r="V40" s="8"/>
      <c r="W40" s="8"/>
      <c r="X40" s="8"/>
      <c r="Y40" s="8"/>
      <c r="Z40" s="26"/>
      <c r="AA40" s="7"/>
      <c r="AB40" s="7"/>
      <c r="AC40" s="8"/>
      <c r="AD40" s="8"/>
      <c r="AE40" s="8"/>
      <c r="AF40" s="8"/>
      <c r="AG40" s="8"/>
      <c r="AH40" s="7"/>
      <c r="AI40" s="7"/>
      <c r="AJ40" s="15" t="s">
        <v>1</v>
      </c>
      <c r="AK40" s="15" t="s">
        <v>1</v>
      </c>
      <c r="AL40" s="15" t="s">
        <v>1</v>
      </c>
      <c r="AM40" s="15" t="s">
        <v>1</v>
      </c>
      <c r="AN40" s="15" t="s">
        <v>1</v>
      </c>
      <c r="AO40" s="87"/>
      <c r="AP40" s="83"/>
      <c r="AQ40" s="8"/>
      <c r="AR40" s="8"/>
      <c r="AS40" s="8"/>
      <c r="AT40" s="8"/>
      <c r="AU40" s="8"/>
      <c r="AV40" s="7"/>
      <c r="AW40" s="7"/>
      <c r="AX40" s="8"/>
      <c r="AY40" s="8"/>
      <c r="AZ40" s="8"/>
      <c r="BA40" s="8"/>
      <c r="BB40" s="8"/>
      <c r="BC40" s="7"/>
      <c r="BD40" s="7"/>
      <c r="BE40" s="8"/>
      <c r="BF40" s="8"/>
      <c r="BG40" s="8"/>
      <c r="BH40" s="8"/>
      <c r="BI40" s="8"/>
      <c r="BJ40" s="7"/>
      <c r="BK40" s="7"/>
      <c r="BL40" s="8"/>
      <c r="BM40" s="8"/>
      <c r="BN40" s="8"/>
      <c r="BO40" s="8"/>
      <c r="BP40" s="8"/>
      <c r="BQ40" s="7"/>
      <c r="BR40" s="7"/>
      <c r="BS40" s="8"/>
      <c r="BT40" s="58"/>
      <c r="BU40" s="78"/>
      <c r="BV40" s="8"/>
      <c r="BW40" s="8"/>
      <c r="BX40" s="7"/>
      <c r="BY40" s="7"/>
      <c r="BZ40" s="8"/>
      <c r="CA40" s="8"/>
      <c r="CB40" s="8"/>
      <c r="CC40" s="8"/>
      <c r="CD40" s="8"/>
      <c r="CE40" s="7"/>
      <c r="CF40" s="7"/>
      <c r="CG40" s="8"/>
      <c r="CH40" s="8"/>
      <c r="CI40" s="8"/>
      <c r="CJ40" s="8"/>
      <c r="CK40" s="8"/>
      <c r="CL40" s="7"/>
      <c r="CM40" s="7"/>
      <c r="CN40" s="8"/>
      <c r="CO40" s="26"/>
      <c r="CP40" s="8"/>
      <c r="CQ40" s="8"/>
      <c r="CR40" s="8"/>
      <c r="CS40" s="7"/>
      <c r="CT40" s="7"/>
      <c r="CU40" s="26"/>
      <c r="CV40" s="8"/>
      <c r="CW40" s="8"/>
      <c r="CX40" s="58"/>
      <c r="CY40" s="78"/>
      <c r="CZ40" s="7"/>
      <c r="DA40" s="7"/>
      <c r="DB40" s="8"/>
      <c r="DC40" s="8"/>
      <c r="DD40" s="8"/>
      <c r="DE40" s="8"/>
      <c r="DF40" s="8"/>
      <c r="DG40" s="7"/>
      <c r="DH40" s="7"/>
      <c r="DI40" s="8"/>
      <c r="DJ40" s="8"/>
      <c r="DK40" s="8"/>
      <c r="DL40" s="8"/>
      <c r="DM40" s="8"/>
      <c r="DN40" s="7"/>
      <c r="DO40" s="7"/>
      <c r="DP40" s="8"/>
      <c r="DQ40" s="8"/>
      <c r="DR40" s="8"/>
      <c r="DS40" s="8"/>
      <c r="DT40" s="8"/>
      <c r="DU40" s="7"/>
      <c r="DV40" s="7"/>
      <c r="DW40" s="8"/>
      <c r="DX40" s="8"/>
      <c r="DY40" s="8"/>
      <c r="DZ40" s="8"/>
      <c r="EA40" s="8"/>
      <c r="EB40" s="7"/>
      <c r="EC40" s="87"/>
      <c r="ED40" s="98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  <c r="ES40" s="45"/>
      <c r="ET40" s="45"/>
      <c r="EU40" s="45"/>
      <c r="EV40" s="45"/>
      <c r="EW40" s="45"/>
      <c r="EX40" s="45"/>
      <c r="EY40" s="45"/>
      <c r="EZ40" s="45"/>
      <c r="FA40" s="45"/>
      <c r="FB40" s="45"/>
      <c r="FC40" s="45"/>
      <c r="FD40" s="45"/>
      <c r="FE40" s="45"/>
      <c r="FF40" s="45"/>
      <c r="FG40" s="45"/>
      <c r="FH40" s="101"/>
      <c r="FI40" s="98"/>
      <c r="FJ40" s="45"/>
      <c r="FK40" s="45"/>
      <c r="FL40" s="45"/>
      <c r="FM40" s="45"/>
      <c r="FN40" s="45"/>
      <c r="FO40" s="45"/>
      <c r="FP40" s="45"/>
      <c r="FQ40" s="45"/>
      <c r="FR40" s="45"/>
      <c r="FS40" s="45"/>
      <c r="FT40" s="45"/>
      <c r="FU40" s="45"/>
      <c r="FV40" s="45"/>
      <c r="FW40" s="45"/>
      <c r="FX40" s="59"/>
      <c r="FY40" s="45"/>
      <c r="FZ40" s="45"/>
      <c r="GA40" s="45"/>
      <c r="GB40" s="45"/>
      <c r="GC40" s="45"/>
      <c r="GD40" s="45"/>
      <c r="GE40" s="45"/>
      <c r="GF40" s="45"/>
      <c r="GG40" s="45"/>
      <c r="GH40" s="45"/>
      <c r="GI40" s="45"/>
      <c r="GJ40" s="45"/>
      <c r="GK40" s="45"/>
      <c r="GL40" s="101"/>
      <c r="GM40" s="98"/>
      <c r="GN40" s="45"/>
      <c r="GO40" s="45"/>
      <c r="GP40" s="45"/>
      <c r="GQ40" s="45"/>
      <c r="GR40" s="45"/>
      <c r="GS40" s="45"/>
      <c r="GT40" s="45"/>
      <c r="GU40" s="45"/>
      <c r="GV40" s="45"/>
      <c r="GW40" s="45"/>
      <c r="GX40" s="45"/>
      <c r="GY40" s="45"/>
      <c r="GZ40" s="45"/>
      <c r="HA40" s="45"/>
      <c r="HB40" s="45"/>
      <c r="HC40" s="45"/>
      <c r="HD40" s="45"/>
      <c r="HE40" s="45"/>
      <c r="HF40" s="45"/>
      <c r="HG40" s="45"/>
      <c r="HH40" s="45"/>
      <c r="HI40" s="45"/>
      <c r="HJ40" s="45"/>
      <c r="HK40" s="45"/>
      <c r="HL40" s="45"/>
      <c r="HM40" s="45"/>
      <c r="HN40" s="45"/>
      <c r="HO40" s="45"/>
      <c r="HP40" s="45"/>
      <c r="HQ40" s="101"/>
      <c r="HR40" s="98"/>
      <c r="HS40" s="45"/>
      <c r="HT40" s="45"/>
      <c r="HU40" s="45"/>
      <c r="HV40" s="45"/>
      <c r="HW40" s="45"/>
      <c r="HX40" s="45"/>
      <c r="HY40" s="45"/>
      <c r="HZ40" s="45"/>
      <c r="IA40" s="45"/>
      <c r="IB40" s="45"/>
      <c r="IC40" s="45"/>
      <c r="ID40" s="45"/>
      <c r="IE40" s="45"/>
      <c r="IF40" s="45"/>
      <c r="IG40" s="45"/>
      <c r="IH40" s="45"/>
      <c r="II40" s="45"/>
      <c r="IJ40" s="45"/>
      <c r="IK40" s="45"/>
      <c r="IL40" s="45"/>
      <c r="IM40" s="45"/>
      <c r="IN40" s="45"/>
      <c r="IO40" s="45"/>
      <c r="IP40" s="45"/>
      <c r="IQ40" s="45"/>
      <c r="IR40" s="45"/>
      <c r="IS40" s="45"/>
      <c r="IT40" s="45"/>
      <c r="IU40" s="101"/>
      <c r="IV40" s="98"/>
      <c r="IW40" s="45"/>
      <c r="IX40" s="45"/>
      <c r="IY40" s="45"/>
      <c r="IZ40" s="45"/>
      <c r="JA40" s="45"/>
      <c r="JB40" s="45"/>
      <c r="JC40" s="45"/>
      <c r="JD40" s="45"/>
      <c r="JE40" s="45"/>
      <c r="JF40" s="45"/>
      <c r="JG40" s="45"/>
      <c r="JH40" s="45"/>
      <c r="JI40" s="45"/>
      <c r="JJ40" s="45"/>
      <c r="JK40" s="45"/>
      <c r="JL40" s="45"/>
      <c r="JM40" s="45"/>
      <c r="JN40" s="45"/>
      <c r="JO40" s="45"/>
      <c r="JP40" s="45"/>
      <c r="JQ40" s="45"/>
      <c r="JR40" s="45"/>
      <c r="JS40" s="45"/>
      <c r="JT40" s="45"/>
      <c r="JU40" s="45"/>
      <c r="JV40" s="45"/>
      <c r="JW40" s="45"/>
      <c r="JX40" s="45"/>
      <c r="JY40" s="45"/>
      <c r="JZ40" s="101"/>
      <c r="KA40" s="98"/>
      <c r="KB40" s="45"/>
      <c r="KC40" s="45"/>
      <c r="KD40" s="45"/>
      <c r="KE40" s="45"/>
      <c r="KF40" s="45"/>
      <c r="KG40" s="45"/>
      <c r="KH40" s="45"/>
      <c r="KI40" s="45"/>
      <c r="KJ40" s="45"/>
      <c r="KK40" s="45"/>
      <c r="KL40" s="45"/>
      <c r="KM40" s="45"/>
      <c r="KN40" s="45"/>
      <c r="KO40" s="45"/>
      <c r="KP40" s="45"/>
      <c r="KQ40" s="45"/>
      <c r="KR40" s="45"/>
      <c r="KS40" s="45"/>
      <c r="KT40" s="45"/>
      <c r="KU40" s="45"/>
      <c r="KV40" s="45"/>
      <c r="KW40" s="45"/>
      <c r="KX40" s="45"/>
      <c r="KY40" s="45"/>
      <c r="KZ40" s="45"/>
      <c r="LA40" s="45"/>
      <c r="LB40" s="45"/>
      <c r="LC40" s="45"/>
      <c r="LD40" s="45"/>
      <c r="LE40" s="101"/>
      <c r="LF40" s="159"/>
      <c r="LG40" s="160"/>
      <c r="LH40" s="160"/>
      <c r="LI40" s="160"/>
      <c r="LJ40" s="160"/>
      <c r="LK40" s="160"/>
      <c r="LL40" s="160"/>
      <c r="LM40" s="160"/>
      <c r="LN40" s="160"/>
      <c r="LO40" s="160"/>
      <c r="LP40" s="160"/>
      <c r="LQ40" s="160"/>
      <c r="LR40" s="160"/>
      <c r="LS40" s="160"/>
      <c r="LT40" s="160"/>
      <c r="LU40" s="160"/>
      <c r="LV40" s="160"/>
      <c r="LW40" s="160"/>
      <c r="LX40" s="160"/>
      <c r="LY40" s="160"/>
      <c r="LZ40" s="160"/>
      <c r="MA40" s="160"/>
      <c r="MB40" s="160"/>
      <c r="MC40" s="160"/>
      <c r="MD40" s="160"/>
      <c r="ME40" s="160"/>
      <c r="MF40" s="160"/>
      <c r="MG40" s="161"/>
      <c r="MH40" s="49"/>
      <c r="MI40" s="45"/>
      <c r="MJ40" s="45"/>
      <c r="MK40" s="45"/>
      <c r="ML40" s="45"/>
      <c r="MM40" s="45"/>
      <c r="MN40" s="45"/>
      <c r="MO40" s="45"/>
      <c r="MP40" s="45"/>
      <c r="MQ40" s="45"/>
      <c r="MR40" s="45"/>
      <c r="MS40" s="45"/>
      <c r="MT40" s="45"/>
      <c r="MU40" s="45"/>
      <c r="MV40" s="45"/>
      <c r="MW40" s="45"/>
      <c r="MX40" s="45"/>
      <c r="MY40" s="45"/>
      <c r="MZ40" s="45"/>
      <c r="NA40" s="45"/>
      <c r="NB40" s="45"/>
      <c r="NC40" s="45"/>
      <c r="ND40" s="45"/>
      <c r="NE40" s="45"/>
      <c r="NF40" s="45"/>
      <c r="NG40" s="45"/>
      <c r="NH40" s="45"/>
      <c r="NI40" s="45"/>
      <c r="NJ40" s="45"/>
      <c r="NK40" s="45"/>
      <c r="NL40" s="99"/>
    </row>
    <row r="41" spans="1:376" customFormat="1" ht="15" hidden="1" customHeight="1" thickBot="1">
      <c r="A41" s="1"/>
      <c r="B41" s="29" t="s">
        <v>69</v>
      </c>
      <c r="C41" s="29" t="s">
        <v>30</v>
      </c>
      <c r="D41" s="29"/>
      <c r="E41" s="37">
        <v>0</v>
      </c>
      <c r="F41" s="29">
        <v>23</v>
      </c>
      <c r="G41" s="29">
        <v>3</v>
      </c>
      <c r="H41" s="29">
        <f t="shared" si="0"/>
        <v>18</v>
      </c>
      <c r="I41" s="30">
        <f t="shared" si="1"/>
        <v>2</v>
      </c>
      <c r="J41" s="30">
        <f t="shared" si="2"/>
        <v>0</v>
      </c>
      <c r="K41" s="71">
        <f t="shared" si="3"/>
        <v>0</v>
      </c>
      <c r="L41" s="78"/>
      <c r="M41" s="7"/>
      <c r="N41" s="7"/>
      <c r="O41" s="8"/>
      <c r="P41" s="8"/>
      <c r="Q41" s="8"/>
      <c r="R41" s="8"/>
      <c r="S41" s="8"/>
      <c r="T41" s="7"/>
      <c r="U41" s="7"/>
      <c r="V41" s="8"/>
      <c r="W41" s="8"/>
      <c r="X41" s="8"/>
      <c r="Y41" s="8"/>
      <c r="Z41" s="26"/>
      <c r="AA41" s="7"/>
      <c r="AB41" s="7"/>
      <c r="AC41" s="8"/>
      <c r="AD41" s="8"/>
      <c r="AE41" s="8"/>
      <c r="AF41" s="15" t="s">
        <v>1</v>
      </c>
      <c r="AG41" s="8"/>
      <c r="AH41" s="7"/>
      <c r="AI41" s="7"/>
      <c r="AJ41" s="8"/>
      <c r="AK41" s="8"/>
      <c r="AL41" s="8"/>
      <c r="AM41" s="8"/>
      <c r="AN41" s="8"/>
      <c r="AO41" s="87"/>
      <c r="AP41" s="83"/>
      <c r="AQ41" s="8"/>
      <c r="AR41" s="8"/>
      <c r="AS41" s="8"/>
      <c r="AT41" s="8"/>
      <c r="AU41" s="8"/>
      <c r="AV41" s="7"/>
      <c r="AW41" s="7"/>
      <c r="AX41" s="8"/>
      <c r="AY41" s="8"/>
      <c r="AZ41" s="8"/>
      <c r="BA41" s="8"/>
      <c r="BB41" s="8"/>
      <c r="BC41" s="7"/>
      <c r="BD41" s="7"/>
      <c r="BE41" s="8"/>
      <c r="BF41" s="8"/>
      <c r="BG41" s="8"/>
      <c r="BH41" s="8"/>
      <c r="BI41" s="8"/>
      <c r="BJ41" s="7"/>
      <c r="BK41" s="7"/>
      <c r="BL41" s="8"/>
      <c r="BM41" s="8"/>
      <c r="BN41" s="8"/>
      <c r="BO41" s="8"/>
      <c r="BP41" s="8"/>
      <c r="BQ41" s="7"/>
      <c r="BR41" s="7"/>
      <c r="BS41" s="8"/>
      <c r="BT41" s="58"/>
      <c r="BU41" s="78"/>
      <c r="BV41" s="8"/>
      <c r="BW41" s="8"/>
      <c r="BX41" s="7"/>
      <c r="BY41" s="7"/>
      <c r="BZ41" s="8"/>
      <c r="CA41" s="8"/>
      <c r="CB41" s="8"/>
      <c r="CC41" s="8"/>
      <c r="CD41" s="8"/>
      <c r="CE41" s="7"/>
      <c r="CF41" s="7"/>
      <c r="CG41" s="8"/>
      <c r="CH41" s="8"/>
      <c r="CI41" s="8"/>
      <c r="CJ41" s="8"/>
      <c r="CK41" s="8"/>
      <c r="CL41" s="7"/>
      <c r="CM41" s="7"/>
      <c r="CN41" s="8"/>
      <c r="CO41" s="26"/>
      <c r="CP41" s="8"/>
      <c r="CQ41" s="8"/>
      <c r="CR41" s="8"/>
      <c r="CS41" s="7"/>
      <c r="CT41" s="7"/>
      <c r="CU41" s="26"/>
      <c r="CV41" s="8"/>
      <c r="CW41" s="8"/>
      <c r="CX41" s="58"/>
      <c r="CY41" s="78"/>
      <c r="CZ41" s="7"/>
      <c r="DA41" s="7"/>
      <c r="DB41" s="8"/>
      <c r="DC41" s="8"/>
      <c r="DD41" s="8"/>
      <c r="DE41" s="8"/>
      <c r="DF41" s="8"/>
      <c r="DG41" s="7"/>
      <c r="DH41" s="7"/>
      <c r="DI41" s="8"/>
      <c r="DJ41" s="8"/>
      <c r="DK41" s="8"/>
      <c r="DL41" s="8"/>
      <c r="DM41" s="8"/>
      <c r="DN41" s="7"/>
      <c r="DO41" s="7"/>
      <c r="DP41" s="8"/>
      <c r="DQ41" s="8"/>
      <c r="DR41" s="8"/>
      <c r="DS41" s="8"/>
      <c r="DT41" s="8"/>
      <c r="DU41" s="7"/>
      <c r="DV41" s="7"/>
      <c r="DW41" s="8"/>
      <c r="DX41" s="8"/>
      <c r="DY41" s="8"/>
      <c r="DZ41" s="8"/>
      <c r="EA41" s="8"/>
      <c r="EB41" s="7"/>
      <c r="EC41" s="87"/>
      <c r="ED41" s="78"/>
      <c r="EE41" s="8"/>
      <c r="EF41" s="8"/>
      <c r="EG41" s="8"/>
      <c r="EH41" s="8"/>
      <c r="EI41" s="7"/>
      <c r="EJ41" s="7"/>
      <c r="EK41" s="8"/>
      <c r="EL41" s="8"/>
      <c r="EM41" s="8"/>
      <c r="EN41" s="8"/>
      <c r="EO41" s="8"/>
      <c r="EP41" s="7"/>
      <c r="EQ41" s="7"/>
      <c r="ER41" s="26"/>
      <c r="ES41" s="8"/>
      <c r="ET41" s="8"/>
      <c r="EU41" s="8"/>
      <c r="EV41" s="8"/>
      <c r="EW41" s="7"/>
      <c r="EX41" s="7"/>
      <c r="EY41" s="8"/>
      <c r="EZ41" s="8"/>
      <c r="FA41" s="8"/>
      <c r="FB41" s="8"/>
      <c r="FC41" s="8"/>
      <c r="FD41" s="7"/>
      <c r="FE41" s="7"/>
      <c r="FF41" s="8"/>
      <c r="FG41" s="8"/>
      <c r="FH41" s="58"/>
      <c r="FI41" s="78"/>
      <c r="FJ41" s="8"/>
      <c r="FK41" s="7"/>
      <c r="FL41" s="7"/>
      <c r="FM41" s="8"/>
      <c r="FN41" s="8"/>
      <c r="FO41" s="8"/>
      <c r="FP41" s="8"/>
      <c r="FQ41" s="8"/>
      <c r="FR41" s="7"/>
      <c r="FS41" s="7"/>
      <c r="FT41" s="8"/>
      <c r="FU41" s="8"/>
      <c r="FV41" s="8"/>
      <c r="FW41" s="8"/>
      <c r="FX41" s="26"/>
      <c r="FY41" s="7"/>
      <c r="FZ41" s="7"/>
      <c r="GA41" s="26"/>
      <c r="GB41" s="8"/>
      <c r="GC41" s="8"/>
      <c r="GD41" s="8"/>
      <c r="GE41" s="8"/>
      <c r="GF41" s="7"/>
      <c r="GG41" s="7"/>
      <c r="GH41" s="8"/>
      <c r="GI41" s="8"/>
      <c r="GJ41" s="8"/>
      <c r="GK41" s="8"/>
      <c r="GL41" s="58"/>
      <c r="GM41" s="83"/>
      <c r="GN41" s="7"/>
      <c r="GO41" s="8"/>
      <c r="GP41" s="8"/>
      <c r="GQ41" s="8"/>
      <c r="GR41" s="8"/>
      <c r="GS41" s="15" t="s">
        <v>1</v>
      </c>
      <c r="GT41" s="7"/>
      <c r="GU41" s="7"/>
      <c r="GV41" s="26"/>
      <c r="GW41" s="8"/>
      <c r="GX41" s="8"/>
      <c r="GY41" s="8"/>
      <c r="GZ41" s="8"/>
      <c r="HA41" s="7"/>
      <c r="HB41" s="7"/>
      <c r="HC41" s="8"/>
      <c r="HD41" s="8"/>
      <c r="HE41" s="8"/>
      <c r="HF41" s="8"/>
      <c r="HG41" s="8"/>
      <c r="HH41" s="7"/>
      <c r="HI41" s="7"/>
      <c r="HJ41" s="8"/>
      <c r="HK41" s="8"/>
      <c r="HL41" s="8"/>
      <c r="HM41" s="8"/>
      <c r="HN41" s="8"/>
      <c r="HO41" s="7"/>
      <c r="HP41" s="7"/>
      <c r="HQ41" s="106"/>
      <c r="HR41" s="104"/>
      <c r="HS41" s="15" t="s">
        <v>1</v>
      </c>
      <c r="HT41" s="15" t="s">
        <v>1</v>
      </c>
      <c r="HU41" s="15" t="s">
        <v>1</v>
      </c>
      <c r="HV41" s="7"/>
      <c r="HW41" s="7"/>
      <c r="HX41" s="8"/>
      <c r="HY41" s="8"/>
      <c r="HZ41" s="8"/>
      <c r="IA41" s="8"/>
      <c r="IB41" s="8"/>
      <c r="IC41" s="7"/>
      <c r="ID41" s="7"/>
      <c r="IE41" s="8"/>
      <c r="IF41" s="8"/>
      <c r="IG41" s="8"/>
      <c r="IH41" s="8"/>
      <c r="II41" s="8"/>
      <c r="IJ41" s="7"/>
      <c r="IK41" s="7"/>
      <c r="IL41" s="8"/>
      <c r="IM41" s="8"/>
      <c r="IN41" s="17" t="s">
        <v>3</v>
      </c>
      <c r="IO41" s="8"/>
      <c r="IP41" s="8"/>
      <c r="IQ41" s="7"/>
      <c r="IR41" s="7"/>
      <c r="IS41" s="8"/>
      <c r="IT41" s="8"/>
      <c r="IU41" s="58"/>
      <c r="IV41" s="78"/>
      <c r="IW41" s="8"/>
      <c r="IX41" s="7"/>
      <c r="IY41" s="7"/>
      <c r="IZ41" s="8"/>
      <c r="JA41" s="8"/>
      <c r="JB41" s="8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100"/>
      <c r="LF41" s="162"/>
      <c r="LG41" s="163"/>
      <c r="LH41" s="163"/>
      <c r="LI41" s="163"/>
      <c r="LJ41" s="163"/>
      <c r="LK41" s="163"/>
      <c r="LL41" s="163"/>
      <c r="LM41" s="163"/>
      <c r="LN41" s="163"/>
      <c r="LO41" s="163"/>
      <c r="LP41" s="163"/>
      <c r="LQ41" s="163"/>
      <c r="LR41" s="163"/>
      <c r="LS41" s="163"/>
      <c r="LT41" s="163"/>
      <c r="LU41" s="163"/>
      <c r="LV41" s="163"/>
      <c r="LW41" s="163"/>
      <c r="LX41" s="163"/>
      <c r="LY41" s="163"/>
      <c r="LZ41" s="163"/>
      <c r="MA41" s="163"/>
      <c r="MB41" s="163"/>
      <c r="MC41" s="163"/>
      <c r="MD41" s="163"/>
      <c r="ME41" s="163"/>
      <c r="MF41" s="163"/>
      <c r="MG41" s="164"/>
      <c r="MH41" s="123"/>
      <c r="MI41" s="64"/>
      <c r="MJ41" s="64"/>
      <c r="MK41" s="53"/>
      <c r="ML41" s="53"/>
      <c r="MM41" s="53"/>
      <c r="MN41" s="53"/>
      <c r="MO41" s="53"/>
      <c r="MP41" s="53"/>
      <c r="MQ41" s="53"/>
      <c r="MR41" s="53"/>
      <c r="MS41" s="53"/>
      <c r="MT41" s="53"/>
      <c r="MU41" s="53"/>
      <c r="MV41" s="53"/>
      <c r="MW41" s="53"/>
      <c r="MX41" s="53"/>
      <c r="MY41" s="53"/>
      <c r="MZ41" s="53"/>
      <c r="NA41" s="53"/>
      <c r="NB41" s="53"/>
      <c r="NC41" s="53"/>
      <c r="ND41" s="53"/>
      <c r="NE41" s="53"/>
      <c r="NF41" s="53"/>
      <c r="NG41" s="53"/>
      <c r="NH41" s="53"/>
      <c r="NI41" s="53"/>
      <c r="NJ41" s="53"/>
      <c r="NK41" s="53"/>
      <c r="NL41" s="53"/>
    </row>
    <row r="42" spans="1:376" customFormat="1" ht="15" customHeight="1" thickBot="1">
      <c r="A42" s="1"/>
      <c r="B42" s="29" t="s">
        <v>57</v>
      </c>
      <c r="C42" s="29" t="s">
        <v>36</v>
      </c>
      <c r="D42" s="29" t="s">
        <v>94</v>
      </c>
      <c r="E42" s="37">
        <v>0</v>
      </c>
      <c r="F42" s="29">
        <v>23</v>
      </c>
      <c r="G42" s="29">
        <v>0</v>
      </c>
      <c r="H42" s="29">
        <f t="shared" si="0"/>
        <v>19</v>
      </c>
      <c r="I42" s="30">
        <f t="shared" ref="I42" si="13">G42-COUNTIF(L42:NL42,$C$3)</f>
        <v>-3</v>
      </c>
      <c r="J42" s="30">
        <f t="shared" ref="J42" si="14">COUNTIF(K42:NI42,$C$4)</f>
        <v>0</v>
      </c>
      <c r="K42" s="71">
        <f t="shared" ref="K42" si="15">COUNTIF(L42:NL42,$C$5)</f>
        <v>0</v>
      </c>
      <c r="L42" s="78"/>
      <c r="M42" s="7"/>
      <c r="N42" s="7"/>
      <c r="O42" s="8"/>
      <c r="P42" s="8"/>
      <c r="Q42" s="8"/>
      <c r="R42" s="8"/>
      <c r="S42" s="8"/>
      <c r="T42" s="7"/>
      <c r="U42" s="7"/>
      <c r="V42" s="8"/>
      <c r="W42" s="8"/>
      <c r="X42" s="8"/>
      <c r="Y42" s="8"/>
      <c r="Z42" s="26"/>
      <c r="AA42" s="7"/>
      <c r="AB42" s="7"/>
      <c r="AC42" s="8"/>
      <c r="AD42" s="8"/>
      <c r="AE42" s="8"/>
      <c r="AF42" s="8"/>
      <c r="AG42" s="8"/>
      <c r="AH42" s="7"/>
      <c r="AI42" s="7"/>
      <c r="AJ42" s="8"/>
      <c r="AK42" s="8"/>
      <c r="AL42" s="8"/>
      <c r="AM42" s="8"/>
      <c r="AN42" s="8"/>
      <c r="AO42" s="87"/>
      <c r="AP42" s="83"/>
      <c r="AQ42" s="8"/>
      <c r="AR42" s="8"/>
      <c r="AS42" s="8"/>
      <c r="AT42" s="8"/>
      <c r="AU42" s="8"/>
      <c r="AV42" s="7"/>
      <c r="AW42" s="7"/>
      <c r="AX42" s="8"/>
      <c r="AY42" s="8"/>
      <c r="AZ42" s="8"/>
      <c r="BA42" s="8"/>
      <c r="BB42" s="8"/>
      <c r="BC42" s="7"/>
      <c r="BD42" s="7"/>
      <c r="BE42" s="8"/>
      <c r="BF42" s="8"/>
      <c r="BG42" s="8"/>
      <c r="BH42" s="8"/>
      <c r="BI42" s="8"/>
      <c r="BJ42" s="7"/>
      <c r="BK42" s="7"/>
      <c r="BL42" s="8"/>
      <c r="BM42" s="8"/>
      <c r="BN42" s="8"/>
      <c r="BO42" s="8"/>
      <c r="BP42" s="8"/>
      <c r="BQ42" s="7"/>
      <c r="BR42" s="7"/>
      <c r="BS42" s="8"/>
      <c r="BT42" s="58"/>
      <c r="BU42" s="78"/>
      <c r="BV42" s="8"/>
      <c r="BW42" s="8"/>
      <c r="BX42" s="7"/>
      <c r="BY42" s="7"/>
      <c r="BZ42" s="8"/>
      <c r="CA42" s="8"/>
      <c r="CB42" s="8"/>
      <c r="CC42" s="8"/>
      <c r="CD42" s="8"/>
      <c r="CE42" s="7"/>
      <c r="CF42" s="7"/>
      <c r="CG42" s="8"/>
      <c r="CH42" s="8"/>
      <c r="CI42" s="8"/>
      <c r="CJ42" s="8"/>
      <c r="CK42" s="8"/>
      <c r="CL42" s="7"/>
      <c r="CM42" s="7"/>
      <c r="CN42" s="8"/>
      <c r="CO42" s="8"/>
      <c r="CP42" s="8"/>
      <c r="CQ42" s="8"/>
      <c r="CR42" s="26"/>
      <c r="CS42" s="7"/>
      <c r="CT42" s="7"/>
      <c r="CU42" s="26"/>
      <c r="CV42" s="8"/>
      <c r="CW42" s="8"/>
      <c r="CX42" s="58"/>
      <c r="CY42" s="78"/>
      <c r="CZ42" s="7"/>
      <c r="DA42" s="7"/>
      <c r="DB42" s="8"/>
      <c r="DC42" s="8"/>
      <c r="DD42" s="8"/>
      <c r="DE42" s="8"/>
      <c r="DF42" s="8"/>
      <c r="DG42" s="7"/>
      <c r="DH42" s="7"/>
      <c r="DI42" s="8"/>
      <c r="DJ42" s="8"/>
      <c r="DK42" s="8"/>
      <c r="DL42" s="8"/>
      <c r="DM42" s="8"/>
      <c r="DN42" s="7"/>
      <c r="DO42" s="7"/>
      <c r="DP42" s="8"/>
      <c r="DQ42" s="8"/>
      <c r="DR42" s="8"/>
      <c r="DS42" s="8"/>
      <c r="DT42" s="8"/>
      <c r="DU42" s="7"/>
      <c r="DV42" s="7"/>
      <c r="DW42" s="8"/>
      <c r="DX42" s="8"/>
      <c r="DY42" s="8"/>
      <c r="DZ42" s="8"/>
      <c r="EA42" s="8"/>
      <c r="EB42" s="7"/>
      <c r="EC42" s="87"/>
      <c r="ED42" s="78"/>
      <c r="EE42" s="8"/>
      <c r="EF42" s="8"/>
      <c r="EG42" s="8"/>
      <c r="EH42" s="8"/>
      <c r="EI42" s="7"/>
      <c r="EJ42" s="7"/>
      <c r="EK42" s="8"/>
      <c r="EL42" s="8"/>
      <c r="EM42" s="8"/>
      <c r="EN42" s="8"/>
      <c r="EO42" s="8"/>
      <c r="EP42" s="7"/>
      <c r="EQ42" s="7"/>
      <c r="ER42" s="26"/>
      <c r="ES42" s="8"/>
      <c r="ET42" s="8"/>
      <c r="EU42" s="8"/>
      <c r="EV42" s="8"/>
      <c r="EW42" s="7"/>
      <c r="EX42" s="7"/>
      <c r="EY42" s="8"/>
      <c r="EZ42" s="8"/>
      <c r="FA42" s="17" t="s">
        <v>3</v>
      </c>
      <c r="FB42" s="8"/>
      <c r="FC42" s="8"/>
      <c r="FD42" s="7"/>
      <c r="FE42" s="7"/>
      <c r="FF42" s="8"/>
      <c r="FG42" s="8"/>
      <c r="FH42" s="58"/>
      <c r="FI42" s="78"/>
      <c r="FJ42" s="8"/>
      <c r="FK42" s="7"/>
      <c r="FL42" s="7"/>
      <c r="FM42" s="8"/>
      <c r="FN42" s="8"/>
      <c r="FO42" s="8"/>
      <c r="FP42" s="8"/>
      <c r="FQ42" s="8"/>
      <c r="FR42" s="7"/>
      <c r="FS42" s="7"/>
      <c r="FT42" s="8"/>
      <c r="FU42" s="8"/>
      <c r="FV42" s="8"/>
      <c r="FW42" s="8"/>
      <c r="FX42" s="26"/>
      <c r="FY42" s="7"/>
      <c r="FZ42" s="7"/>
      <c r="GA42" s="26"/>
      <c r="GB42" s="8"/>
      <c r="GC42" s="8"/>
      <c r="GD42" s="8"/>
      <c r="GE42" s="8"/>
      <c r="GF42" s="7"/>
      <c r="GG42" s="7"/>
      <c r="GH42" s="8"/>
      <c r="GI42" s="8"/>
      <c r="GJ42" s="8"/>
      <c r="GK42" s="8"/>
      <c r="GL42" s="58"/>
      <c r="GM42" s="83"/>
      <c r="GN42" s="7"/>
      <c r="GO42" s="8"/>
      <c r="GP42" s="8"/>
      <c r="GQ42" s="8"/>
      <c r="GR42" s="8"/>
      <c r="GS42" s="8"/>
      <c r="GT42" s="7"/>
      <c r="GU42" s="7"/>
      <c r="GV42" s="26"/>
      <c r="GW42" s="8"/>
      <c r="GX42" s="8"/>
      <c r="GY42" s="8"/>
      <c r="GZ42" s="8"/>
      <c r="HA42" s="7"/>
      <c r="HB42" s="7"/>
      <c r="HC42" s="8"/>
      <c r="HD42" s="8"/>
      <c r="HE42" s="8"/>
      <c r="HF42" s="8"/>
      <c r="HG42" s="8"/>
      <c r="HH42" s="7"/>
      <c r="HI42" s="7"/>
      <c r="HJ42" s="8"/>
      <c r="HK42" s="8"/>
      <c r="HL42" s="8"/>
      <c r="HM42" s="8"/>
      <c r="HN42" s="17" t="s">
        <v>3</v>
      </c>
      <c r="HO42" s="7"/>
      <c r="HP42" s="7"/>
      <c r="HQ42" s="106"/>
      <c r="HR42" s="104"/>
      <c r="HS42" s="8"/>
      <c r="HT42" s="8"/>
      <c r="HU42" s="8"/>
      <c r="HV42" s="7"/>
      <c r="HW42" s="7"/>
      <c r="HX42" s="8"/>
      <c r="HY42" s="8"/>
      <c r="HZ42" s="8"/>
      <c r="IA42" s="8"/>
      <c r="IB42" s="8"/>
      <c r="IC42" s="7"/>
      <c r="ID42" s="7"/>
      <c r="IE42" s="8"/>
      <c r="IF42" s="8"/>
      <c r="IG42" s="8"/>
      <c r="IH42" s="8"/>
      <c r="II42" s="8"/>
      <c r="IJ42" s="7"/>
      <c r="IK42" s="7"/>
      <c r="IL42" s="8"/>
      <c r="IM42" s="8"/>
      <c r="IN42" s="8"/>
      <c r="IO42" s="8"/>
      <c r="IP42" s="8"/>
      <c r="IQ42" s="7"/>
      <c r="IR42" s="7"/>
      <c r="IS42" s="8"/>
      <c r="IT42" s="8"/>
      <c r="IU42" s="58"/>
      <c r="IV42" s="78"/>
      <c r="IW42" s="8"/>
      <c r="IX42" s="7"/>
      <c r="IY42" s="7"/>
      <c r="IZ42" s="8"/>
      <c r="JA42" s="8"/>
      <c r="JB42" s="8"/>
      <c r="JC42" s="26"/>
      <c r="JD42" s="8"/>
      <c r="JE42" s="7"/>
      <c r="JF42" s="7"/>
      <c r="JG42" s="8"/>
      <c r="JH42" s="8"/>
      <c r="JI42" s="8"/>
      <c r="JJ42" s="8"/>
      <c r="JK42" s="8"/>
      <c r="JL42" s="7"/>
      <c r="JM42" s="7"/>
      <c r="JN42" s="8"/>
      <c r="JO42" s="8"/>
      <c r="JP42" s="8"/>
      <c r="JQ42" s="8"/>
      <c r="JR42" s="8"/>
      <c r="JS42" s="7"/>
      <c r="JT42" s="7"/>
      <c r="JU42" s="8"/>
      <c r="JV42" s="8"/>
      <c r="JW42" s="8"/>
      <c r="JX42" s="8"/>
      <c r="JY42" s="8"/>
      <c r="JZ42" s="87"/>
      <c r="KA42" s="83"/>
      <c r="KB42" s="26"/>
      <c r="KC42" s="8"/>
      <c r="KD42" s="8"/>
      <c r="KE42" s="8"/>
      <c r="KF42" s="8"/>
      <c r="KG42" s="7"/>
      <c r="KH42" s="7"/>
      <c r="KI42" s="8"/>
      <c r="KJ42" s="8"/>
      <c r="KK42" s="8"/>
      <c r="KL42" s="8"/>
      <c r="KM42" s="8"/>
      <c r="KN42" s="7"/>
      <c r="KO42" s="7"/>
      <c r="KP42" s="8"/>
      <c r="KQ42" s="8"/>
      <c r="KR42" s="8"/>
      <c r="KS42" s="8"/>
      <c r="KT42" s="8"/>
      <c r="KU42" s="7"/>
      <c r="KV42" s="7"/>
      <c r="KW42" s="8"/>
      <c r="KX42" s="8"/>
      <c r="KY42" s="8"/>
      <c r="KZ42" s="8"/>
      <c r="LA42" s="8"/>
      <c r="LB42" s="7"/>
      <c r="LC42" s="7"/>
      <c r="LD42" s="8"/>
      <c r="LE42" s="58"/>
      <c r="LF42" s="127"/>
      <c r="LG42" s="128"/>
      <c r="LH42" s="128"/>
      <c r="LI42" s="129"/>
      <c r="LJ42" s="129"/>
      <c r="LK42" s="128"/>
      <c r="LL42" s="128"/>
      <c r="LM42" s="128"/>
      <c r="LN42" s="128"/>
      <c r="LO42" s="128"/>
      <c r="LP42" s="129"/>
      <c r="LQ42" s="129"/>
      <c r="LR42" s="128"/>
      <c r="LS42" s="128"/>
      <c r="LT42" s="128"/>
      <c r="LU42" s="128"/>
      <c r="LV42" s="128"/>
      <c r="LW42" s="129"/>
      <c r="LX42" s="129"/>
      <c r="LY42" s="128"/>
      <c r="LZ42" s="128"/>
      <c r="MA42" s="128"/>
      <c r="MB42" s="128"/>
      <c r="MC42" s="128"/>
      <c r="MD42" s="129"/>
      <c r="ME42" s="129"/>
      <c r="MF42" s="137" t="s">
        <v>1</v>
      </c>
      <c r="MG42" s="137" t="s">
        <v>1</v>
      </c>
      <c r="MH42" s="95" t="s">
        <v>1</v>
      </c>
      <c r="MI42" s="17" t="s">
        <v>1</v>
      </c>
      <c r="MJ42" s="113" t="s">
        <v>3</v>
      </c>
      <c r="MK42" s="7"/>
      <c r="ML42" s="7"/>
      <c r="MM42" s="8"/>
      <c r="MN42" s="8"/>
      <c r="MO42" s="8"/>
      <c r="MP42" s="8"/>
      <c r="MQ42" s="8"/>
      <c r="MR42" s="7"/>
      <c r="MS42" s="7"/>
      <c r="MT42" s="114"/>
      <c r="MU42" s="114"/>
      <c r="MV42" s="114"/>
      <c r="MW42" s="114"/>
      <c r="MX42" s="114"/>
      <c r="MY42" s="115"/>
      <c r="MZ42" s="115"/>
      <c r="NA42" s="114"/>
      <c r="NB42" s="114"/>
      <c r="NC42" s="114"/>
      <c r="ND42" s="114"/>
      <c r="NE42" s="114"/>
      <c r="NF42" s="7"/>
      <c r="NG42" s="7"/>
      <c r="NH42" s="8"/>
      <c r="NI42" s="8"/>
      <c r="NJ42" s="8"/>
      <c r="NK42" s="8"/>
      <c r="NL42" s="84"/>
    </row>
    <row r="43" spans="1:376" customFormat="1" ht="15" customHeight="1" thickBot="1">
      <c r="A43" s="1"/>
      <c r="B43" s="29" t="s">
        <v>95</v>
      </c>
      <c r="C43" s="29" t="s">
        <v>30</v>
      </c>
      <c r="D43" s="29" t="s">
        <v>96</v>
      </c>
      <c r="E43" s="37">
        <v>0</v>
      </c>
      <c r="F43" s="29">
        <v>23</v>
      </c>
      <c r="G43" s="29">
        <v>0</v>
      </c>
      <c r="H43" s="29">
        <f t="shared" si="0"/>
        <v>20</v>
      </c>
      <c r="I43" s="30">
        <f t="shared" ref="I43:I44" si="16">G43-COUNTIF(L43:NL43,$C$3)</f>
        <v>-3</v>
      </c>
      <c r="J43" s="30">
        <f t="shared" ref="J43:J44" si="17">COUNTIF(K43:NI43,$C$4)</f>
        <v>1</v>
      </c>
      <c r="K43" s="71">
        <f t="shared" ref="K43:K44" si="18">COUNTIF(L43:NL43,$C$5)</f>
        <v>6</v>
      </c>
      <c r="L43" s="78"/>
      <c r="M43" s="7"/>
      <c r="N43" s="7"/>
      <c r="O43" s="8"/>
      <c r="P43" s="8"/>
      <c r="Q43" s="8"/>
      <c r="R43" s="8"/>
      <c r="S43" s="8"/>
      <c r="T43" s="7"/>
      <c r="U43" s="7"/>
      <c r="V43" s="8"/>
      <c r="W43" s="8"/>
      <c r="X43" s="8"/>
      <c r="Y43" s="8"/>
      <c r="Z43" s="26"/>
      <c r="AA43" s="7"/>
      <c r="AB43" s="7"/>
      <c r="AC43" s="8"/>
      <c r="AD43" s="8"/>
      <c r="AE43" s="8"/>
      <c r="AF43" s="8"/>
      <c r="AG43" s="8"/>
      <c r="AH43" s="7"/>
      <c r="AI43" s="7"/>
      <c r="AJ43" s="8"/>
      <c r="AK43" s="8"/>
      <c r="AL43" s="8"/>
      <c r="AM43" s="8"/>
      <c r="AN43" s="8"/>
      <c r="AO43" s="87"/>
      <c r="AP43" s="83"/>
      <c r="AQ43" s="8"/>
      <c r="AR43" s="8"/>
      <c r="AS43" s="8"/>
      <c r="AT43" s="8"/>
      <c r="AU43" s="8"/>
      <c r="AV43" s="7"/>
      <c r="AW43" s="7"/>
      <c r="AX43" s="8"/>
      <c r="AY43" s="8"/>
      <c r="AZ43" s="8"/>
      <c r="BA43" s="8"/>
      <c r="BB43" s="8"/>
      <c r="BC43" s="7"/>
      <c r="BD43" s="7"/>
      <c r="BE43" s="8"/>
      <c r="BF43" s="8"/>
      <c r="BG43" s="8"/>
      <c r="BH43" s="8"/>
      <c r="BI43" s="8"/>
      <c r="BJ43" s="7"/>
      <c r="BK43" s="7"/>
      <c r="BL43" s="8"/>
      <c r="BM43" s="8"/>
      <c r="BN43" s="8"/>
      <c r="BO43" s="8"/>
      <c r="BP43" s="8"/>
      <c r="BQ43" s="7"/>
      <c r="BR43" s="7"/>
      <c r="BS43" s="8"/>
      <c r="BT43" s="58"/>
      <c r="BU43" s="78"/>
      <c r="BV43" s="8"/>
      <c r="BW43" s="8"/>
      <c r="BX43" s="7"/>
      <c r="BY43" s="7"/>
      <c r="BZ43" s="8"/>
      <c r="CA43" s="8"/>
      <c r="CB43" s="8"/>
      <c r="CC43" s="8"/>
      <c r="CD43" s="8"/>
      <c r="CE43" s="7"/>
      <c r="CF43" s="7"/>
      <c r="CG43" s="8"/>
      <c r="CH43" s="8"/>
      <c r="CI43" s="8"/>
      <c r="CJ43" s="8"/>
      <c r="CK43" s="8"/>
      <c r="CL43" s="7"/>
      <c r="CM43" s="7"/>
      <c r="CN43" s="8"/>
      <c r="CO43" s="8"/>
      <c r="CP43" s="8"/>
      <c r="CQ43" s="8"/>
      <c r="CR43" s="26"/>
      <c r="CS43" s="7"/>
      <c r="CT43" s="7"/>
      <c r="CU43" s="26"/>
      <c r="CV43" s="8"/>
      <c r="CW43" s="8"/>
      <c r="CX43" s="58"/>
      <c r="CY43" s="78"/>
      <c r="CZ43" s="7"/>
      <c r="DA43" s="7"/>
      <c r="DB43" s="8"/>
      <c r="DC43" s="8"/>
      <c r="DD43" s="8"/>
      <c r="DE43" s="8"/>
      <c r="DF43" s="8"/>
      <c r="DG43" s="7"/>
      <c r="DH43" s="7"/>
      <c r="DI43" s="8"/>
      <c r="DJ43" s="8"/>
      <c r="DK43" s="8"/>
      <c r="DL43" s="8"/>
      <c r="DM43" s="8"/>
      <c r="DN43" s="7"/>
      <c r="DO43" s="7"/>
      <c r="DP43" s="8"/>
      <c r="DQ43" s="8"/>
      <c r="DR43" s="8"/>
      <c r="DS43" s="8"/>
      <c r="DT43" s="8"/>
      <c r="DU43" s="7"/>
      <c r="DV43" s="7"/>
      <c r="DW43" s="8"/>
      <c r="DX43" s="8"/>
      <c r="DY43" s="8"/>
      <c r="DZ43" s="8"/>
      <c r="EA43" s="8"/>
      <c r="EB43" s="7"/>
      <c r="EC43" s="87"/>
      <c r="ED43" s="78"/>
      <c r="EE43" s="8"/>
      <c r="EF43" s="8"/>
      <c r="EG43" s="8"/>
      <c r="EH43" s="8"/>
      <c r="EI43" s="7"/>
      <c r="EJ43" s="7"/>
      <c r="EK43" s="8"/>
      <c r="EL43" s="8"/>
      <c r="EM43" s="8"/>
      <c r="EN43" s="8"/>
      <c r="EO43" s="8"/>
      <c r="EP43" s="7"/>
      <c r="EQ43" s="7"/>
      <c r="ER43" s="26"/>
      <c r="ES43" s="8"/>
      <c r="ET43" s="8"/>
      <c r="EU43" s="8"/>
      <c r="EV43" s="8"/>
      <c r="EW43" s="7"/>
      <c r="EX43" s="7"/>
      <c r="EY43" s="8"/>
      <c r="EZ43" s="8"/>
      <c r="FA43" s="8"/>
      <c r="FB43" s="8"/>
      <c r="FC43" s="8"/>
      <c r="FD43" s="7"/>
      <c r="FE43" s="7"/>
      <c r="FF43" s="8"/>
      <c r="FG43" s="8"/>
      <c r="FH43" s="58"/>
      <c r="FI43" s="78"/>
      <c r="FJ43" s="8"/>
      <c r="FK43" s="7"/>
      <c r="FL43" s="7"/>
      <c r="FM43" s="8"/>
      <c r="FN43" s="8"/>
      <c r="FO43" s="8"/>
      <c r="FP43" s="8"/>
      <c r="FQ43" s="8"/>
      <c r="FR43" s="7"/>
      <c r="FS43" s="7"/>
      <c r="FT43" s="8"/>
      <c r="FU43" s="8"/>
      <c r="FV43" s="8"/>
      <c r="FW43" s="8"/>
      <c r="FX43" s="26"/>
      <c r="FY43" s="7"/>
      <c r="FZ43" s="7"/>
      <c r="GA43" s="26"/>
      <c r="GB43" s="8"/>
      <c r="GC43" s="8"/>
      <c r="GD43" s="8"/>
      <c r="GE43" s="8"/>
      <c r="GF43" s="7"/>
      <c r="GG43" s="7"/>
      <c r="GH43" s="8"/>
      <c r="GI43" s="8"/>
      <c r="GJ43" s="8"/>
      <c r="GK43" s="8"/>
      <c r="GL43" s="58"/>
      <c r="GM43" s="83"/>
      <c r="GN43" s="7"/>
      <c r="GO43" s="8"/>
      <c r="GP43" s="8"/>
      <c r="GQ43" s="8"/>
      <c r="GR43" s="8"/>
      <c r="GS43" s="8"/>
      <c r="GT43" s="7"/>
      <c r="GU43" s="7"/>
      <c r="GV43" s="26"/>
      <c r="GW43" s="8"/>
      <c r="GX43" s="8"/>
      <c r="GY43" s="8"/>
      <c r="GZ43" s="8"/>
      <c r="HA43" s="7"/>
      <c r="HB43" s="7"/>
      <c r="HC43" s="8"/>
      <c r="HD43" s="8"/>
      <c r="HE43" s="8"/>
      <c r="HF43" s="8"/>
      <c r="HG43" s="8"/>
      <c r="HH43" s="7"/>
      <c r="HI43" s="7"/>
      <c r="HJ43" s="8"/>
      <c r="HK43" s="8"/>
      <c r="HL43" s="21" t="s">
        <v>7</v>
      </c>
      <c r="HM43" s="21" t="s">
        <v>7</v>
      </c>
      <c r="HN43" s="21" t="s">
        <v>7</v>
      </c>
      <c r="HO43" s="7"/>
      <c r="HP43" s="7"/>
      <c r="HQ43" s="106"/>
      <c r="HR43" s="104"/>
      <c r="HS43" s="8"/>
      <c r="HT43" s="8"/>
      <c r="HU43" s="8"/>
      <c r="HV43" s="7"/>
      <c r="HW43" s="7"/>
      <c r="HX43" s="8"/>
      <c r="HY43" s="8"/>
      <c r="HZ43" s="8"/>
      <c r="IA43" s="17" t="s">
        <v>3</v>
      </c>
      <c r="IB43" s="8"/>
      <c r="IC43" s="7"/>
      <c r="ID43" s="7"/>
      <c r="IE43" s="8"/>
      <c r="IF43" s="11"/>
      <c r="IG43" s="11"/>
      <c r="IH43" s="8"/>
      <c r="II43" s="8"/>
      <c r="IJ43" s="7"/>
      <c r="IK43" s="7"/>
      <c r="IL43" s="8"/>
      <c r="IM43" s="8"/>
      <c r="IN43" s="8"/>
      <c r="IO43" s="8"/>
      <c r="IP43" s="8"/>
      <c r="IQ43" s="7"/>
      <c r="IR43" s="7"/>
      <c r="IS43" s="8"/>
      <c r="IT43" s="8"/>
      <c r="IU43" s="58"/>
      <c r="IV43" s="78"/>
      <c r="IW43" s="8"/>
      <c r="IX43" s="7"/>
      <c r="IY43" s="7"/>
      <c r="IZ43" s="8"/>
      <c r="JA43" s="8"/>
      <c r="JB43" s="8"/>
      <c r="JC43" s="26"/>
      <c r="JD43" s="8"/>
      <c r="JE43" s="7"/>
      <c r="JF43" s="7"/>
      <c r="JG43" s="8"/>
      <c r="JH43" s="8"/>
      <c r="JI43" s="8"/>
      <c r="JJ43" s="66" t="s">
        <v>3</v>
      </c>
      <c r="JK43" s="66" t="s">
        <v>3</v>
      </c>
      <c r="JL43" s="7"/>
      <c r="JM43" s="7"/>
      <c r="JN43" s="68" t="s">
        <v>7</v>
      </c>
      <c r="JO43" s="68" t="s">
        <v>7</v>
      </c>
      <c r="JP43" s="68" t="s">
        <v>7</v>
      </c>
      <c r="JQ43" s="8"/>
      <c r="JR43" s="8"/>
      <c r="JS43" s="7"/>
      <c r="JT43" s="7"/>
      <c r="JU43" s="8"/>
      <c r="JV43" s="8"/>
      <c r="JW43" s="8"/>
      <c r="JX43" s="8"/>
      <c r="JY43" s="8"/>
      <c r="JZ43" s="87"/>
      <c r="KA43" s="83"/>
      <c r="KB43" s="26"/>
      <c r="KC43" s="8"/>
      <c r="KD43" s="8"/>
      <c r="KE43" s="8"/>
      <c r="KF43" s="8"/>
      <c r="KG43" s="7"/>
      <c r="KH43" s="7"/>
      <c r="KI43" s="8"/>
      <c r="KJ43" s="8"/>
      <c r="KK43" s="8"/>
      <c r="KL43" s="8"/>
      <c r="KM43" s="8"/>
      <c r="KN43" s="7"/>
      <c r="KO43" s="7"/>
      <c r="KP43" s="8"/>
      <c r="KQ43" s="8"/>
      <c r="KR43" s="8"/>
      <c r="KS43" s="67" t="s">
        <v>5</v>
      </c>
      <c r="KT43" s="8"/>
      <c r="KU43" s="7"/>
      <c r="KV43" s="7"/>
      <c r="KW43" s="8"/>
      <c r="KX43" s="8"/>
      <c r="KY43" s="8"/>
      <c r="KZ43" s="8"/>
      <c r="LA43" s="8"/>
      <c r="LB43" s="7"/>
      <c r="LC43" s="7"/>
      <c r="LD43" s="8"/>
      <c r="LE43" s="58"/>
      <c r="LF43" s="165" t="s">
        <v>1</v>
      </c>
      <c r="LG43" s="166" t="s">
        <v>1</v>
      </c>
      <c r="LH43" s="166" t="s">
        <v>1</v>
      </c>
      <c r="LI43" s="145"/>
      <c r="LJ43" s="145"/>
      <c r="LK43" s="144"/>
      <c r="LL43" s="144"/>
      <c r="LM43" s="144"/>
      <c r="LN43" s="169"/>
      <c r="LO43" s="169"/>
      <c r="LP43" s="170"/>
      <c r="LQ43" s="170"/>
      <c r="LR43" s="169"/>
      <c r="LS43" s="169"/>
      <c r="LT43" s="169"/>
      <c r="LU43" s="169"/>
      <c r="LV43" s="169"/>
      <c r="LW43" s="170"/>
      <c r="LX43" s="170"/>
      <c r="LY43" s="169"/>
      <c r="LZ43" s="169"/>
      <c r="MA43" s="144"/>
      <c r="MB43" s="144"/>
      <c r="MC43" s="144"/>
      <c r="MD43" s="145"/>
      <c r="ME43" s="145"/>
      <c r="MF43" s="144"/>
      <c r="MG43" s="146"/>
      <c r="MH43" s="28"/>
      <c r="MI43" s="8"/>
      <c r="MJ43" s="8"/>
      <c r="MK43" s="7"/>
      <c r="ML43" s="7"/>
      <c r="MM43" s="8"/>
      <c r="MN43" s="8"/>
      <c r="MO43" s="8"/>
      <c r="MP43" s="8"/>
      <c r="MQ43" s="8"/>
      <c r="MR43" s="7"/>
      <c r="MS43" s="7"/>
      <c r="MT43" s="8"/>
      <c r="MU43" s="8"/>
      <c r="MV43" s="8"/>
      <c r="MW43" s="8"/>
      <c r="MX43" s="8"/>
      <c r="MY43" s="7"/>
      <c r="MZ43" s="7"/>
      <c r="NA43" s="8"/>
      <c r="NB43" s="8"/>
      <c r="NC43" s="8"/>
      <c r="ND43" s="8"/>
      <c r="NE43" s="8"/>
      <c r="NF43" s="7"/>
      <c r="NG43" s="7"/>
      <c r="NH43" s="8"/>
      <c r="NI43" s="8"/>
      <c r="NJ43" s="8"/>
      <c r="NK43" s="8"/>
      <c r="NL43" s="84"/>
    </row>
    <row r="44" spans="1:376" customFormat="1" ht="15" customHeight="1" thickBot="1">
      <c r="A44" s="1"/>
      <c r="B44" s="29" t="s">
        <v>61</v>
      </c>
      <c r="C44" s="29" t="s">
        <v>30</v>
      </c>
      <c r="D44" s="29" t="s">
        <v>58</v>
      </c>
      <c r="E44" s="37">
        <v>0</v>
      </c>
      <c r="F44" s="29">
        <v>23</v>
      </c>
      <c r="G44" s="29">
        <v>0</v>
      </c>
      <c r="H44" s="29">
        <f t="shared" si="0"/>
        <v>9</v>
      </c>
      <c r="I44" s="30">
        <f t="shared" si="16"/>
        <v>-6</v>
      </c>
      <c r="J44" s="30">
        <f t="shared" si="17"/>
        <v>0</v>
      </c>
      <c r="K44" s="71">
        <f t="shared" si="18"/>
        <v>2</v>
      </c>
      <c r="L44" s="78"/>
      <c r="M44" s="7"/>
      <c r="N44" s="7"/>
      <c r="O44" s="8"/>
      <c r="P44" s="8"/>
      <c r="Q44" s="8"/>
      <c r="R44" s="8"/>
      <c r="S44" s="8"/>
      <c r="T44" s="7"/>
      <c r="U44" s="7"/>
      <c r="V44" s="8"/>
      <c r="W44" s="8"/>
      <c r="X44" s="8"/>
      <c r="Y44" s="8"/>
      <c r="Z44" s="26"/>
      <c r="AA44" s="7"/>
      <c r="AB44" s="7"/>
      <c r="AC44" s="8"/>
      <c r="AD44" s="8"/>
      <c r="AE44" s="8"/>
      <c r="AF44" s="8"/>
      <c r="AG44" s="8"/>
      <c r="AH44" s="7"/>
      <c r="AI44" s="7"/>
      <c r="AJ44" s="8"/>
      <c r="AK44" s="8"/>
      <c r="AL44" s="8"/>
      <c r="AM44" s="8"/>
      <c r="AN44" s="8"/>
      <c r="AO44" s="87"/>
      <c r="AP44" s="83"/>
      <c r="AQ44" s="8"/>
      <c r="AR44" s="8"/>
      <c r="AS44" s="8"/>
      <c r="AT44" s="8"/>
      <c r="AU44" s="8"/>
      <c r="AV44" s="7"/>
      <c r="AW44" s="7"/>
      <c r="AX44" s="8"/>
      <c r="AY44" s="8"/>
      <c r="AZ44" s="8"/>
      <c r="BA44" s="8"/>
      <c r="BB44" s="8"/>
      <c r="BC44" s="7"/>
      <c r="BD44" s="7"/>
      <c r="BE44" s="8"/>
      <c r="BF44" s="8"/>
      <c r="BG44" s="8"/>
      <c r="BH44" s="8"/>
      <c r="BI44" s="8"/>
      <c r="BJ44" s="7"/>
      <c r="BK44" s="7"/>
      <c r="BL44" s="8"/>
      <c r="BM44" s="8"/>
      <c r="BN44" s="8"/>
      <c r="BO44" s="8"/>
      <c r="BP44" s="8"/>
      <c r="BQ44" s="7"/>
      <c r="BR44" s="7"/>
      <c r="BS44" s="8"/>
      <c r="BT44" s="58"/>
      <c r="BU44" s="78"/>
      <c r="BV44" s="8"/>
      <c r="BW44" s="8"/>
      <c r="BX44" s="7"/>
      <c r="BY44" s="7"/>
      <c r="BZ44" s="8"/>
      <c r="CA44" s="8"/>
      <c r="CB44" s="8"/>
      <c r="CC44" s="8"/>
      <c r="CD44" s="8"/>
      <c r="CE44" s="7"/>
      <c r="CF44" s="7"/>
      <c r="CG44" s="8"/>
      <c r="CH44" s="8"/>
      <c r="CI44" s="8"/>
      <c r="CJ44" s="8"/>
      <c r="CK44" s="8"/>
      <c r="CL44" s="7"/>
      <c r="CM44" s="7"/>
      <c r="CN44" s="8"/>
      <c r="CO44" s="8"/>
      <c r="CP44" s="8"/>
      <c r="CQ44" s="8"/>
      <c r="CR44" s="26"/>
      <c r="CS44" s="7"/>
      <c r="CT44" s="7"/>
      <c r="CU44" s="26"/>
      <c r="CV44" s="8"/>
      <c r="CW44" s="8"/>
      <c r="CX44" s="58"/>
      <c r="CY44" s="78"/>
      <c r="CZ44" s="7"/>
      <c r="DA44" s="7"/>
      <c r="DB44" s="8"/>
      <c r="DC44" s="8"/>
      <c r="DD44" s="8"/>
      <c r="DE44" s="8"/>
      <c r="DF44" s="8"/>
      <c r="DG44" s="7"/>
      <c r="DH44" s="7"/>
      <c r="DI44" s="8"/>
      <c r="DJ44" s="8"/>
      <c r="DK44" s="8"/>
      <c r="DL44" s="8"/>
      <c r="DM44" s="8"/>
      <c r="DN44" s="7"/>
      <c r="DO44" s="7"/>
      <c r="DP44" s="8"/>
      <c r="DQ44" s="8"/>
      <c r="DR44" s="8"/>
      <c r="DS44" s="8"/>
      <c r="DT44" s="8"/>
      <c r="DU44" s="7"/>
      <c r="DV44" s="7"/>
      <c r="DW44" s="8"/>
      <c r="DX44" s="8"/>
      <c r="DY44" s="8"/>
      <c r="DZ44" s="8"/>
      <c r="EA44" s="8"/>
      <c r="EB44" s="7"/>
      <c r="EC44" s="87"/>
      <c r="ED44" s="78"/>
      <c r="EE44" s="8"/>
      <c r="EF44" s="8"/>
      <c r="EG44" s="8"/>
      <c r="EH44" s="8"/>
      <c r="EI44" s="7"/>
      <c r="EJ44" s="7"/>
      <c r="EK44" s="15" t="s">
        <v>1</v>
      </c>
      <c r="EL44" s="15" t="s">
        <v>1</v>
      </c>
      <c r="EM44" s="15" t="s">
        <v>1</v>
      </c>
      <c r="EN44" s="15" t="s">
        <v>1</v>
      </c>
      <c r="EO44" s="15" t="s">
        <v>1</v>
      </c>
      <c r="EP44" s="7"/>
      <c r="EQ44" s="7"/>
      <c r="ER44" s="26"/>
      <c r="ES44" s="8"/>
      <c r="ET44" s="8"/>
      <c r="EU44" s="8"/>
      <c r="EV44" s="8"/>
      <c r="EW44" s="7"/>
      <c r="EX44" s="7"/>
      <c r="EY44" s="8"/>
      <c r="EZ44" s="8"/>
      <c r="FA44" s="8"/>
      <c r="FB44" s="21" t="s">
        <v>7</v>
      </c>
      <c r="FC44" s="21" t="s">
        <v>7</v>
      </c>
      <c r="FD44" s="7"/>
      <c r="FE44" s="7"/>
      <c r="FF44" s="8"/>
      <c r="FG44" s="8"/>
      <c r="FH44" s="58"/>
      <c r="FI44" s="78"/>
      <c r="FJ44" s="8"/>
      <c r="FK44" s="7"/>
      <c r="FL44" s="7"/>
      <c r="FM44" s="8"/>
      <c r="FN44" s="8"/>
      <c r="FO44" s="8"/>
      <c r="FP44" s="8"/>
      <c r="FQ44" s="8"/>
      <c r="FR44" s="7"/>
      <c r="FS44" s="7"/>
      <c r="FT44" s="8"/>
      <c r="FU44" s="17" t="s">
        <v>3</v>
      </c>
      <c r="FV44" s="8"/>
      <c r="FW44" s="8"/>
      <c r="FX44" s="26"/>
      <c r="FY44" s="7"/>
      <c r="FZ44" s="7"/>
      <c r="GA44" s="26"/>
      <c r="GB44" s="8"/>
      <c r="GC44" s="8"/>
      <c r="GD44" s="8"/>
      <c r="GE44" s="8"/>
      <c r="GF44" s="7"/>
      <c r="GG44" s="7"/>
      <c r="GH44" s="8"/>
      <c r="GI44" s="8"/>
      <c r="GJ44" s="8"/>
      <c r="GK44" s="8"/>
      <c r="GL44" s="58"/>
      <c r="GM44" s="83"/>
      <c r="GN44" s="7"/>
      <c r="GO44" s="8"/>
      <c r="GP44" s="8"/>
      <c r="GQ44" s="8"/>
      <c r="GR44" s="17" t="s">
        <v>3</v>
      </c>
      <c r="GS44" s="8"/>
      <c r="GT44" s="7"/>
      <c r="GU44" s="7"/>
      <c r="GV44" s="26"/>
      <c r="GW44" s="8"/>
      <c r="GX44" s="8"/>
      <c r="GY44" s="8"/>
      <c r="GZ44" s="8"/>
      <c r="HA44" s="7"/>
      <c r="HB44" s="7"/>
      <c r="HC44" s="8"/>
      <c r="HD44" s="8"/>
      <c r="HE44" s="8"/>
      <c r="HF44" s="8"/>
      <c r="HG44" s="8"/>
      <c r="HH44" s="7"/>
      <c r="HI44" s="7"/>
      <c r="HJ44" s="8"/>
      <c r="HK44" s="8"/>
      <c r="HL44" s="8"/>
      <c r="HM44" s="8"/>
      <c r="HN44" s="8"/>
      <c r="HO44" s="7"/>
      <c r="HP44" s="7"/>
      <c r="HQ44" s="106"/>
      <c r="HR44" s="104"/>
      <c r="HS44" s="8"/>
      <c r="HT44" s="8"/>
      <c r="HU44" s="8"/>
      <c r="HV44" s="7"/>
      <c r="HW44" s="7"/>
      <c r="HX44" s="8"/>
      <c r="HY44" s="8"/>
      <c r="HZ44" s="8"/>
      <c r="IA44" s="8"/>
      <c r="IB44" s="8"/>
      <c r="IC44" s="7"/>
      <c r="ID44" s="7"/>
      <c r="IE44" s="8"/>
      <c r="IF44" s="8"/>
      <c r="IG44" s="8"/>
      <c r="IH44" s="8"/>
      <c r="II44" s="8"/>
      <c r="IJ44" s="7"/>
      <c r="IK44" s="7"/>
      <c r="IL44" s="8"/>
      <c r="IM44" s="8"/>
      <c r="IN44" s="8"/>
      <c r="IO44" s="8"/>
      <c r="IP44" s="8"/>
      <c r="IQ44" s="7"/>
      <c r="IR44" s="7"/>
      <c r="IS44" s="8"/>
      <c r="IT44" s="8"/>
      <c r="IU44" s="58"/>
      <c r="IV44" s="78"/>
      <c r="IW44" s="8"/>
      <c r="IX44" s="7"/>
      <c r="IY44" s="7"/>
      <c r="IZ44" s="8"/>
      <c r="JA44" s="8"/>
      <c r="JB44" s="8"/>
      <c r="JC44" s="26"/>
      <c r="JD44" s="8"/>
      <c r="JE44" s="7"/>
      <c r="JF44" s="7"/>
      <c r="JG44" s="8"/>
      <c r="JH44" s="8"/>
      <c r="JI44" s="8"/>
      <c r="JJ44" s="8"/>
      <c r="JK44" s="8"/>
      <c r="JL44" s="7"/>
      <c r="JM44" s="7"/>
      <c r="JN44" s="8"/>
      <c r="JO44" s="8"/>
      <c r="JP44" s="8"/>
      <c r="JQ44" s="8"/>
      <c r="JR44" s="8"/>
      <c r="JS44" s="7"/>
      <c r="JT44" s="7"/>
      <c r="JU44" s="8"/>
      <c r="JV44" s="8"/>
      <c r="JW44" s="8"/>
      <c r="JX44" s="8"/>
      <c r="JY44" s="8"/>
      <c r="JZ44" s="87"/>
      <c r="KA44" s="83"/>
      <c r="KB44" s="26"/>
      <c r="KC44" s="66" t="s">
        <v>3</v>
      </c>
      <c r="KD44" s="8"/>
      <c r="KE44" s="8"/>
      <c r="KF44" s="8"/>
      <c r="KG44" s="7"/>
      <c r="KH44" s="7"/>
      <c r="KI44" s="8"/>
      <c r="KJ44" s="8"/>
      <c r="KK44" s="8"/>
      <c r="KL44" s="8"/>
      <c r="KM44" s="8"/>
      <c r="KN44" s="7"/>
      <c r="KO44" s="7"/>
      <c r="KP44" s="8"/>
      <c r="KQ44" s="8"/>
      <c r="KR44" s="8"/>
      <c r="KS44" s="8"/>
      <c r="KT44" s="8"/>
      <c r="KU44" s="7"/>
      <c r="KV44" s="7"/>
      <c r="KW44" s="8"/>
      <c r="KX44" s="8"/>
      <c r="KY44" s="8"/>
      <c r="KZ44" s="8"/>
      <c r="LA44" s="8"/>
      <c r="LB44" s="7"/>
      <c r="LC44" s="7"/>
      <c r="LD44" s="8"/>
      <c r="LE44" s="58"/>
      <c r="LF44" s="147"/>
      <c r="LG44" s="8"/>
      <c r="LH44" s="8"/>
      <c r="LI44" s="7"/>
      <c r="LJ44" s="7"/>
      <c r="LK44" s="66" t="s">
        <v>3</v>
      </c>
      <c r="LL44" s="66" t="s">
        <v>3</v>
      </c>
      <c r="LM44" s="172" t="s">
        <v>3</v>
      </c>
      <c r="LN44" s="171" t="s">
        <v>1</v>
      </c>
      <c r="LO44" s="171" t="s">
        <v>1</v>
      </c>
      <c r="LP44" s="7"/>
      <c r="LQ44" s="7"/>
      <c r="LR44" s="171" t="s">
        <v>1</v>
      </c>
      <c r="LS44" s="171" t="s">
        <v>1</v>
      </c>
      <c r="LT44" s="171" t="s">
        <v>1</v>
      </c>
      <c r="LU44" s="171" t="s">
        <v>1</v>
      </c>
      <c r="LV44" s="171" t="s">
        <v>1</v>
      </c>
      <c r="LW44" s="7"/>
      <c r="LX44" s="7"/>
      <c r="LY44" s="171" t="s">
        <v>1</v>
      </c>
      <c r="LZ44" s="171" t="s">
        <v>1</v>
      </c>
      <c r="MA44" s="114"/>
      <c r="MB44" s="114"/>
      <c r="MC44" s="114"/>
      <c r="MD44" s="115"/>
      <c r="ME44" s="7"/>
      <c r="MF44" s="8"/>
      <c r="MG44" s="148"/>
      <c r="MH44" s="28"/>
      <c r="MI44" s="8"/>
      <c r="MJ44" s="8"/>
      <c r="MK44" s="7"/>
      <c r="ML44" s="7"/>
      <c r="MM44" s="8"/>
      <c r="MN44" s="8"/>
      <c r="MO44" s="8"/>
      <c r="MP44" s="8"/>
      <c r="MQ44" s="8"/>
      <c r="MR44" s="7"/>
      <c r="MS44" s="7"/>
      <c r="MT44" s="8"/>
      <c r="MU44" s="8"/>
      <c r="MV44" s="8"/>
      <c r="MW44" s="8"/>
      <c r="MX44" s="8"/>
      <c r="MY44" s="7"/>
      <c r="MZ44" s="7"/>
      <c r="NA44" s="8"/>
      <c r="NB44" s="8"/>
      <c r="NC44" s="8"/>
      <c r="ND44" s="8"/>
      <c r="NE44" s="8"/>
      <c r="NF44" s="7"/>
      <c r="NG44" s="7"/>
      <c r="NH44" s="8"/>
      <c r="NI44" s="8"/>
      <c r="NJ44" s="8"/>
      <c r="NK44" s="8"/>
      <c r="NL44" s="84"/>
    </row>
    <row r="45" spans="1:376" customFormat="1" ht="15" customHeight="1" thickBot="1">
      <c r="A45" s="1"/>
      <c r="B45" s="29" t="s">
        <v>83</v>
      </c>
      <c r="C45" s="29" t="s">
        <v>30</v>
      </c>
      <c r="D45" s="29" t="s">
        <v>58</v>
      </c>
      <c r="E45" s="37">
        <v>0</v>
      </c>
      <c r="F45" s="29">
        <v>23</v>
      </c>
      <c r="G45" s="29">
        <v>0</v>
      </c>
      <c r="H45" s="29">
        <f t="shared" si="0"/>
        <v>13</v>
      </c>
      <c r="I45" s="30">
        <f t="shared" ref="I45" si="19">G45-COUNTIF(L45:NL45,$C$3)</f>
        <v>0</v>
      </c>
      <c r="J45" s="30">
        <f t="shared" ref="J45" si="20">COUNTIF(K45:NI45,$C$4)</f>
        <v>0</v>
      </c>
      <c r="K45" s="71">
        <f t="shared" ref="K45" si="21">COUNTIF(L45:NL45,$C$5)</f>
        <v>0</v>
      </c>
      <c r="L45" s="78"/>
      <c r="M45" s="7"/>
      <c r="N45" s="7"/>
      <c r="O45" s="8"/>
      <c r="P45" s="8"/>
      <c r="Q45" s="8"/>
      <c r="R45" s="8"/>
      <c r="S45" s="8"/>
      <c r="T45" s="7"/>
      <c r="U45" s="7"/>
      <c r="V45" s="8"/>
      <c r="W45" s="8"/>
      <c r="X45" s="8"/>
      <c r="Y45" s="8"/>
      <c r="Z45" s="26"/>
      <c r="AA45" s="7"/>
      <c r="AB45" s="7"/>
      <c r="AC45" s="8"/>
      <c r="AD45" s="8"/>
      <c r="AE45" s="8"/>
      <c r="AF45" s="8"/>
      <c r="AG45" s="8"/>
      <c r="AH45" s="7"/>
      <c r="AI45" s="7"/>
      <c r="AJ45" s="8"/>
      <c r="AK45" s="8"/>
      <c r="AL45" s="8"/>
      <c r="AM45" s="8"/>
      <c r="AN45" s="8"/>
      <c r="AO45" s="87"/>
      <c r="AP45" s="83"/>
      <c r="AQ45" s="8"/>
      <c r="AR45" s="8"/>
      <c r="AS45" s="8"/>
      <c r="AT45" s="8"/>
      <c r="AU45" s="8"/>
      <c r="AV45" s="7"/>
      <c r="AW45" s="7"/>
      <c r="AX45" s="8"/>
      <c r="AY45" s="8"/>
      <c r="AZ45" s="8"/>
      <c r="BA45" s="8"/>
      <c r="BB45" s="8"/>
      <c r="BC45" s="7"/>
      <c r="BD45" s="7"/>
      <c r="BE45" s="8"/>
      <c r="BF45" s="8"/>
      <c r="BG45" s="8"/>
      <c r="BH45" s="8"/>
      <c r="BI45" s="8"/>
      <c r="BJ45" s="7"/>
      <c r="BK45" s="7"/>
      <c r="BL45" s="8"/>
      <c r="BM45" s="8"/>
      <c r="BN45" s="8"/>
      <c r="BO45" s="8"/>
      <c r="BP45" s="8"/>
      <c r="BQ45" s="7"/>
      <c r="BR45" s="7"/>
      <c r="BS45" s="8"/>
      <c r="BT45" s="58"/>
      <c r="BU45" s="78"/>
      <c r="BV45" s="8"/>
      <c r="BW45" s="8"/>
      <c r="BX45" s="7"/>
      <c r="BY45" s="7"/>
      <c r="BZ45" s="8"/>
      <c r="CA45" s="8"/>
      <c r="CB45" s="8"/>
      <c r="CC45" s="8"/>
      <c r="CD45" s="8"/>
      <c r="CE45" s="7"/>
      <c r="CF45" s="7"/>
      <c r="CG45" s="8"/>
      <c r="CH45" s="8"/>
      <c r="CI45" s="8"/>
      <c r="CJ45" s="8"/>
      <c r="CK45" s="8"/>
      <c r="CL45" s="7"/>
      <c r="CM45" s="7"/>
      <c r="CN45" s="8"/>
      <c r="CO45" s="8"/>
      <c r="CP45" s="8"/>
      <c r="CQ45" s="8"/>
      <c r="CR45" s="26"/>
      <c r="CS45" s="7"/>
      <c r="CT45" s="7"/>
      <c r="CU45" s="26"/>
      <c r="CV45" s="8"/>
      <c r="CW45" s="8"/>
      <c r="CX45" s="58"/>
      <c r="CY45" s="78"/>
      <c r="CZ45" s="7"/>
      <c r="DA45" s="7"/>
      <c r="DB45" s="8"/>
      <c r="DC45" s="8"/>
      <c r="DD45" s="8"/>
      <c r="DE45" s="8"/>
      <c r="DF45" s="8"/>
      <c r="DG45" s="7"/>
      <c r="DH45" s="7"/>
      <c r="DI45" s="8"/>
      <c r="DJ45" s="8"/>
      <c r="DK45" s="8"/>
      <c r="DL45" s="8"/>
      <c r="DM45" s="8"/>
      <c r="DN45" s="7"/>
      <c r="DO45" s="7"/>
      <c r="DP45" s="8"/>
      <c r="DQ45" s="8"/>
      <c r="DR45" s="8"/>
      <c r="DS45" s="8"/>
      <c r="DT45" s="8"/>
      <c r="DU45" s="7"/>
      <c r="DV45" s="7"/>
      <c r="DW45" s="8"/>
      <c r="DX45" s="8"/>
      <c r="DY45" s="8"/>
      <c r="DZ45" s="8"/>
      <c r="EA45" s="8"/>
      <c r="EB45" s="7"/>
      <c r="EC45" s="87"/>
      <c r="ED45" s="78"/>
      <c r="EE45" s="8"/>
      <c r="EF45" s="8"/>
      <c r="EG45" s="8"/>
      <c r="EH45" s="8"/>
      <c r="EI45" s="7"/>
      <c r="EJ45" s="7"/>
      <c r="EK45" s="8"/>
      <c r="EL45" s="8"/>
      <c r="EM45" s="8"/>
      <c r="EN45" s="8"/>
      <c r="EO45" s="8"/>
      <c r="EP45" s="7"/>
      <c r="EQ45" s="7"/>
      <c r="ER45" s="26"/>
      <c r="ES45" s="8"/>
      <c r="ET45" s="8"/>
      <c r="EU45" s="8"/>
      <c r="EV45" s="8"/>
      <c r="EW45" s="7"/>
      <c r="EX45" s="7"/>
      <c r="EY45" s="8"/>
      <c r="EZ45" s="8"/>
      <c r="FA45" s="8"/>
      <c r="FB45" s="8"/>
      <c r="FC45" s="8"/>
      <c r="FD45" s="7"/>
      <c r="FE45" s="7"/>
      <c r="FF45" s="8"/>
      <c r="FG45" s="8"/>
      <c r="FH45" s="58"/>
      <c r="FI45" s="78"/>
      <c r="FJ45" s="8"/>
      <c r="FK45" s="7"/>
      <c r="FL45" s="7"/>
      <c r="FM45" s="8"/>
      <c r="FN45" s="8"/>
      <c r="FO45" s="8"/>
      <c r="FP45" s="8"/>
      <c r="FQ45" s="8"/>
      <c r="FR45" s="7"/>
      <c r="FS45" s="7"/>
      <c r="FT45" s="8"/>
      <c r="FU45" s="8"/>
      <c r="FV45" s="8"/>
      <c r="FW45" s="8"/>
      <c r="FX45" s="26"/>
      <c r="FY45" s="7"/>
      <c r="FZ45" s="7"/>
      <c r="GA45" s="26"/>
      <c r="GB45" s="8"/>
      <c r="GC45" s="8"/>
      <c r="GD45" s="8"/>
      <c r="GE45" s="8"/>
      <c r="GF45" s="7"/>
      <c r="GG45" s="7"/>
      <c r="GH45" s="8"/>
      <c r="GI45" s="8"/>
      <c r="GJ45" s="8"/>
      <c r="GK45" s="8"/>
      <c r="GL45" s="58"/>
      <c r="GM45" s="83"/>
      <c r="GN45" s="7"/>
      <c r="GO45" s="8"/>
      <c r="GP45" s="8"/>
      <c r="GQ45" s="8"/>
      <c r="GR45" s="8"/>
      <c r="GS45" s="8"/>
      <c r="GT45" s="7"/>
      <c r="GU45" s="7"/>
      <c r="GV45" s="26"/>
      <c r="GW45" s="8"/>
      <c r="GX45" s="8"/>
      <c r="GY45" s="8"/>
      <c r="GZ45" s="8"/>
      <c r="HA45" s="7"/>
      <c r="HB45" s="7"/>
      <c r="HC45" s="8"/>
      <c r="HD45" s="8"/>
      <c r="HE45" s="8"/>
      <c r="HF45" s="8"/>
      <c r="HG45" s="8"/>
      <c r="HH45" s="7"/>
      <c r="HI45" s="7"/>
      <c r="HJ45" s="8"/>
      <c r="HK45" s="8"/>
      <c r="HL45" s="8"/>
      <c r="HM45" s="8"/>
      <c r="HN45" s="8"/>
      <c r="HO45" s="7"/>
      <c r="HP45" s="7"/>
      <c r="HQ45" s="106"/>
      <c r="HR45" s="104"/>
      <c r="HS45" s="8"/>
      <c r="HT45" s="8"/>
      <c r="HU45" s="8"/>
      <c r="HV45" s="7"/>
      <c r="HW45" s="7"/>
      <c r="HX45" s="8"/>
      <c r="HY45" s="8"/>
      <c r="HZ45" s="8"/>
      <c r="IA45" s="8"/>
      <c r="IB45" s="8"/>
      <c r="IC45" s="7"/>
      <c r="ID45" s="7"/>
      <c r="IE45" s="8"/>
      <c r="IF45" s="8"/>
      <c r="IG45" s="8"/>
      <c r="IH45" s="8"/>
      <c r="II45" s="8"/>
      <c r="IJ45" s="7"/>
      <c r="IK45" s="7"/>
      <c r="IL45" s="8"/>
      <c r="IM45" s="8"/>
      <c r="IN45" s="8"/>
      <c r="IO45" s="8"/>
      <c r="IP45" s="8"/>
      <c r="IQ45" s="7"/>
      <c r="IR45" s="7"/>
      <c r="IS45" s="8"/>
      <c r="IT45" s="8"/>
      <c r="IU45" s="58"/>
      <c r="IV45" s="78"/>
      <c r="IW45" s="8"/>
      <c r="IX45" s="7"/>
      <c r="IY45" s="7"/>
      <c r="IZ45" s="8"/>
      <c r="JA45" s="8"/>
      <c r="JB45" s="8"/>
      <c r="JC45" s="26"/>
      <c r="JD45" s="8"/>
      <c r="JE45" s="7"/>
      <c r="JF45" s="7"/>
      <c r="JG45" s="8"/>
      <c r="JH45" s="8"/>
      <c r="JI45" s="8"/>
      <c r="JJ45" s="8"/>
      <c r="JK45" s="8"/>
      <c r="JL45" s="7"/>
      <c r="JM45" s="7"/>
      <c r="JN45" s="8"/>
      <c r="JO45" s="8"/>
      <c r="JP45" s="8"/>
      <c r="JQ45" s="8"/>
      <c r="JR45" s="8"/>
      <c r="JS45" s="7"/>
      <c r="JT45" s="7"/>
      <c r="JU45" s="8"/>
      <c r="JV45" s="8"/>
      <c r="JW45" s="8"/>
      <c r="JX45" s="8"/>
      <c r="JY45" s="8"/>
      <c r="JZ45" s="87"/>
      <c r="KA45" s="83"/>
      <c r="KB45" s="26"/>
      <c r="KC45" s="8"/>
      <c r="KD45" s="8"/>
      <c r="KE45" s="8"/>
      <c r="KF45" s="8"/>
      <c r="KG45" s="7"/>
      <c r="KH45" s="7"/>
      <c r="KI45" s="8"/>
      <c r="KJ45" s="8"/>
      <c r="KK45" s="8"/>
      <c r="KL45" s="8"/>
      <c r="KM45" s="8"/>
      <c r="KN45" s="7"/>
      <c r="KO45" s="7"/>
      <c r="KP45" s="8"/>
      <c r="KQ45" s="8"/>
      <c r="KR45" s="8"/>
      <c r="KS45" s="8"/>
      <c r="KT45" s="8"/>
      <c r="KU45" s="7"/>
      <c r="KV45" s="7"/>
      <c r="KW45" s="8"/>
      <c r="KX45" s="8"/>
      <c r="KY45" s="8"/>
      <c r="KZ45" s="8"/>
      <c r="LA45" s="8"/>
      <c r="LB45" s="7"/>
      <c r="LC45" s="7"/>
      <c r="LD45" s="8"/>
      <c r="LE45" s="58"/>
      <c r="LF45" s="147"/>
      <c r="LG45" s="8"/>
      <c r="LH45" s="8"/>
      <c r="LI45" s="7"/>
      <c r="LJ45" s="7"/>
      <c r="LK45" s="8"/>
      <c r="LL45" s="8"/>
      <c r="LM45" s="8"/>
      <c r="LN45" s="8"/>
      <c r="LO45" s="8"/>
      <c r="LP45" s="7"/>
      <c r="LQ45" s="7"/>
      <c r="LR45" s="8"/>
      <c r="LS45" s="8"/>
      <c r="LT45" s="8"/>
      <c r="LU45" s="8"/>
      <c r="LV45" s="8"/>
      <c r="LW45" s="7"/>
      <c r="LX45" s="7"/>
      <c r="LY45" s="171" t="s">
        <v>1</v>
      </c>
      <c r="LZ45" s="171" t="s">
        <v>1</v>
      </c>
      <c r="MA45" s="171" t="s">
        <v>1</v>
      </c>
      <c r="MB45" s="171" t="s">
        <v>1</v>
      </c>
      <c r="MC45" s="171" t="s">
        <v>1</v>
      </c>
      <c r="MD45" s="151"/>
      <c r="ME45" s="151"/>
      <c r="MF45" s="171" t="s">
        <v>1</v>
      </c>
      <c r="MG45" s="17" t="s">
        <v>1</v>
      </c>
      <c r="MH45" s="66" t="s">
        <v>1</v>
      </c>
      <c r="MI45" s="66" t="s">
        <v>1</v>
      </c>
      <c r="MJ45" s="66" t="s">
        <v>1</v>
      </c>
      <c r="MK45" s="7"/>
      <c r="ML45" s="7"/>
      <c r="MM45" s="8"/>
      <c r="MN45" s="8"/>
      <c r="MO45" s="8"/>
      <c r="MP45" s="8"/>
      <c r="MQ45" s="8"/>
      <c r="MR45" s="7"/>
      <c r="MS45" s="7"/>
      <c r="MT45" s="8"/>
      <c r="MU45" s="8"/>
      <c r="MV45" s="8"/>
      <c r="MW45" s="8"/>
      <c r="MX45" s="8"/>
      <c r="MY45" s="7"/>
      <c r="MZ45" s="7"/>
      <c r="NA45" s="8"/>
      <c r="NB45" s="8"/>
      <c r="NC45" s="8"/>
      <c r="ND45" s="8"/>
      <c r="NE45" s="8"/>
      <c r="NF45" s="7"/>
      <c r="NG45" s="7"/>
      <c r="NH45" s="8"/>
      <c r="NI45" s="8"/>
      <c r="NJ45" s="8"/>
      <c r="NK45" s="8"/>
      <c r="NL45" s="84"/>
    </row>
    <row r="46" spans="1:376" customFormat="1" ht="15" hidden="1" customHeight="1" thickBot="1">
      <c r="A46" s="1"/>
      <c r="B46" s="29" t="s">
        <v>97</v>
      </c>
      <c r="C46" s="29" t="s">
        <v>30</v>
      </c>
      <c r="D46" s="29"/>
      <c r="E46" s="37">
        <v>0</v>
      </c>
      <c r="F46" s="29">
        <v>23</v>
      </c>
      <c r="G46" s="29">
        <v>0</v>
      </c>
      <c r="H46" s="29">
        <f t="shared" si="0"/>
        <v>22</v>
      </c>
      <c r="I46" s="30">
        <f t="shared" ref="I46" si="22">G46-COUNTIF(L46:NL46,$C$3)</f>
        <v>0</v>
      </c>
      <c r="J46" s="30">
        <f t="shared" ref="J46" si="23">COUNTIF(K46:NI46,$C$4)</f>
        <v>0</v>
      </c>
      <c r="K46" s="71">
        <f t="shared" ref="K46" si="24">COUNTIF(L46:NL46,$C$5)</f>
        <v>0</v>
      </c>
      <c r="L46" s="78"/>
      <c r="M46" s="7"/>
      <c r="N46" s="7"/>
      <c r="O46" s="8"/>
      <c r="P46" s="8"/>
      <c r="Q46" s="8"/>
      <c r="R46" s="8"/>
      <c r="S46" s="8"/>
      <c r="T46" s="7"/>
      <c r="U46" s="7"/>
      <c r="V46" s="8"/>
      <c r="W46" s="8"/>
      <c r="X46" s="8"/>
      <c r="Y46" s="8"/>
      <c r="Z46" s="26"/>
      <c r="AA46" s="7"/>
      <c r="AB46" s="7"/>
      <c r="AC46" s="8"/>
      <c r="AD46" s="8"/>
      <c r="AE46" s="8"/>
      <c r="AF46" s="8"/>
      <c r="AG46" s="8"/>
      <c r="AH46" s="7"/>
      <c r="AI46" s="7"/>
      <c r="AJ46" s="8"/>
      <c r="AK46" s="8"/>
      <c r="AL46" s="8"/>
      <c r="AM46" s="8"/>
      <c r="AN46" s="8"/>
      <c r="AO46" s="87"/>
      <c r="AP46" s="83"/>
      <c r="AQ46" s="8"/>
      <c r="AR46" s="8"/>
      <c r="AS46" s="8"/>
      <c r="AT46" s="8"/>
      <c r="AU46" s="8"/>
      <c r="AV46" s="7"/>
      <c r="AW46" s="7"/>
      <c r="AX46" s="8"/>
      <c r="AY46" s="8"/>
      <c r="AZ46" s="8"/>
      <c r="BA46" s="8"/>
      <c r="BB46" s="8"/>
      <c r="BC46" s="7"/>
      <c r="BD46" s="7"/>
      <c r="BE46" s="8"/>
      <c r="BF46" s="8"/>
      <c r="BG46" s="8"/>
      <c r="BH46" s="8"/>
      <c r="BI46" s="8"/>
      <c r="BJ46" s="7"/>
      <c r="BK46" s="7"/>
      <c r="BL46" s="8"/>
      <c r="BM46" s="8"/>
      <c r="BN46" s="8"/>
      <c r="BO46" s="8"/>
      <c r="BP46" s="8"/>
      <c r="BQ46" s="7"/>
      <c r="BR46" s="7"/>
      <c r="BS46" s="8"/>
      <c r="BT46" s="58"/>
      <c r="BU46" s="78"/>
      <c r="BV46" s="8"/>
      <c r="BW46" s="8"/>
      <c r="BX46" s="7"/>
      <c r="BY46" s="7"/>
      <c r="BZ46" s="8"/>
      <c r="CA46" s="8"/>
      <c r="CB46" s="8"/>
      <c r="CC46" s="8"/>
      <c r="CD46" s="8"/>
      <c r="CE46" s="7"/>
      <c r="CF46" s="7"/>
      <c r="CG46" s="8"/>
      <c r="CH46" s="8"/>
      <c r="CI46" s="8"/>
      <c r="CJ46" s="8"/>
      <c r="CK46" s="8"/>
      <c r="CL46" s="7"/>
      <c r="CM46" s="7"/>
      <c r="CN46" s="8"/>
      <c r="CO46" s="8"/>
      <c r="CP46" s="8"/>
      <c r="CQ46" s="8"/>
      <c r="CR46" s="26"/>
      <c r="CS46" s="7"/>
      <c r="CT46" s="7"/>
      <c r="CU46" s="26"/>
      <c r="CV46" s="8"/>
      <c r="CW46" s="8"/>
      <c r="CX46" s="58"/>
      <c r="CY46" s="78"/>
      <c r="CZ46" s="7"/>
      <c r="DA46" s="7"/>
      <c r="DB46" s="8"/>
      <c r="DC46" s="8"/>
      <c r="DD46" s="8"/>
      <c r="DE46" s="8"/>
      <c r="DF46" s="8"/>
      <c r="DG46" s="7"/>
      <c r="DH46" s="7"/>
      <c r="DI46" s="8"/>
      <c r="DJ46" s="8"/>
      <c r="DK46" s="8"/>
      <c r="DL46" s="8"/>
      <c r="DM46" s="8"/>
      <c r="DN46" s="7"/>
      <c r="DO46" s="7"/>
      <c r="DP46" s="8"/>
      <c r="DQ46" s="8"/>
      <c r="DR46" s="8"/>
      <c r="DS46" s="8"/>
      <c r="DT46" s="8"/>
      <c r="DU46" s="7"/>
      <c r="DV46" s="7"/>
      <c r="DW46" s="8"/>
      <c r="DX46" s="8"/>
      <c r="DY46" s="8"/>
      <c r="DZ46" s="8"/>
      <c r="EA46" s="8"/>
      <c r="EB46" s="7"/>
      <c r="EC46" s="87"/>
      <c r="ED46" s="78"/>
      <c r="EE46" s="8"/>
      <c r="EF46" s="8"/>
      <c r="EG46" s="8"/>
      <c r="EH46" s="8"/>
      <c r="EI46" s="7"/>
      <c r="EJ46" s="7"/>
      <c r="EK46" s="8"/>
      <c r="EL46" s="8"/>
      <c r="EM46" s="8"/>
      <c r="EN46" s="8"/>
      <c r="EO46" s="8"/>
      <c r="EP46" s="7"/>
      <c r="EQ46" s="7"/>
      <c r="ER46" s="26"/>
      <c r="ES46" s="8"/>
      <c r="ET46" s="8"/>
      <c r="EU46" s="8"/>
      <c r="EV46" s="8"/>
      <c r="EW46" s="7"/>
      <c r="EX46" s="7"/>
      <c r="EY46" s="8"/>
      <c r="EZ46" s="8"/>
      <c r="FA46" s="8"/>
      <c r="FB46" s="8"/>
      <c r="FC46" s="8"/>
      <c r="FD46" s="7"/>
      <c r="FE46" s="7"/>
      <c r="FF46" s="8"/>
      <c r="FG46" s="8"/>
      <c r="FH46" s="58"/>
      <c r="FI46" s="78"/>
      <c r="FJ46" s="8"/>
      <c r="FK46" s="7"/>
      <c r="FL46" s="7"/>
      <c r="FM46" s="8"/>
      <c r="FN46" s="8"/>
      <c r="FO46" s="8"/>
      <c r="FP46" s="8"/>
      <c r="FQ46" s="8"/>
      <c r="FR46" s="7"/>
      <c r="FS46" s="7"/>
      <c r="FT46" s="8"/>
      <c r="FU46" s="8"/>
      <c r="FV46" s="8"/>
      <c r="FW46" s="8"/>
      <c r="FX46" s="26"/>
      <c r="FY46" s="7"/>
      <c r="FZ46" s="7"/>
      <c r="GA46" s="26"/>
      <c r="GB46" s="8"/>
      <c r="GC46" s="8"/>
      <c r="GD46" s="8"/>
      <c r="GE46" s="8"/>
      <c r="GF46" s="7"/>
      <c r="GG46" s="7"/>
      <c r="GH46" s="8"/>
      <c r="GI46" s="8"/>
      <c r="GJ46" s="8"/>
      <c r="GK46" s="8"/>
      <c r="GL46" s="58"/>
      <c r="GM46" s="83"/>
      <c r="GN46" s="7"/>
      <c r="GO46" s="8"/>
      <c r="GP46" s="8"/>
      <c r="GQ46" s="8"/>
      <c r="GR46" s="8"/>
      <c r="GS46" s="8"/>
      <c r="GT46" s="7"/>
      <c r="GU46" s="7"/>
      <c r="GV46" s="26"/>
      <c r="GW46" s="8"/>
      <c r="GX46" s="8"/>
      <c r="GY46" s="8"/>
      <c r="GZ46" s="8"/>
      <c r="HA46" s="7"/>
      <c r="HB46" s="7"/>
      <c r="HC46" s="8"/>
      <c r="HD46" s="8"/>
      <c r="HE46" s="8"/>
      <c r="HF46" s="8"/>
      <c r="HG46" s="8"/>
      <c r="HH46" s="7"/>
      <c r="HI46" s="7"/>
      <c r="HJ46" s="8"/>
      <c r="HK46" s="8"/>
      <c r="HL46" s="8"/>
      <c r="HM46" s="8"/>
      <c r="HN46" s="8"/>
      <c r="HO46" s="7"/>
      <c r="HP46" s="7"/>
      <c r="HQ46" s="106"/>
      <c r="HR46" s="104"/>
      <c r="HS46" s="8"/>
      <c r="HT46" s="8"/>
      <c r="HU46" s="8"/>
      <c r="HV46" s="7"/>
      <c r="HW46" s="7"/>
      <c r="HX46" s="8"/>
      <c r="HY46" s="8"/>
      <c r="HZ46" s="8"/>
      <c r="IA46" s="8"/>
      <c r="IB46" s="8"/>
      <c r="IC46" s="7"/>
      <c r="ID46" s="7"/>
      <c r="IE46" s="8"/>
      <c r="IF46" s="8"/>
      <c r="IG46" s="8"/>
      <c r="IH46" s="8"/>
      <c r="II46" s="8"/>
      <c r="IJ46" s="7"/>
      <c r="IK46" s="7"/>
      <c r="IL46" s="8"/>
      <c r="IM46" s="8"/>
      <c r="IN46" s="8"/>
      <c r="IO46" s="8"/>
      <c r="IP46" s="8"/>
      <c r="IQ46" s="7"/>
      <c r="IR46" s="7"/>
      <c r="IS46" s="45"/>
      <c r="IT46" s="45"/>
      <c r="IU46" s="45"/>
      <c r="IV46" s="45"/>
      <c r="IW46" s="45"/>
      <c r="IX46" s="45"/>
      <c r="IY46" s="45"/>
      <c r="IZ46" s="45"/>
      <c r="JA46" s="45"/>
      <c r="JB46" s="45"/>
      <c r="JC46" s="45"/>
      <c r="JD46" s="45"/>
      <c r="JE46" s="45"/>
      <c r="JF46" s="45"/>
      <c r="JG46" s="45"/>
      <c r="JH46" s="45"/>
      <c r="JI46" s="45"/>
      <c r="JJ46" s="45"/>
      <c r="JK46" s="45"/>
      <c r="JL46" s="45"/>
      <c r="JM46" s="45"/>
      <c r="JN46" s="45"/>
      <c r="JO46" s="45"/>
      <c r="JP46" s="45"/>
      <c r="JQ46" s="45"/>
      <c r="JR46" s="45"/>
      <c r="JS46" s="45"/>
      <c r="JT46" s="45"/>
      <c r="JU46" s="45"/>
      <c r="JV46" s="15" t="s">
        <v>1</v>
      </c>
      <c r="JW46" s="45"/>
      <c r="JX46" s="45"/>
      <c r="JY46" s="45"/>
      <c r="JZ46" s="101"/>
      <c r="KA46" s="98"/>
      <c r="KB46" s="45"/>
      <c r="KC46" s="45"/>
      <c r="KD46" s="45"/>
      <c r="KE46" s="45"/>
      <c r="KF46" s="45"/>
      <c r="KG46" s="45"/>
      <c r="KH46" s="45"/>
      <c r="KI46" s="45"/>
      <c r="KJ46" s="45"/>
      <c r="KK46" s="45"/>
      <c r="KL46" s="45"/>
      <c r="KM46" s="45"/>
      <c r="KN46" s="45"/>
      <c r="KO46" s="45"/>
      <c r="KP46" s="45"/>
      <c r="KQ46" s="45"/>
      <c r="KR46" s="45"/>
      <c r="KS46" s="45"/>
      <c r="KT46" s="45"/>
      <c r="KU46" s="45"/>
      <c r="KV46" s="45"/>
      <c r="KW46" s="45"/>
      <c r="KX46" s="45"/>
      <c r="KY46" s="45"/>
      <c r="KZ46" s="45"/>
      <c r="LA46" s="45"/>
      <c r="LB46" s="45"/>
      <c r="LC46" s="45"/>
      <c r="LD46" s="45"/>
      <c r="LE46" s="101"/>
      <c r="LF46" s="167"/>
      <c r="LG46" s="45"/>
      <c r="LH46" s="45"/>
      <c r="LI46" s="45"/>
      <c r="LJ46" s="45"/>
      <c r="LK46" s="45"/>
      <c r="LL46" s="45"/>
      <c r="LM46" s="45"/>
      <c r="LN46" s="45"/>
      <c r="LO46" s="45"/>
      <c r="LP46" s="45"/>
      <c r="LQ46" s="45"/>
      <c r="LR46" s="45"/>
      <c r="LS46" s="45"/>
      <c r="LT46" s="45"/>
      <c r="LU46" s="45"/>
      <c r="LV46" s="45"/>
      <c r="LW46" s="45"/>
      <c r="LX46" s="45"/>
      <c r="LY46" s="45"/>
      <c r="LZ46" s="45"/>
      <c r="MA46" s="45"/>
      <c r="MB46" s="45"/>
      <c r="MC46" s="45"/>
      <c r="MD46" s="45"/>
      <c r="ME46" s="45"/>
      <c r="MF46" s="45"/>
      <c r="MG46" s="168"/>
      <c r="MH46" s="49"/>
      <c r="MI46" s="45"/>
      <c r="MJ46" s="45"/>
      <c r="MK46" s="45"/>
      <c r="ML46" s="45"/>
      <c r="MM46" s="45"/>
      <c r="MN46" s="45"/>
      <c r="MO46" s="45"/>
      <c r="MP46" s="45"/>
      <c r="MQ46" s="45"/>
      <c r="MR46" s="45"/>
      <c r="MS46" s="45"/>
      <c r="MT46" s="45"/>
      <c r="MU46" s="45"/>
      <c r="MV46" s="45"/>
      <c r="MW46" s="45"/>
      <c r="MX46" s="45"/>
      <c r="MY46" s="45"/>
      <c r="MZ46" s="45"/>
      <c r="NA46" s="45"/>
      <c r="NB46" s="45"/>
      <c r="NC46" s="45"/>
      <c r="ND46" s="45"/>
      <c r="NE46" s="45"/>
      <c r="NF46" s="45"/>
      <c r="NG46" s="45"/>
      <c r="NH46" s="45"/>
      <c r="NI46" s="45"/>
      <c r="NJ46" s="45"/>
      <c r="NK46" s="45"/>
      <c r="NL46" s="99"/>
    </row>
    <row r="47" spans="1:376" customFormat="1" ht="15" customHeight="1" thickBot="1">
      <c r="A47" s="1"/>
      <c r="B47" s="29" t="s">
        <v>59</v>
      </c>
      <c r="C47" s="29" t="s">
        <v>30</v>
      </c>
      <c r="D47" s="29" t="s">
        <v>60</v>
      </c>
      <c r="E47" s="37">
        <v>0</v>
      </c>
      <c r="F47" s="29">
        <v>23</v>
      </c>
      <c r="G47" s="29">
        <v>0</v>
      </c>
      <c r="H47" s="29">
        <f t="shared" si="0"/>
        <v>13</v>
      </c>
      <c r="I47" s="30">
        <f t="shared" ref="I47" si="25">G47-COUNTIF(L47:NL47,$C$3)</f>
        <v>-1</v>
      </c>
      <c r="J47" s="30">
        <f t="shared" ref="J47" si="26">COUNTIF(K47:NI47,$C$4)</f>
        <v>0</v>
      </c>
      <c r="K47" s="71">
        <f t="shared" ref="K47" si="27">COUNTIF(L47:NL47,$C$5)</f>
        <v>2</v>
      </c>
      <c r="L47" s="79"/>
      <c r="M47" s="80"/>
      <c r="N47" s="80"/>
      <c r="O47" s="81"/>
      <c r="P47" s="81"/>
      <c r="Q47" s="81"/>
      <c r="R47" s="81"/>
      <c r="S47" s="81"/>
      <c r="T47" s="80"/>
      <c r="U47" s="80"/>
      <c r="V47" s="81"/>
      <c r="W47" s="81"/>
      <c r="X47" s="81"/>
      <c r="Y47" s="81"/>
      <c r="Z47" s="82"/>
      <c r="AA47" s="80"/>
      <c r="AB47" s="80"/>
      <c r="AC47" s="81"/>
      <c r="AD47" s="81"/>
      <c r="AE47" s="81"/>
      <c r="AF47" s="81"/>
      <c r="AG47" s="81"/>
      <c r="AH47" s="80"/>
      <c r="AI47" s="80"/>
      <c r="AJ47" s="81"/>
      <c r="AK47" s="81"/>
      <c r="AL47" s="81"/>
      <c r="AM47" s="81"/>
      <c r="AN47" s="81"/>
      <c r="AO47" s="88"/>
      <c r="AP47" s="85"/>
      <c r="AQ47" s="81"/>
      <c r="AR47" s="81"/>
      <c r="AS47" s="81"/>
      <c r="AT47" s="81"/>
      <c r="AU47" s="81"/>
      <c r="AV47" s="80"/>
      <c r="AW47" s="80"/>
      <c r="AX47" s="81"/>
      <c r="AY47" s="81"/>
      <c r="AZ47" s="81"/>
      <c r="BA47" s="81"/>
      <c r="BB47" s="81"/>
      <c r="BC47" s="80"/>
      <c r="BD47" s="80"/>
      <c r="BE47" s="81"/>
      <c r="BF47" s="81"/>
      <c r="BG47" s="81"/>
      <c r="BH47" s="81"/>
      <c r="BI47" s="81"/>
      <c r="BJ47" s="80"/>
      <c r="BK47" s="80"/>
      <c r="BL47" s="81"/>
      <c r="BM47" s="81"/>
      <c r="BN47" s="81"/>
      <c r="BO47" s="81"/>
      <c r="BP47" s="81"/>
      <c r="BQ47" s="80"/>
      <c r="BR47" s="80"/>
      <c r="BS47" s="81"/>
      <c r="BT47" s="92"/>
      <c r="BU47" s="79"/>
      <c r="BV47" s="81"/>
      <c r="BW47" s="81"/>
      <c r="BX47" s="80"/>
      <c r="BY47" s="80"/>
      <c r="BZ47" s="81"/>
      <c r="CA47" s="81"/>
      <c r="CB47" s="81"/>
      <c r="CC47" s="81"/>
      <c r="CD47" s="81"/>
      <c r="CE47" s="80"/>
      <c r="CF47" s="80"/>
      <c r="CG47" s="81"/>
      <c r="CH47" s="81"/>
      <c r="CI47" s="81"/>
      <c r="CJ47" s="81"/>
      <c r="CK47" s="81"/>
      <c r="CL47" s="80"/>
      <c r="CM47" s="80"/>
      <c r="CN47" s="81"/>
      <c r="CO47" s="81"/>
      <c r="CP47" s="81"/>
      <c r="CQ47" s="81"/>
      <c r="CR47" s="82"/>
      <c r="CS47" s="80"/>
      <c r="CT47" s="80"/>
      <c r="CU47" s="82"/>
      <c r="CV47" s="81"/>
      <c r="CW47" s="81"/>
      <c r="CX47" s="92"/>
      <c r="CY47" s="79"/>
      <c r="CZ47" s="80"/>
      <c r="DA47" s="80"/>
      <c r="DB47" s="81"/>
      <c r="DC47" s="81"/>
      <c r="DD47" s="81"/>
      <c r="DE47" s="81"/>
      <c r="DF47" s="81"/>
      <c r="DG47" s="80"/>
      <c r="DH47" s="80"/>
      <c r="DI47" s="81"/>
      <c r="DJ47" s="81"/>
      <c r="DK47" s="81"/>
      <c r="DL47" s="81"/>
      <c r="DM47" s="81"/>
      <c r="DN47" s="80"/>
      <c r="DO47" s="80"/>
      <c r="DP47" s="81"/>
      <c r="DQ47" s="81"/>
      <c r="DR47" s="81"/>
      <c r="DS47" s="81"/>
      <c r="DT47" s="81"/>
      <c r="DU47" s="80"/>
      <c r="DV47" s="80"/>
      <c r="DW47" s="81"/>
      <c r="DX47" s="81"/>
      <c r="DY47" s="81"/>
      <c r="DZ47" s="81"/>
      <c r="EA47" s="81"/>
      <c r="EB47" s="80"/>
      <c r="EC47" s="88"/>
      <c r="ED47" s="79"/>
      <c r="EE47" s="81"/>
      <c r="EF47" s="81"/>
      <c r="EG47" s="81"/>
      <c r="EH47" s="81"/>
      <c r="EI47" s="80"/>
      <c r="EJ47" s="80"/>
      <c r="EK47" s="81"/>
      <c r="EL47" s="81"/>
      <c r="EM47" s="81"/>
      <c r="EN47" s="81"/>
      <c r="EO47" s="81"/>
      <c r="EP47" s="80"/>
      <c r="EQ47" s="80"/>
      <c r="ER47" s="82"/>
      <c r="ES47" s="81"/>
      <c r="ET47" s="81"/>
      <c r="EU47" s="81"/>
      <c r="EV47" s="81"/>
      <c r="EW47" s="80"/>
      <c r="EX47" s="80"/>
      <c r="EY47" s="81"/>
      <c r="EZ47" s="81"/>
      <c r="FA47" s="81"/>
      <c r="FB47" s="81"/>
      <c r="FC47" s="81"/>
      <c r="FD47" s="80"/>
      <c r="FE47" s="80"/>
      <c r="FF47" s="81"/>
      <c r="FG47" s="81"/>
      <c r="FH47" s="92"/>
      <c r="FI47" s="79"/>
      <c r="FJ47" s="81"/>
      <c r="FK47" s="80"/>
      <c r="FL47" s="80"/>
      <c r="FM47" s="81"/>
      <c r="FN47" s="81"/>
      <c r="FO47" s="81"/>
      <c r="FP47" s="81"/>
      <c r="FQ47" s="81"/>
      <c r="FR47" s="80"/>
      <c r="FS47" s="80"/>
      <c r="FT47" s="81"/>
      <c r="FU47" s="81"/>
      <c r="FV47" s="81"/>
      <c r="FW47" s="81"/>
      <c r="FX47" s="82"/>
      <c r="FY47" s="80"/>
      <c r="FZ47" s="80"/>
      <c r="GA47" s="82"/>
      <c r="GB47" s="81"/>
      <c r="GC47" s="81"/>
      <c r="GD47" s="81"/>
      <c r="GE47" s="81"/>
      <c r="GF47" s="80"/>
      <c r="GG47" s="80"/>
      <c r="GH47" s="81"/>
      <c r="GI47" s="81"/>
      <c r="GJ47" s="81"/>
      <c r="GK47" s="81"/>
      <c r="GL47" s="92"/>
      <c r="GM47" s="85"/>
      <c r="GN47" s="80"/>
      <c r="GO47" s="81"/>
      <c r="GP47" s="81"/>
      <c r="GQ47" s="81"/>
      <c r="GR47" s="81"/>
      <c r="GS47" s="81"/>
      <c r="GT47" s="80"/>
      <c r="GU47" s="80"/>
      <c r="GV47" s="82"/>
      <c r="GW47" s="81"/>
      <c r="GX47" s="81"/>
      <c r="GY47" s="81"/>
      <c r="GZ47" s="81"/>
      <c r="HA47" s="80"/>
      <c r="HB47" s="80"/>
      <c r="HC47" s="81"/>
      <c r="HD47" s="81"/>
      <c r="HE47" s="81"/>
      <c r="HF47" s="102" t="s">
        <v>7</v>
      </c>
      <c r="HG47" s="102" t="s">
        <v>7</v>
      </c>
      <c r="HH47" s="80"/>
      <c r="HI47" s="80"/>
      <c r="HJ47" s="81"/>
      <c r="HK47" s="81"/>
      <c r="HL47" s="81"/>
      <c r="HM47" s="81"/>
      <c r="HN47" s="81"/>
      <c r="HO47" s="80"/>
      <c r="HP47" s="80"/>
      <c r="HQ47" s="107"/>
      <c r="HR47" s="105"/>
      <c r="HS47" s="81"/>
      <c r="HT47" s="81"/>
      <c r="HU47" s="81"/>
      <c r="HV47" s="80"/>
      <c r="HW47" s="80"/>
      <c r="HX47" s="81"/>
      <c r="HY47" s="81"/>
      <c r="HZ47" s="81"/>
      <c r="IA47" s="81"/>
      <c r="IB47" s="81"/>
      <c r="IC47" s="80"/>
      <c r="ID47" s="80"/>
      <c r="IE47" s="81"/>
      <c r="IF47" s="81"/>
      <c r="IG47" s="81"/>
      <c r="IH47" s="81"/>
      <c r="II47" s="81"/>
      <c r="IJ47" s="80"/>
      <c r="IK47" s="80"/>
      <c r="IL47" s="81"/>
      <c r="IM47" s="81"/>
      <c r="IN47" s="81"/>
      <c r="IO47" s="81"/>
      <c r="IP47" s="81"/>
      <c r="IQ47" s="80"/>
      <c r="IR47" s="80"/>
      <c r="IS47" s="81"/>
      <c r="IT47" s="81"/>
      <c r="IU47" s="92"/>
      <c r="IV47" s="79"/>
      <c r="IW47" s="81"/>
      <c r="IX47" s="80"/>
      <c r="IY47" s="80"/>
      <c r="IZ47" s="81"/>
      <c r="JA47" s="81"/>
      <c r="JB47" s="81"/>
      <c r="JC47" s="82"/>
      <c r="JD47" s="81"/>
      <c r="JE47" s="80"/>
      <c r="JF47" s="80"/>
      <c r="JG47" s="81"/>
      <c r="JH47" s="81"/>
      <c r="JI47" s="81"/>
      <c r="JJ47" s="81"/>
      <c r="JK47" s="81"/>
      <c r="JL47" s="80"/>
      <c r="JM47" s="80"/>
      <c r="JN47" s="81"/>
      <c r="JO47" s="66" t="s">
        <v>3</v>
      </c>
      <c r="JP47" s="81"/>
      <c r="JQ47" s="81"/>
      <c r="JR47" s="81"/>
      <c r="JS47" s="80"/>
      <c r="JT47" s="80"/>
      <c r="JU47" s="81"/>
      <c r="JV47" s="81"/>
      <c r="JW47" s="81"/>
      <c r="JX47" s="81"/>
      <c r="JY47" s="81"/>
      <c r="JZ47" s="88"/>
      <c r="KA47" s="85"/>
      <c r="KB47" s="82"/>
      <c r="KC47" s="81"/>
      <c r="KD47" s="81"/>
      <c r="KE47" s="81"/>
      <c r="KF47" s="81"/>
      <c r="KG47" s="80"/>
      <c r="KH47" s="80"/>
      <c r="KI47" s="81"/>
      <c r="KJ47" s="81"/>
      <c r="KK47" s="81"/>
      <c r="KL47" s="81"/>
      <c r="KM47" s="81"/>
      <c r="KN47" s="80"/>
      <c r="KO47" s="80"/>
      <c r="KP47" s="81"/>
      <c r="KQ47" s="81"/>
      <c r="KR47" s="81"/>
      <c r="KS47" s="81"/>
      <c r="KT47" s="81"/>
      <c r="KU47" s="80"/>
      <c r="KV47" s="80"/>
      <c r="KW47" s="110" t="s">
        <v>1</v>
      </c>
      <c r="KX47" s="110" t="s">
        <v>1</v>
      </c>
      <c r="KY47" s="110" t="s">
        <v>1</v>
      </c>
      <c r="KZ47" s="110" t="s">
        <v>1</v>
      </c>
      <c r="LA47" s="110" t="s">
        <v>1</v>
      </c>
      <c r="LB47" s="80"/>
      <c r="LC47" s="80"/>
      <c r="LD47" s="110" t="s">
        <v>1</v>
      </c>
      <c r="LE47" s="112" t="s">
        <v>1</v>
      </c>
      <c r="LF47" s="173" t="s">
        <v>1</v>
      </c>
      <c r="LG47" s="174" t="s">
        <v>1</v>
      </c>
      <c r="LH47" s="174" t="s">
        <v>1</v>
      </c>
      <c r="LI47" s="151"/>
      <c r="LJ47" s="151"/>
      <c r="LK47" s="150"/>
      <c r="LL47" s="150"/>
      <c r="LM47" s="150"/>
      <c r="LN47" s="150"/>
      <c r="LO47" s="150"/>
      <c r="LP47" s="151"/>
      <c r="LQ47" s="151"/>
      <c r="LR47" s="150"/>
      <c r="LS47" s="150"/>
      <c r="LT47" s="150"/>
      <c r="LU47" s="150"/>
      <c r="LV47" s="150"/>
      <c r="LW47" s="151"/>
      <c r="LX47" s="151"/>
      <c r="LY47" s="150"/>
      <c r="LZ47" s="150"/>
      <c r="MA47" s="150"/>
      <c r="MB47" s="150"/>
      <c r="MC47" s="150"/>
      <c r="MD47" s="151"/>
      <c r="ME47" s="151"/>
      <c r="MF47" s="150"/>
      <c r="MG47" s="152"/>
      <c r="MH47" s="120"/>
      <c r="MI47" s="81"/>
      <c r="MJ47" s="81"/>
      <c r="MK47" s="80"/>
      <c r="ML47" s="80"/>
      <c r="MM47" s="81"/>
      <c r="MN47" s="81"/>
      <c r="MO47" s="81"/>
      <c r="MP47" s="81"/>
      <c r="MQ47" s="81"/>
      <c r="MR47" s="80"/>
      <c r="MS47" s="80"/>
      <c r="MT47" s="81"/>
      <c r="MU47" s="81"/>
      <c r="MV47" s="81"/>
      <c r="MW47" s="81"/>
      <c r="MX47" s="81"/>
      <c r="MY47" s="80"/>
      <c r="MZ47" s="80"/>
      <c r="NA47" s="81"/>
      <c r="NB47" s="81"/>
      <c r="NC47" s="81"/>
      <c r="ND47" s="81"/>
      <c r="NE47" s="81"/>
      <c r="NF47" s="80"/>
      <c r="NG47" s="80"/>
      <c r="NH47" s="81"/>
      <c r="NI47" s="81"/>
      <c r="NJ47" s="81"/>
      <c r="NK47" s="81"/>
      <c r="NL47" s="86"/>
    </row>
  </sheetData>
  <autoFilter ref="B9:D47" xr:uid="{00000000-0009-0000-0000-000003000000}">
    <filterColumn colId="2">
      <filters>
        <filter val="Arquitectura"/>
        <filter val="Clinic"/>
        <filter val="Gestión"/>
        <filter val="Gestión configuración"/>
        <filter val="QA"/>
        <filter val="Remote"/>
        <filter val="Soporte"/>
        <filter val="Triaje"/>
        <filter val="UCI"/>
        <filter val="UCI / Remote"/>
      </filters>
    </filterColumn>
  </autoFilter>
  <mergeCells count="12">
    <mergeCell ref="MH7:NL7"/>
    <mergeCell ref="L7:AO7"/>
    <mergeCell ref="AP7:BT7"/>
    <mergeCell ref="BU7:CX7"/>
    <mergeCell ref="CY7:EC7"/>
    <mergeCell ref="ED7:FH7"/>
    <mergeCell ref="FI7:GL7"/>
    <mergeCell ref="GM7:HQ7"/>
    <mergeCell ref="HR7:IU7"/>
    <mergeCell ref="IV7:JZ7"/>
    <mergeCell ref="KA7:LE7"/>
    <mergeCell ref="LF7:MG7"/>
  </mergeCells>
  <pageMargins left="0.70000000000000007" right="0.70000000000000007" top="0.75" bottom="0.75" header="0.30000000000000004" footer="0.30000000000000004"/>
  <pageSetup paperSize="9" fitToWidth="0" fitToHeight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47FC-777E-4DAC-9068-3BB25DFBCE96}">
  <sheetPr filterMode="1"/>
  <dimension ref="A2:NM44"/>
  <sheetViews>
    <sheetView zoomScale="85" zoomScaleNormal="85" workbookViewId="0">
      <pane xSplit="4" ySplit="9" topLeftCell="MA11" activePane="bottomRight" state="frozen"/>
      <selection pane="bottomRight" activeCell="NI14" sqref="NI14"/>
      <selection pane="bottomLeft" activeCell="A9" sqref="A9"/>
      <selection pane="topRight" activeCell="E1" sqref="E1"/>
    </sheetView>
  </sheetViews>
  <sheetFormatPr defaultColWidth="5.42578125" defaultRowHeight="15" outlineLevelCol="1"/>
  <cols>
    <col min="1" max="1" width="5" style="1" customWidth="1"/>
    <col min="2" max="2" width="20.140625" style="1" customWidth="1"/>
    <col min="3" max="3" width="17.42578125" style="1" bestFit="1" customWidth="1"/>
    <col min="4" max="4" width="15.5703125" style="1" customWidth="1"/>
    <col min="5" max="6" width="12.28515625" style="1" bestFit="1" customWidth="1"/>
    <col min="7" max="7" width="12.7109375" style="1" bestFit="1" customWidth="1"/>
    <col min="8" max="8" width="17.7109375" style="1" bestFit="1" customWidth="1"/>
    <col min="9" max="9" width="15.5703125" style="1" bestFit="1" customWidth="1"/>
    <col min="10" max="10" width="7.7109375" style="1" bestFit="1" customWidth="1"/>
    <col min="11" max="11" width="7.42578125" style="1" bestFit="1" customWidth="1"/>
    <col min="12" max="12" width="3.7109375" style="2" customWidth="1"/>
    <col min="13" max="40" width="3.7109375" style="2" hidden="1" customWidth="1" outlineLevel="1"/>
    <col min="41" max="41" width="3.7109375" style="2" customWidth="1" collapsed="1"/>
    <col min="42" max="71" width="3.7109375" style="2" hidden="1" customWidth="1" outlineLevel="1"/>
    <col min="72" max="72" width="3.7109375" style="2" customWidth="1" collapsed="1"/>
    <col min="73" max="73" width="3.7109375" style="2" customWidth="1"/>
    <col min="74" max="101" width="3.7109375" style="2" hidden="1" customWidth="1" outlineLevel="1"/>
    <col min="102" max="102" width="3.7109375" style="2" customWidth="1" collapsed="1"/>
    <col min="103" max="103" width="3.7109375" style="2" customWidth="1"/>
    <col min="104" max="132" width="3.7109375" style="2" hidden="1" customWidth="1" outlineLevel="1"/>
    <col min="133" max="133" width="3.7109375" style="2" customWidth="1" collapsed="1"/>
    <col min="134" max="134" width="3.7109375" style="2" customWidth="1"/>
    <col min="135" max="163" width="3.7109375" style="2" hidden="1" customWidth="1" outlineLevel="1"/>
    <col min="164" max="164" width="3.7109375" style="2" customWidth="1" collapsed="1"/>
    <col min="165" max="165" width="3.7109375" style="2" customWidth="1"/>
    <col min="166" max="193" width="3.7109375" style="2" hidden="1" customWidth="1" outlineLevel="1"/>
    <col min="194" max="194" width="3.7109375" style="2" customWidth="1" collapsed="1"/>
    <col min="195" max="195" width="3.7109375" style="2" customWidth="1"/>
    <col min="196" max="224" width="3.7109375" style="2" hidden="1" customWidth="1" outlineLevel="1"/>
    <col min="225" max="225" width="3.7109375" style="2" customWidth="1" collapsed="1"/>
    <col min="226" max="226" width="3.7109375" style="2" customWidth="1"/>
    <col min="227" max="254" width="3.7109375" style="2" hidden="1" customWidth="1" outlineLevel="1"/>
    <col min="255" max="255" width="3.7109375" style="2" customWidth="1" collapsed="1"/>
    <col min="256" max="256" width="3.7109375" style="2" customWidth="1"/>
    <col min="257" max="285" width="3.7109375" style="2" hidden="1" customWidth="1" outlineLevel="1"/>
    <col min="286" max="286" width="3.7109375" style="2" customWidth="1" collapsed="1"/>
    <col min="287" max="316" width="3.7109375" style="2" customWidth="1" outlineLevel="1"/>
    <col min="317" max="318" width="3.7109375" style="2" customWidth="1"/>
    <col min="319" max="345" width="3.7109375" style="2" customWidth="1" outlineLevel="1"/>
    <col min="346" max="347" width="3.7109375" style="2" customWidth="1"/>
    <col min="348" max="376" width="3.7109375" style="2" customWidth="1" outlineLevel="1"/>
    <col min="377" max="377" width="3.7109375" style="2" customWidth="1"/>
    <col min="378" max="16384" width="5.42578125" style="2"/>
  </cols>
  <sheetData>
    <row r="2" spans="1:377">
      <c r="B2" s="65" t="s">
        <v>0</v>
      </c>
      <c r="C2" s="66" t="s">
        <v>1</v>
      </c>
      <c r="D2" s="2"/>
      <c r="E2" s="2"/>
      <c r="F2" s="2"/>
      <c r="G2" s="2"/>
      <c r="I2" s="2"/>
      <c r="J2" s="2"/>
      <c r="K2" s="2"/>
    </row>
    <row r="3" spans="1:377">
      <c r="B3" s="65" t="s">
        <v>2</v>
      </c>
      <c r="C3" s="66" t="s">
        <v>3</v>
      </c>
      <c r="D3" s="2"/>
      <c r="E3" s="2"/>
      <c r="F3" s="2"/>
      <c r="G3" s="2"/>
      <c r="I3" s="2"/>
      <c r="J3" s="2"/>
      <c r="K3" s="2"/>
    </row>
    <row r="4" spans="1:377">
      <c r="B4" s="65" t="s">
        <v>4</v>
      </c>
      <c r="C4" s="67" t="s">
        <v>5</v>
      </c>
      <c r="D4" s="2"/>
      <c r="E4" s="2"/>
      <c r="F4" s="2"/>
      <c r="G4" s="2"/>
      <c r="I4" s="2"/>
      <c r="J4" s="2"/>
      <c r="K4" s="2"/>
    </row>
    <row r="5" spans="1:377">
      <c r="B5" s="65" t="s">
        <v>6</v>
      </c>
      <c r="C5" s="68" t="s">
        <v>7</v>
      </c>
      <c r="D5" s="2"/>
      <c r="E5" s="2"/>
      <c r="F5" s="2"/>
      <c r="G5" s="2"/>
      <c r="I5" s="2"/>
      <c r="J5" s="2"/>
      <c r="K5" s="2"/>
    </row>
    <row r="6" spans="1:377">
      <c r="B6" s="65" t="s">
        <v>85</v>
      </c>
      <c r="C6" s="69"/>
      <c r="D6" s="2"/>
      <c r="E6" s="2"/>
      <c r="F6" s="2"/>
      <c r="G6" s="2"/>
      <c r="I6" s="2"/>
      <c r="J6" s="2"/>
      <c r="K6" s="2"/>
    </row>
    <row r="7" spans="1:377" ht="16.5" customHeight="1">
      <c r="L7" s="367" t="s">
        <v>8</v>
      </c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8"/>
      <c r="AA7" s="368"/>
      <c r="AB7" s="368"/>
      <c r="AC7" s="368"/>
      <c r="AD7" s="368"/>
      <c r="AE7" s="368"/>
      <c r="AF7" s="368"/>
      <c r="AG7" s="368"/>
      <c r="AH7" s="368"/>
      <c r="AI7" s="368"/>
      <c r="AJ7" s="368"/>
      <c r="AK7" s="368"/>
      <c r="AL7" s="368"/>
      <c r="AM7" s="368"/>
      <c r="AN7" s="368"/>
      <c r="AO7" s="368"/>
      <c r="AP7" s="353" t="s">
        <v>9</v>
      </c>
      <c r="AQ7" s="354"/>
      <c r="AR7" s="354"/>
      <c r="AS7" s="354"/>
      <c r="AT7" s="354"/>
      <c r="AU7" s="354"/>
      <c r="AV7" s="354"/>
      <c r="AW7" s="354"/>
      <c r="AX7" s="354"/>
      <c r="AY7" s="354"/>
      <c r="AZ7" s="354"/>
      <c r="BA7" s="354"/>
      <c r="BB7" s="354"/>
      <c r="BC7" s="354"/>
      <c r="BD7" s="354"/>
      <c r="BE7" s="354"/>
      <c r="BF7" s="354"/>
      <c r="BG7" s="354"/>
      <c r="BH7" s="354"/>
      <c r="BI7" s="354"/>
      <c r="BJ7" s="354"/>
      <c r="BK7" s="354"/>
      <c r="BL7" s="354"/>
      <c r="BM7" s="354"/>
      <c r="BN7" s="354"/>
      <c r="BO7" s="354"/>
      <c r="BP7" s="354"/>
      <c r="BQ7" s="354"/>
      <c r="BR7" s="354"/>
      <c r="BS7" s="354"/>
      <c r="BT7" s="369"/>
      <c r="BU7" s="356" t="s">
        <v>10</v>
      </c>
      <c r="BV7" s="356"/>
      <c r="BW7" s="356"/>
      <c r="BX7" s="356"/>
      <c r="BY7" s="356"/>
      <c r="BZ7" s="356"/>
      <c r="CA7" s="356"/>
      <c r="CB7" s="356"/>
      <c r="CC7" s="356"/>
      <c r="CD7" s="356"/>
      <c r="CE7" s="356"/>
      <c r="CF7" s="356"/>
      <c r="CG7" s="356"/>
      <c r="CH7" s="356"/>
      <c r="CI7" s="356"/>
      <c r="CJ7" s="356"/>
      <c r="CK7" s="356"/>
      <c r="CL7" s="356"/>
      <c r="CM7" s="356"/>
      <c r="CN7" s="356"/>
      <c r="CO7" s="356"/>
      <c r="CP7" s="356"/>
      <c r="CQ7" s="356"/>
      <c r="CR7" s="356"/>
      <c r="CS7" s="356"/>
      <c r="CT7" s="356"/>
      <c r="CU7" s="356"/>
      <c r="CV7" s="356"/>
      <c r="CW7" s="356"/>
      <c r="CX7" s="357"/>
      <c r="CY7" s="355" t="s">
        <v>11</v>
      </c>
      <c r="CZ7" s="356"/>
      <c r="DA7" s="356"/>
      <c r="DB7" s="356"/>
      <c r="DC7" s="356"/>
      <c r="DD7" s="356"/>
      <c r="DE7" s="356"/>
      <c r="DF7" s="356"/>
      <c r="DG7" s="356"/>
      <c r="DH7" s="356"/>
      <c r="DI7" s="356"/>
      <c r="DJ7" s="356"/>
      <c r="DK7" s="356"/>
      <c r="DL7" s="356"/>
      <c r="DM7" s="356"/>
      <c r="DN7" s="356"/>
      <c r="DO7" s="356"/>
      <c r="DP7" s="356"/>
      <c r="DQ7" s="356"/>
      <c r="DR7" s="356"/>
      <c r="DS7" s="356"/>
      <c r="DT7" s="356"/>
      <c r="DU7" s="356"/>
      <c r="DV7" s="356"/>
      <c r="DW7" s="356"/>
      <c r="DX7" s="356"/>
      <c r="DY7" s="356"/>
      <c r="DZ7" s="356"/>
      <c r="EA7" s="356"/>
      <c r="EB7" s="356"/>
      <c r="EC7" s="357"/>
      <c r="ED7" s="355" t="s">
        <v>12</v>
      </c>
      <c r="EE7" s="356"/>
      <c r="EF7" s="356"/>
      <c r="EG7" s="356"/>
      <c r="EH7" s="356"/>
      <c r="EI7" s="356"/>
      <c r="EJ7" s="356"/>
      <c r="EK7" s="356"/>
      <c r="EL7" s="356"/>
      <c r="EM7" s="356"/>
      <c r="EN7" s="356"/>
      <c r="EO7" s="356"/>
      <c r="EP7" s="356"/>
      <c r="EQ7" s="356"/>
      <c r="ER7" s="356"/>
      <c r="ES7" s="356"/>
      <c r="ET7" s="356"/>
      <c r="EU7" s="356"/>
      <c r="EV7" s="356"/>
      <c r="EW7" s="356"/>
      <c r="EX7" s="356"/>
      <c r="EY7" s="356"/>
      <c r="EZ7" s="356"/>
      <c r="FA7" s="356"/>
      <c r="FB7" s="356"/>
      <c r="FC7" s="356"/>
      <c r="FD7" s="356"/>
      <c r="FE7" s="356"/>
      <c r="FF7" s="356"/>
      <c r="FG7" s="356"/>
      <c r="FH7" s="357"/>
      <c r="FI7" s="355" t="s">
        <v>13</v>
      </c>
      <c r="FJ7" s="356"/>
      <c r="FK7" s="356"/>
      <c r="FL7" s="356"/>
      <c r="FM7" s="356"/>
      <c r="FN7" s="356"/>
      <c r="FO7" s="356"/>
      <c r="FP7" s="356"/>
      <c r="FQ7" s="356"/>
      <c r="FR7" s="356"/>
      <c r="FS7" s="356"/>
      <c r="FT7" s="356"/>
      <c r="FU7" s="356"/>
      <c r="FV7" s="356"/>
      <c r="FW7" s="356"/>
      <c r="FX7" s="356"/>
      <c r="FY7" s="356"/>
      <c r="FZ7" s="356"/>
      <c r="GA7" s="356"/>
      <c r="GB7" s="356"/>
      <c r="GC7" s="356"/>
      <c r="GD7" s="356"/>
      <c r="GE7" s="356"/>
      <c r="GF7" s="356"/>
      <c r="GG7" s="356"/>
      <c r="GH7" s="356"/>
      <c r="GI7" s="356"/>
      <c r="GJ7" s="356"/>
      <c r="GK7" s="356"/>
      <c r="GL7" s="357"/>
      <c r="GM7" s="364" t="s">
        <v>14</v>
      </c>
      <c r="GN7" s="365"/>
      <c r="GO7" s="365"/>
      <c r="GP7" s="365"/>
      <c r="GQ7" s="365"/>
      <c r="GR7" s="365"/>
      <c r="GS7" s="365"/>
      <c r="GT7" s="365"/>
      <c r="GU7" s="365"/>
      <c r="GV7" s="365"/>
      <c r="GW7" s="365"/>
      <c r="GX7" s="365"/>
      <c r="GY7" s="365"/>
      <c r="GZ7" s="365"/>
      <c r="HA7" s="365"/>
      <c r="HB7" s="365"/>
      <c r="HC7" s="365"/>
      <c r="HD7" s="365"/>
      <c r="HE7" s="365"/>
      <c r="HF7" s="365"/>
      <c r="HG7" s="365"/>
      <c r="HH7" s="365"/>
      <c r="HI7" s="365"/>
      <c r="HJ7" s="365"/>
      <c r="HK7" s="365"/>
      <c r="HL7" s="365"/>
      <c r="HM7" s="365"/>
      <c r="HN7" s="365"/>
      <c r="HO7" s="365"/>
      <c r="HP7" s="365"/>
      <c r="HQ7" s="366"/>
      <c r="HR7" s="364" t="s">
        <v>15</v>
      </c>
      <c r="HS7" s="365"/>
      <c r="HT7" s="365"/>
      <c r="HU7" s="365"/>
      <c r="HV7" s="365"/>
      <c r="HW7" s="365"/>
      <c r="HX7" s="365"/>
      <c r="HY7" s="365"/>
      <c r="HZ7" s="365"/>
      <c r="IA7" s="365"/>
      <c r="IB7" s="365"/>
      <c r="IC7" s="365"/>
      <c r="ID7" s="365"/>
      <c r="IE7" s="365"/>
      <c r="IF7" s="365"/>
      <c r="IG7" s="365"/>
      <c r="IH7" s="365"/>
      <c r="II7" s="365"/>
      <c r="IJ7" s="365"/>
      <c r="IK7" s="365"/>
      <c r="IL7" s="365"/>
      <c r="IM7" s="365"/>
      <c r="IN7" s="365"/>
      <c r="IO7" s="365"/>
      <c r="IP7" s="365"/>
      <c r="IQ7" s="365"/>
      <c r="IR7" s="365"/>
      <c r="IS7" s="365"/>
      <c r="IT7" s="365"/>
      <c r="IU7" s="366"/>
      <c r="IV7" s="364" t="s">
        <v>16</v>
      </c>
      <c r="IW7" s="365"/>
      <c r="IX7" s="365"/>
      <c r="IY7" s="365"/>
      <c r="IZ7" s="365"/>
      <c r="JA7" s="365"/>
      <c r="JB7" s="365"/>
      <c r="JC7" s="365"/>
      <c r="JD7" s="365"/>
      <c r="JE7" s="365"/>
      <c r="JF7" s="365"/>
      <c r="JG7" s="365"/>
      <c r="JH7" s="365"/>
      <c r="JI7" s="365"/>
      <c r="JJ7" s="365"/>
      <c r="JK7" s="365"/>
      <c r="JL7" s="365"/>
      <c r="JM7" s="365"/>
      <c r="JN7" s="365"/>
      <c r="JO7" s="365"/>
      <c r="JP7" s="365"/>
      <c r="JQ7" s="365"/>
      <c r="JR7" s="365"/>
      <c r="JS7" s="365"/>
      <c r="JT7" s="365"/>
      <c r="JU7" s="365"/>
      <c r="JV7" s="365"/>
      <c r="JW7" s="365"/>
      <c r="JX7" s="365"/>
      <c r="JY7" s="365"/>
      <c r="JZ7" s="366"/>
      <c r="KA7" s="364" t="s">
        <v>17</v>
      </c>
      <c r="KB7" s="365"/>
      <c r="KC7" s="365"/>
      <c r="KD7" s="365"/>
      <c r="KE7" s="365"/>
      <c r="KF7" s="365"/>
      <c r="KG7" s="365"/>
      <c r="KH7" s="365"/>
      <c r="KI7" s="365"/>
      <c r="KJ7" s="365"/>
      <c r="KK7" s="365"/>
      <c r="KL7" s="365"/>
      <c r="KM7" s="365"/>
      <c r="KN7" s="365"/>
      <c r="KO7" s="365"/>
      <c r="KP7" s="365"/>
      <c r="KQ7" s="365"/>
      <c r="KR7" s="365"/>
      <c r="KS7" s="365"/>
      <c r="KT7" s="365"/>
      <c r="KU7" s="365"/>
      <c r="KV7" s="365"/>
      <c r="KW7" s="365"/>
      <c r="KX7" s="365"/>
      <c r="KY7" s="365"/>
      <c r="KZ7" s="365"/>
      <c r="LA7" s="365"/>
      <c r="LB7" s="365"/>
      <c r="LC7" s="365"/>
      <c r="LD7" s="365"/>
      <c r="LE7" s="366"/>
      <c r="LF7" s="364" t="s">
        <v>18</v>
      </c>
      <c r="LG7" s="365"/>
      <c r="LH7" s="365"/>
      <c r="LI7" s="365"/>
      <c r="LJ7" s="365"/>
      <c r="LK7" s="365"/>
      <c r="LL7" s="365"/>
      <c r="LM7" s="365"/>
      <c r="LN7" s="365"/>
      <c r="LO7" s="365"/>
      <c r="LP7" s="365"/>
      <c r="LQ7" s="365"/>
      <c r="LR7" s="365"/>
      <c r="LS7" s="365"/>
      <c r="LT7" s="365"/>
      <c r="LU7" s="365"/>
      <c r="LV7" s="365"/>
      <c r="LW7" s="365"/>
      <c r="LX7" s="365"/>
      <c r="LY7" s="365"/>
      <c r="LZ7" s="365"/>
      <c r="MA7" s="365"/>
      <c r="MB7" s="365"/>
      <c r="MC7" s="365"/>
      <c r="MD7" s="365"/>
      <c r="ME7" s="365"/>
      <c r="MF7" s="365"/>
      <c r="MG7" s="365"/>
      <c r="MH7" s="366"/>
      <c r="MI7" s="364" t="s">
        <v>19</v>
      </c>
      <c r="MJ7" s="365"/>
      <c r="MK7" s="365"/>
      <c r="ML7" s="365"/>
      <c r="MM7" s="365"/>
      <c r="MN7" s="365"/>
      <c r="MO7" s="365"/>
      <c r="MP7" s="365"/>
      <c r="MQ7" s="365"/>
      <c r="MR7" s="365"/>
      <c r="MS7" s="365"/>
      <c r="MT7" s="365"/>
      <c r="MU7" s="365"/>
      <c r="MV7" s="365"/>
      <c r="MW7" s="365"/>
      <c r="MX7" s="365"/>
      <c r="MY7" s="365"/>
      <c r="MZ7" s="365"/>
      <c r="NA7" s="365"/>
      <c r="NB7" s="365"/>
      <c r="NC7" s="365"/>
      <c r="ND7" s="365"/>
      <c r="NE7" s="365"/>
      <c r="NF7" s="365"/>
      <c r="NG7" s="365"/>
      <c r="NH7" s="365"/>
      <c r="NI7" s="365"/>
      <c r="NJ7" s="365"/>
      <c r="NK7" s="365"/>
      <c r="NL7" s="365"/>
      <c r="NM7" s="366"/>
    </row>
    <row r="8" spans="1:377" s="3" customFormat="1">
      <c r="A8" s="1"/>
      <c r="L8" s="180">
        <v>1</v>
      </c>
      <c r="M8" s="5">
        <v>2</v>
      </c>
      <c r="N8" s="5">
        <v>3</v>
      </c>
      <c r="O8" s="5">
        <v>4</v>
      </c>
      <c r="P8" s="5">
        <v>5</v>
      </c>
      <c r="Q8" s="5">
        <v>6</v>
      </c>
      <c r="R8" s="5">
        <v>7</v>
      </c>
      <c r="S8" s="5">
        <v>8</v>
      </c>
      <c r="T8" s="5">
        <v>9</v>
      </c>
      <c r="U8" s="5">
        <v>10</v>
      </c>
      <c r="V8" s="5">
        <v>11</v>
      </c>
      <c r="W8" s="5">
        <v>12</v>
      </c>
      <c r="X8" s="5">
        <v>13</v>
      </c>
      <c r="Y8" s="5">
        <v>14</v>
      </c>
      <c r="Z8" s="5">
        <v>15</v>
      </c>
      <c r="AA8" s="5">
        <v>16</v>
      </c>
      <c r="AB8" s="5">
        <v>17</v>
      </c>
      <c r="AC8" s="5">
        <v>18</v>
      </c>
      <c r="AD8" s="5">
        <v>19</v>
      </c>
      <c r="AE8" s="5">
        <v>20</v>
      </c>
      <c r="AF8" s="5">
        <v>21</v>
      </c>
      <c r="AG8" s="5">
        <v>22</v>
      </c>
      <c r="AH8" s="5">
        <v>23</v>
      </c>
      <c r="AI8" s="5">
        <v>24</v>
      </c>
      <c r="AJ8" s="5">
        <v>25</v>
      </c>
      <c r="AK8" s="5">
        <v>26</v>
      </c>
      <c r="AL8" s="5">
        <v>27</v>
      </c>
      <c r="AM8" s="5">
        <v>28</v>
      </c>
      <c r="AN8" s="5">
        <v>29</v>
      </c>
      <c r="AO8" s="72">
        <v>30</v>
      </c>
      <c r="AP8" s="75">
        <v>1</v>
      </c>
      <c r="AQ8" s="5">
        <v>2</v>
      </c>
      <c r="AR8" s="179">
        <v>3</v>
      </c>
      <c r="AS8" s="5">
        <v>4</v>
      </c>
      <c r="AT8" s="179">
        <v>5</v>
      </c>
      <c r="AU8" s="5">
        <v>6</v>
      </c>
      <c r="AV8" s="179">
        <v>7</v>
      </c>
      <c r="AW8" s="5">
        <v>8</v>
      </c>
      <c r="AX8" s="179">
        <v>9</v>
      </c>
      <c r="AY8" s="5">
        <v>10</v>
      </c>
      <c r="AZ8" s="179">
        <v>11</v>
      </c>
      <c r="BA8" s="5">
        <v>12</v>
      </c>
      <c r="BB8" s="179">
        <v>13</v>
      </c>
      <c r="BC8" s="5">
        <v>14</v>
      </c>
      <c r="BD8" s="179">
        <v>15</v>
      </c>
      <c r="BE8" s="5">
        <v>16</v>
      </c>
      <c r="BF8" s="179">
        <v>17</v>
      </c>
      <c r="BG8" s="5">
        <v>18</v>
      </c>
      <c r="BH8" s="179">
        <v>19</v>
      </c>
      <c r="BI8" s="5">
        <v>20</v>
      </c>
      <c r="BJ8" s="179">
        <v>21</v>
      </c>
      <c r="BK8" s="5">
        <v>22</v>
      </c>
      <c r="BL8" s="179">
        <v>23</v>
      </c>
      <c r="BM8" s="5">
        <v>24</v>
      </c>
      <c r="BN8" s="179">
        <v>25</v>
      </c>
      <c r="BO8" s="5">
        <v>26</v>
      </c>
      <c r="BP8" s="179">
        <v>27</v>
      </c>
      <c r="BQ8" s="5">
        <v>28</v>
      </c>
      <c r="BR8" s="179">
        <v>29</v>
      </c>
      <c r="BS8" s="5">
        <v>30</v>
      </c>
      <c r="BT8" s="189">
        <v>31</v>
      </c>
      <c r="BU8" s="119">
        <v>1</v>
      </c>
      <c r="BV8" s="6">
        <v>2</v>
      </c>
      <c r="BW8" s="89">
        <v>3</v>
      </c>
      <c r="BX8" s="6">
        <v>4</v>
      </c>
      <c r="BY8" s="89">
        <v>5</v>
      </c>
      <c r="BZ8" s="6">
        <v>6</v>
      </c>
      <c r="CA8" s="89">
        <v>7</v>
      </c>
      <c r="CB8" s="6">
        <v>8</v>
      </c>
      <c r="CC8" s="89">
        <v>9</v>
      </c>
      <c r="CD8" s="6">
        <v>10</v>
      </c>
      <c r="CE8" s="89">
        <v>11</v>
      </c>
      <c r="CF8" s="6">
        <v>12</v>
      </c>
      <c r="CG8" s="89">
        <v>13</v>
      </c>
      <c r="CH8" s="6">
        <v>14</v>
      </c>
      <c r="CI8" s="89">
        <v>15</v>
      </c>
      <c r="CJ8" s="6">
        <v>16</v>
      </c>
      <c r="CK8" s="89">
        <v>17</v>
      </c>
      <c r="CL8" s="6">
        <v>18</v>
      </c>
      <c r="CM8" s="89">
        <v>19</v>
      </c>
      <c r="CN8" s="6">
        <v>20</v>
      </c>
      <c r="CO8" s="89">
        <v>21</v>
      </c>
      <c r="CP8" s="6">
        <v>22</v>
      </c>
      <c r="CQ8" s="89">
        <v>23</v>
      </c>
      <c r="CR8" s="6">
        <v>24</v>
      </c>
      <c r="CS8" s="89">
        <v>25</v>
      </c>
      <c r="CT8" s="6">
        <v>26</v>
      </c>
      <c r="CU8" s="89">
        <v>27</v>
      </c>
      <c r="CV8" s="6">
        <v>28</v>
      </c>
      <c r="CW8" s="89">
        <v>29</v>
      </c>
      <c r="CX8" s="139">
        <v>30</v>
      </c>
      <c r="CY8" s="138">
        <v>1</v>
      </c>
      <c r="CZ8" s="6">
        <v>2</v>
      </c>
      <c r="DA8" s="6">
        <v>3</v>
      </c>
      <c r="DB8" s="6">
        <v>4</v>
      </c>
      <c r="DC8" s="6">
        <v>5</v>
      </c>
      <c r="DD8" s="6">
        <v>6</v>
      </c>
      <c r="DE8" s="6">
        <v>7</v>
      </c>
      <c r="DF8" s="6">
        <v>8</v>
      </c>
      <c r="DG8" s="6">
        <v>9</v>
      </c>
      <c r="DH8" s="6">
        <v>10</v>
      </c>
      <c r="DI8" s="6">
        <v>11</v>
      </c>
      <c r="DJ8" s="6">
        <v>12</v>
      </c>
      <c r="DK8" s="6">
        <v>13</v>
      </c>
      <c r="DL8" s="6">
        <v>14</v>
      </c>
      <c r="DM8" s="6">
        <v>15</v>
      </c>
      <c r="DN8" s="6">
        <v>16</v>
      </c>
      <c r="DO8" s="6">
        <v>17</v>
      </c>
      <c r="DP8" s="6">
        <v>18</v>
      </c>
      <c r="DQ8" s="6">
        <v>19</v>
      </c>
      <c r="DR8" s="6">
        <v>20</v>
      </c>
      <c r="DS8" s="6">
        <v>21</v>
      </c>
      <c r="DT8" s="6">
        <v>22</v>
      </c>
      <c r="DU8" s="6">
        <v>23</v>
      </c>
      <c r="DV8" s="6">
        <v>24</v>
      </c>
      <c r="DW8" s="6">
        <v>25</v>
      </c>
      <c r="DX8" s="6">
        <v>26</v>
      </c>
      <c r="DY8" s="6">
        <v>27</v>
      </c>
      <c r="DZ8" s="6">
        <v>28</v>
      </c>
      <c r="EA8" s="6">
        <v>29</v>
      </c>
      <c r="EB8" s="6">
        <v>30</v>
      </c>
      <c r="EC8" s="139">
        <v>31</v>
      </c>
      <c r="ED8" s="138">
        <v>1</v>
      </c>
      <c r="EE8" s="6">
        <v>2</v>
      </c>
      <c r="EF8" s="119">
        <v>3</v>
      </c>
      <c r="EG8" s="6">
        <v>4</v>
      </c>
      <c r="EH8" s="119">
        <v>5</v>
      </c>
      <c r="EI8" s="6">
        <v>6</v>
      </c>
      <c r="EJ8" s="119">
        <v>7</v>
      </c>
      <c r="EK8" s="6">
        <v>8</v>
      </c>
      <c r="EL8" s="119">
        <v>9</v>
      </c>
      <c r="EM8" s="6">
        <v>10</v>
      </c>
      <c r="EN8" s="119">
        <v>11</v>
      </c>
      <c r="EO8" s="6">
        <v>12</v>
      </c>
      <c r="EP8" s="119">
        <v>13</v>
      </c>
      <c r="EQ8" s="6">
        <v>14</v>
      </c>
      <c r="ER8" s="119">
        <v>15</v>
      </c>
      <c r="ES8" s="6">
        <v>16</v>
      </c>
      <c r="ET8" s="119">
        <v>17</v>
      </c>
      <c r="EU8" s="6">
        <v>18</v>
      </c>
      <c r="EV8" s="119">
        <v>19</v>
      </c>
      <c r="EW8" s="6">
        <v>20</v>
      </c>
      <c r="EX8" s="119">
        <v>21</v>
      </c>
      <c r="EY8" s="6">
        <v>22</v>
      </c>
      <c r="EZ8" s="119">
        <v>23</v>
      </c>
      <c r="FA8" s="6">
        <v>24</v>
      </c>
      <c r="FB8" s="119">
        <v>25</v>
      </c>
      <c r="FC8" s="6">
        <v>26</v>
      </c>
      <c r="FD8" s="119">
        <v>27</v>
      </c>
      <c r="FE8" s="6">
        <v>28</v>
      </c>
      <c r="FF8" s="119">
        <v>29</v>
      </c>
      <c r="FG8" s="6">
        <v>30</v>
      </c>
      <c r="FH8" s="187">
        <v>31</v>
      </c>
      <c r="FI8" s="138">
        <v>1</v>
      </c>
      <c r="FJ8" s="6">
        <v>2</v>
      </c>
      <c r="FK8" s="119">
        <v>3</v>
      </c>
      <c r="FL8" s="6">
        <v>4</v>
      </c>
      <c r="FM8" s="119">
        <v>5</v>
      </c>
      <c r="FN8" s="6">
        <v>6</v>
      </c>
      <c r="FO8" s="119">
        <v>7</v>
      </c>
      <c r="FP8" s="6">
        <v>8</v>
      </c>
      <c r="FQ8" s="119">
        <v>9</v>
      </c>
      <c r="FR8" s="6">
        <v>10</v>
      </c>
      <c r="FS8" s="119">
        <v>11</v>
      </c>
      <c r="FT8" s="6">
        <v>12</v>
      </c>
      <c r="FU8" s="119">
        <v>13</v>
      </c>
      <c r="FV8" s="6">
        <v>14</v>
      </c>
      <c r="FW8" s="119">
        <v>15</v>
      </c>
      <c r="FX8" s="6">
        <v>16</v>
      </c>
      <c r="FY8" s="119">
        <v>17</v>
      </c>
      <c r="FZ8" s="6">
        <v>18</v>
      </c>
      <c r="GA8" s="119">
        <v>19</v>
      </c>
      <c r="GB8" s="6">
        <v>20</v>
      </c>
      <c r="GC8" s="119">
        <v>21</v>
      </c>
      <c r="GD8" s="6">
        <v>22</v>
      </c>
      <c r="GE8" s="119">
        <v>23</v>
      </c>
      <c r="GF8" s="6">
        <v>24</v>
      </c>
      <c r="GG8" s="119">
        <v>25</v>
      </c>
      <c r="GH8" s="6">
        <v>26</v>
      </c>
      <c r="GI8" s="119">
        <v>27</v>
      </c>
      <c r="GJ8" s="6">
        <v>28</v>
      </c>
      <c r="GK8" s="119">
        <v>29</v>
      </c>
      <c r="GL8" s="139">
        <v>30</v>
      </c>
      <c r="GM8" s="138">
        <v>1</v>
      </c>
      <c r="GN8" s="6">
        <v>2</v>
      </c>
      <c r="GO8" s="119">
        <v>3</v>
      </c>
      <c r="GP8" s="6">
        <v>4</v>
      </c>
      <c r="GQ8" s="119">
        <v>5</v>
      </c>
      <c r="GR8" s="6">
        <v>6</v>
      </c>
      <c r="GS8" s="119">
        <v>7</v>
      </c>
      <c r="GT8" s="6">
        <v>8</v>
      </c>
      <c r="GU8" s="119">
        <v>9</v>
      </c>
      <c r="GV8" s="6">
        <v>10</v>
      </c>
      <c r="GW8" s="119">
        <v>11</v>
      </c>
      <c r="GX8" s="6">
        <v>12</v>
      </c>
      <c r="GY8" s="119">
        <v>13</v>
      </c>
      <c r="GZ8" s="6">
        <v>14</v>
      </c>
      <c r="HA8" s="119">
        <v>15</v>
      </c>
      <c r="HB8" s="6">
        <v>16</v>
      </c>
      <c r="HC8" s="119">
        <v>17</v>
      </c>
      <c r="HD8" s="6">
        <v>18</v>
      </c>
      <c r="HE8" s="119">
        <v>19</v>
      </c>
      <c r="HF8" s="6">
        <v>20</v>
      </c>
      <c r="HG8" s="119">
        <v>21</v>
      </c>
      <c r="HH8" s="6">
        <v>22</v>
      </c>
      <c r="HI8" s="119">
        <v>23</v>
      </c>
      <c r="HJ8" s="6">
        <v>24</v>
      </c>
      <c r="HK8" s="119">
        <v>25</v>
      </c>
      <c r="HL8" s="6">
        <v>26</v>
      </c>
      <c r="HM8" s="119">
        <v>27</v>
      </c>
      <c r="HN8" s="6">
        <v>28</v>
      </c>
      <c r="HO8" s="119">
        <v>29</v>
      </c>
      <c r="HP8" s="6">
        <v>30</v>
      </c>
      <c r="HQ8" s="187">
        <v>31</v>
      </c>
      <c r="HR8" s="138">
        <v>1</v>
      </c>
      <c r="HS8" s="6">
        <v>2</v>
      </c>
      <c r="HT8" s="119">
        <v>3</v>
      </c>
      <c r="HU8" s="6">
        <v>4</v>
      </c>
      <c r="HV8" s="119">
        <v>5</v>
      </c>
      <c r="HW8" s="6">
        <v>6</v>
      </c>
      <c r="HX8" s="119">
        <v>7</v>
      </c>
      <c r="HY8" s="6">
        <v>8</v>
      </c>
      <c r="HZ8" s="119">
        <v>9</v>
      </c>
      <c r="IA8" s="6">
        <v>10</v>
      </c>
      <c r="IB8" s="119">
        <v>11</v>
      </c>
      <c r="IC8" s="6">
        <v>12</v>
      </c>
      <c r="ID8" s="119">
        <v>13</v>
      </c>
      <c r="IE8" s="6">
        <v>14</v>
      </c>
      <c r="IF8" s="119">
        <v>15</v>
      </c>
      <c r="IG8" s="6">
        <v>16</v>
      </c>
      <c r="IH8" s="119">
        <v>17</v>
      </c>
      <c r="II8" s="6">
        <v>18</v>
      </c>
      <c r="IJ8" s="119">
        <v>19</v>
      </c>
      <c r="IK8" s="6">
        <v>20</v>
      </c>
      <c r="IL8" s="119">
        <v>21</v>
      </c>
      <c r="IM8" s="6">
        <v>22</v>
      </c>
      <c r="IN8" s="119">
        <v>23</v>
      </c>
      <c r="IO8" s="6">
        <v>24</v>
      </c>
      <c r="IP8" s="119">
        <v>25</v>
      </c>
      <c r="IQ8" s="6">
        <v>26</v>
      </c>
      <c r="IR8" s="119">
        <v>27</v>
      </c>
      <c r="IS8" s="6">
        <v>28</v>
      </c>
      <c r="IT8" s="119">
        <v>29</v>
      </c>
      <c r="IU8" s="139">
        <v>30</v>
      </c>
      <c r="IV8" s="138">
        <v>1</v>
      </c>
      <c r="IW8" s="6">
        <v>2</v>
      </c>
      <c r="IX8" s="119">
        <v>3</v>
      </c>
      <c r="IY8" s="6">
        <v>4</v>
      </c>
      <c r="IZ8" s="119">
        <v>5</v>
      </c>
      <c r="JA8" s="6">
        <v>6</v>
      </c>
      <c r="JB8" s="119">
        <v>7</v>
      </c>
      <c r="JC8" s="6">
        <v>8</v>
      </c>
      <c r="JD8" s="119">
        <v>9</v>
      </c>
      <c r="JE8" s="6">
        <v>10</v>
      </c>
      <c r="JF8" s="119">
        <v>11</v>
      </c>
      <c r="JG8" s="6">
        <v>12</v>
      </c>
      <c r="JH8" s="119">
        <v>13</v>
      </c>
      <c r="JI8" s="6">
        <v>14</v>
      </c>
      <c r="JJ8" s="119">
        <v>15</v>
      </c>
      <c r="JK8" s="6">
        <v>16</v>
      </c>
      <c r="JL8" s="119">
        <v>17</v>
      </c>
      <c r="JM8" s="6">
        <v>18</v>
      </c>
      <c r="JN8" s="119">
        <v>19</v>
      </c>
      <c r="JO8" s="6">
        <v>20</v>
      </c>
      <c r="JP8" s="119">
        <v>21</v>
      </c>
      <c r="JQ8" s="6">
        <v>22</v>
      </c>
      <c r="JR8" s="119">
        <v>23</v>
      </c>
      <c r="JS8" s="6">
        <v>24</v>
      </c>
      <c r="JT8" s="119">
        <v>25</v>
      </c>
      <c r="JU8" s="6">
        <v>26</v>
      </c>
      <c r="JV8" s="119">
        <v>27</v>
      </c>
      <c r="JW8" s="6">
        <v>28</v>
      </c>
      <c r="JX8" s="119">
        <v>29</v>
      </c>
      <c r="JY8" s="6">
        <v>30</v>
      </c>
      <c r="JZ8" s="187">
        <v>31</v>
      </c>
      <c r="KA8" s="138">
        <v>1</v>
      </c>
      <c r="KB8" s="6">
        <v>2</v>
      </c>
      <c r="KC8" s="119">
        <v>3</v>
      </c>
      <c r="KD8" s="6">
        <v>4</v>
      </c>
      <c r="KE8" s="119">
        <v>5</v>
      </c>
      <c r="KF8" s="6">
        <v>6</v>
      </c>
      <c r="KG8" s="119">
        <v>7</v>
      </c>
      <c r="KH8" s="6">
        <v>8</v>
      </c>
      <c r="KI8" s="119">
        <v>9</v>
      </c>
      <c r="KJ8" s="6">
        <v>10</v>
      </c>
      <c r="KK8" s="119">
        <v>11</v>
      </c>
      <c r="KL8" s="6">
        <v>12</v>
      </c>
      <c r="KM8" s="119">
        <v>13</v>
      </c>
      <c r="KN8" s="6">
        <v>14</v>
      </c>
      <c r="KO8" s="119">
        <v>15</v>
      </c>
      <c r="KP8" s="6">
        <v>16</v>
      </c>
      <c r="KQ8" s="119">
        <v>17</v>
      </c>
      <c r="KR8" s="6">
        <v>18</v>
      </c>
      <c r="KS8" s="119">
        <v>19</v>
      </c>
      <c r="KT8" s="6">
        <v>20</v>
      </c>
      <c r="KU8" s="119">
        <v>21</v>
      </c>
      <c r="KV8" s="6">
        <v>22</v>
      </c>
      <c r="KW8" s="119">
        <v>23</v>
      </c>
      <c r="KX8" s="6">
        <v>24</v>
      </c>
      <c r="KY8" s="119">
        <v>25</v>
      </c>
      <c r="KZ8" s="6">
        <v>26</v>
      </c>
      <c r="LA8" s="119">
        <v>27</v>
      </c>
      <c r="LB8" s="6">
        <v>28</v>
      </c>
      <c r="LC8" s="119">
        <v>29</v>
      </c>
      <c r="LD8" s="6">
        <v>30</v>
      </c>
      <c r="LE8" s="187">
        <v>31</v>
      </c>
      <c r="LF8" s="138">
        <v>1</v>
      </c>
      <c r="LG8" s="6">
        <v>2</v>
      </c>
      <c r="LH8" s="119">
        <v>3</v>
      </c>
      <c r="LI8" s="6">
        <v>4</v>
      </c>
      <c r="LJ8" s="119">
        <v>5</v>
      </c>
      <c r="LK8" s="6">
        <v>6</v>
      </c>
      <c r="LL8" s="119">
        <v>7</v>
      </c>
      <c r="LM8" s="6">
        <v>8</v>
      </c>
      <c r="LN8" s="119">
        <v>9</v>
      </c>
      <c r="LO8" s="6">
        <v>10</v>
      </c>
      <c r="LP8" s="119">
        <v>11</v>
      </c>
      <c r="LQ8" s="6">
        <v>12</v>
      </c>
      <c r="LR8" s="119">
        <v>13</v>
      </c>
      <c r="LS8" s="6">
        <v>14</v>
      </c>
      <c r="LT8" s="119">
        <v>15</v>
      </c>
      <c r="LU8" s="6">
        <v>16</v>
      </c>
      <c r="LV8" s="119">
        <v>17</v>
      </c>
      <c r="LW8" s="6">
        <v>18</v>
      </c>
      <c r="LX8" s="119">
        <v>19</v>
      </c>
      <c r="LY8" s="6">
        <v>20</v>
      </c>
      <c r="LZ8" s="119">
        <v>21</v>
      </c>
      <c r="MA8" s="6">
        <v>22</v>
      </c>
      <c r="MB8" s="119">
        <v>23</v>
      </c>
      <c r="MC8" s="6">
        <v>24</v>
      </c>
      <c r="MD8" s="119">
        <v>25</v>
      </c>
      <c r="ME8" s="6">
        <v>26</v>
      </c>
      <c r="MF8" s="119">
        <v>27</v>
      </c>
      <c r="MG8" s="6">
        <v>28</v>
      </c>
      <c r="MH8" s="187">
        <v>29</v>
      </c>
      <c r="MI8" s="138">
        <v>1</v>
      </c>
      <c r="MJ8" s="6">
        <v>2</v>
      </c>
      <c r="MK8" s="119">
        <v>3</v>
      </c>
      <c r="ML8" s="6">
        <v>4</v>
      </c>
      <c r="MM8" s="119">
        <v>5</v>
      </c>
      <c r="MN8" s="6">
        <v>6</v>
      </c>
      <c r="MO8" s="119">
        <v>7</v>
      </c>
      <c r="MP8" s="6">
        <v>8</v>
      </c>
      <c r="MQ8" s="119">
        <v>9</v>
      </c>
      <c r="MR8" s="6">
        <v>10</v>
      </c>
      <c r="MS8" s="119">
        <v>11</v>
      </c>
      <c r="MT8" s="6">
        <v>12</v>
      </c>
      <c r="MU8" s="119">
        <v>13</v>
      </c>
      <c r="MV8" s="6">
        <v>14</v>
      </c>
      <c r="MW8" s="119">
        <v>15</v>
      </c>
      <c r="MX8" s="6">
        <v>16</v>
      </c>
      <c r="MY8" s="119">
        <v>17</v>
      </c>
      <c r="MZ8" s="6">
        <v>18</v>
      </c>
      <c r="NA8" s="119">
        <v>19</v>
      </c>
      <c r="NB8" s="6">
        <v>20</v>
      </c>
      <c r="NC8" s="119">
        <v>21</v>
      </c>
      <c r="ND8" s="6">
        <v>22</v>
      </c>
      <c r="NE8" s="119">
        <v>23</v>
      </c>
      <c r="NF8" s="6">
        <v>24</v>
      </c>
      <c r="NG8" s="119">
        <v>25</v>
      </c>
      <c r="NH8" s="6">
        <v>26</v>
      </c>
      <c r="NI8" s="119">
        <v>27</v>
      </c>
      <c r="NJ8" s="6">
        <v>28</v>
      </c>
      <c r="NK8" s="119">
        <v>29</v>
      </c>
      <c r="NL8" s="6">
        <v>30</v>
      </c>
      <c r="NM8" s="187">
        <v>31</v>
      </c>
    </row>
    <row r="9" spans="1:377" s="4" customFormat="1" ht="19.5" customHeight="1" thickBot="1">
      <c r="A9" s="1"/>
      <c r="B9" s="31" t="s">
        <v>20</v>
      </c>
      <c r="C9" s="31" t="s">
        <v>21</v>
      </c>
      <c r="D9" s="31" t="s">
        <v>22</v>
      </c>
      <c r="E9" s="31" t="s">
        <v>24</v>
      </c>
      <c r="F9" s="31" t="s">
        <v>71</v>
      </c>
      <c r="G9" s="31" t="s">
        <v>25</v>
      </c>
      <c r="H9" s="31" t="s">
        <v>26</v>
      </c>
      <c r="I9" s="31" t="s">
        <v>27</v>
      </c>
      <c r="J9" s="31" t="s">
        <v>4</v>
      </c>
      <c r="K9" s="70" t="s">
        <v>28</v>
      </c>
      <c r="L9" s="181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73"/>
      <c r="AO9" s="73"/>
      <c r="AP9" s="190"/>
      <c r="AQ9" s="191"/>
      <c r="AR9" s="191"/>
      <c r="AS9" s="191"/>
      <c r="AT9" s="191"/>
      <c r="AU9" s="191"/>
      <c r="AV9" s="191"/>
      <c r="AW9" s="191"/>
      <c r="AX9" s="191"/>
      <c r="AY9" s="191"/>
      <c r="AZ9" s="191"/>
      <c r="BA9" s="191"/>
      <c r="BB9" s="191"/>
      <c r="BC9" s="191"/>
      <c r="BD9" s="191"/>
      <c r="BE9" s="191"/>
      <c r="BF9" s="191"/>
      <c r="BG9" s="191"/>
      <c r="BH9" s="191"/>
      <c r="BI9" s="191"/>
      <c r="BJ9" s="191"/>
      <c r="BK9" s="191"/>
      <c r="BL9" s="191"/>
      <c r="BM9" s="191"/>
      <c r="BN9" s="191"/>
      <c r="BO9" s="191"/>
      <c r="BP9" s="191"/>
      <c r="BQ9" s="191"/>
      <c r="BR9" s="191"/>
      <c r="BS9" s="192"/>
      <c r="BT9" s="193"/>
      <c r="BU9" s="118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73"/>
      <c r="CX9" s="182"/>
      <c r="CY9" s="181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73"/>
      <c r="EC9" s="182"/>
      <c r="ED9" s="181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182"/>
      <c r="FI9" s="181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73"/>
      <c r="GL9" s="182"/>
      <c r="GM9" s="181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73"/>
      <c r="HQ9" s="182"/>
      <c r="HR9" s="181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182"/>
      <c r="IV9" s="181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73"/>
      <c r="JY9" s="73"/>
      <c r="JZ9" s="182"/>
      <c r="KA9" s="181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73"/>
      <c r="LE9" s="182"/>
      <c r="LF9" s="140"/>
      <c r="LG9" s="141"/>
      <c r="LH9" s="141"/>
      <c r="LI9" s="141"/>
      <c r="LJ9" s="141"/>
      <c r="LK9" s="141"/>
      <c r="LL9" s="141"/>
      <c r="LM9" s="141"/>
      <c r="LN9" s="141"/>
      <c r="LO9" s="141"/>
      <c r="LP9" s="141"/>
      <c r="LQ9" s="141"/>
      <c r="LR9" s="141"/>
      <c r="LS9" s="141"/>
      <c r="LT9" s="141"/>
      <c r="LU9" s="141"/>
      <c r="LV9" s="141"/>
      <c r="LW9" s="141"/>
      <c r="LX9" s="141"/>
      <c r="LY9" s="141"/>
      <c r="LZ9" s="141"/>
      <c r="MA9" s="141"/>
      <c r="MB9" s="141"/>
      <c r="MC9" s="141"/>
      <c r="MD9" s="141"/>
      <c r="ME9" s="141"/>
      <c r="MF9" s="188"/>
      <c r="MG9" s="188"/>
      <c r="MH9" s="142"/>
      <c r="MI9" s="181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182"/>
    </row>
    <row r="10" spans="1:377" ht="15.75" hidden="1" customHeight="1">
      <c r="B10" s="29" t="s">
        <v>39</v>
      </c>
      <c r="C10" s="29" t="s">
        <v>36</v>
      </c>
      <c r="D10" s="29" t="s">
        <v>86</v>
      </c>
      <c r="E10" s="37">
        <v>0</v>
      </c>
      <c r="F10" s="29">
        <v>23</v>
      </c>
      <c r="G10" s="29">
        <v>2</v>
      </c>
      <c r="H10" s="29">
        <f t="shared" ref="H10:H41" si="0">E10+F10-COUNTIF(L10:NM10,$C$2)</f>
        <v>23</v>
      </c>
      <c r="I10" s="30">
        <f t="shared" ref="I10:I41" si="1">G10-COUNTIF(L10:NM10,$C$3)</f>
        <v>2</v>
      </c>
      <c r="J10" s="30">
        <f t="shared" ref="J10:J41" si="2">COUNTIF(K10:NH10,$C$4)</f>
        <v>0</v>
      </c>
      <c r="K10" s="71">
        <f t="shared" ref="K10:K41" si="3">COUNTIF(L10:NM10,$C$5)</f>
        <v>0</v>
      </c>
      <c r="L10" s="183"/>
      <c r="M10" s="7"/>
      <c r="N10" s="8"/>
      <c r="O10" s="8"/>
      <c r="P10" s="8"/>
      <c r="Q10" s="8"/>
      <c r="R10" s="69"/>
      <c r="S10" s="7"/>
      <c r="T10" s="7"/>
      <c r="U10" s="69"/>
      <c r="V10" s="8"/>
      <c r="W10" s="8"/>
      <c r="X10" s="8"/>
      <c r="Y10" s="8"/>
      <c r="Z10" s="7"/>
      <c r="AA10" s="7"/>
      <c r="AB10" s="69"/>
      <c r="AC10" s="8"/>
      <c r="AD10" s="8"/>
      <c r="AE10" s="8"/>
      <c r="AF10" s="8"/>
      <c r="AG10" s="7"/>
      <c r="AH10" s="7"/>
      <c r="AI10" s="69"/>
      <c r="AJ10" s="8"/>
      <c r="AK10" s="8"/>
      <c r="AL10" s="8"/>
      <c r="AM10" s="8"/>
      <c r="AN10" s="87"/>
      <c r="AO10" s="184"/>
      <c r="AP10" s="204"/>
      <c r="AQ10" s="128"/>
      <c r="AR10" s="128"/>
      <c r="AS10" s="128"/>
      <c r="AT10" s="128"/>
      <c r="AU10" s="129"/>
      <c r="AV10" s="129"/>
      <c r="AW10" s="128"/>
      <c r="AX10" s="128"/>
      <c r="AY10" s="128"/>
      <c r="AZ10" s="128"/>
      <c r="BA10" s="128"/>
      <c r="BB10" s="129"/>
      <c r="BC10" s="129"/>
      <c r="BD10" s="128"/>
      <c r="BE10" s="128"/>
      <c r="BF10" s="128"/>
      <c r="BG10" s="128"/>
      <c r="BH10" s="128"/>
      <c r="BI10" s="129"/>
      <c r="BJ10" s="129"/>
      <c r="BK10" s="128"/>
      <c r="BL10" s="128"/>
      <c r="BM10" s="128"/>
      <c r="BN10" s="128"/>
      <c r="BO10" s="128"/>
      <c r="BP10" s="129"/>
      <c r="BQ10" s="129"/>
      <c r="BR10" s="128"/>
      <c r="BS10" s="128"/>
      <c r="BT10" s="205"/>
      <c r="BU10" s="147"/>
      <c r="BV10" s="28"/>
      <c r="BW10" s="7"/>
      <c r="BX10" s="7"/>
      <c r="BY10" s="28"/>
      <c r="BZ10" s="28"/>
      <c r="CA10" s="28"/>
      <c r="CB10" s="28"/>
      <c r="CC10" s="28"/>
      <c r="CD10" s="7"/>
      <c r="CE10" s="7"/>
      <c r="CF10" s="28"/>
      <c r="CG10" s="28"/>
      <c r="CH10" s="28"/>
      <c r="CI10" s="28"/>
      <c r="CJ10" s="28"/>
      <c r="CK10" s="7"/>
      <c r="CL10" s="7"/>
      <c r="CM10" s="28"/>
      <c r="CN10" s="28"/>
      <c r="CO10" s="28"/>
      <c r="CP10" s="28"/>
      <c r="CQ10" s="28"/>
      <c r="CR10" s="7"/>
      <c r="CS10" s="7"/>
      <c r="CT10" s="28"/>
      <c r="CU10" s="28"/>
      <c r="CV10" s="28"/>
      <c r="CW10" s="28"/>
      <c r="CX10" s="186"/>
      <c r="CY10" s="183"/>
      <c r="CZ10" s="7"/>
      <c r="DA10" s="8"/>
      <c r="DB10" s="8"/>
      <c r="DC10" s="8"/>
      <c r="DD10" s="8"/>
      <c r="DE10" s="8"/>
      <c r="DF10" s="7"/>
      <c r="DG10" s="7"/>
      <c r="DH10" s="8"/>
      <c r="DI10" s="8"/>
      <c r="DJ10" s="8"/>
      <c r="DK10" s="8"/>
      <c r="DL10" s="8"/>
      <c r="DM10" s="7"/>
      <c r="DN10" s="7"/>
      <c r="DO10" s="8"/>
      <c r="DP10" s="8"/>
      <c r="DQ10" s="8"/>
      <c r="DR10" s="8"/>
      <c r="DS10" s="8"/>
      <c r="DT10" s="7"/>
      <c r="DU10" s="7"/>
      <c r="DV10" s="8"/>
      <c r="DW10" s="8"/>
      <c r="DX10" s="8"/>
      <c r="DY10" s="8"/>
      <c r="DZ10" s="8"/>
      <c r="EA10" s="7"/>
      <c r="EB10" s="87"/>
      <c r="EC10" s="148"/>
      <c r="ED10" s="147"/>
      <c r="EE10" s="8"/>
      <c r="EF10" s="8"/>
      <c r="EG10" s="8"/>
      <c r="EH10" s="7"/>
      <c r="EI10" s="7"/>
      <c r="EJ10" s="8"/>
      <c r="EK10" s="8"/>
      <c r="EL10" s="8"/>
      <c r="EM10" s="8"/>
      <c r="EN10" s="8"/>
      <c r="EO10" s="7"/>
      <c r="EP10" s="7"/>
      <c r="EQ10" s="8"/>
      <c r="ER10" s="69"/>
      <c r="ES10" s="8"/>
      <c r="ET10" s="8"/>
      <c r="EU10" s="8"/>
      <c r="EV10" s="7"/>
      <c r="EW10" s="7"/>
      <c r="EX10" s="8"/>
      <c r="EY10" s="8"/>
      <c r="EZ10" s="8"/>
      <c r="FA10" s="8"/>
      <c r="FB10" s="8"/>
      <c r="FC10" s="7"/>
      <c r="FD10" s="7"/>
      <c r="FE10" s="8"/>
      <c r="FF10" s="8"/>
      <c r="FG10" s="8"/>
      <c r="FH10" s="148"/>
      <c r="FI10" s="147"/>
      <c r="FJ10" s="7"/>
      <c r="FK10" s="7"/>
      <c r="FL10" s="8"/>
      <c r="FM10" s="8"/>
      <c r="FN10" s="8"/>
      <c r="FO10" s="8"/>
      <c r="FP10" s="8"/>
      <c r="FQ10" s="7"/>
      <c r="FR10" s="7"/>
      <c r="FS10" s="8"/>
      <c r="FT10" s="8"/>
      <c r="FU10" s="8"/>
      <c r="FV10" s="8"/>
      <c r="FW10" s="8"/>
      <c r="FX10" s="7"/>
      <c r="FY10" s="7"/>
      <c r="FZ10" s="28"/>
      <c r="GA10" s="28"/>
      <c r="GB10" s="8"/>
      <c r="GC10" s="8"/>
      <c r="GD10" s="8"/>
      <c r="GE10" s="7"/>
      <c r="GF10" s="7"/>
      <c r="GG10" s="8"/>
      <c r="GH10" s="8"/>
      <c r="GI10" s="8"/>
      <c r="GJ10" s="8"/>
      <c r="GK10" s="8"/>
      <c r="GL10" s="184"/>
      <c r="GM10" s="183"/>
      <c r="GN10" s="8"/>
      <c r="GO10" s="8"/>
      <c r="GP10" s="8"/>
      <c r="GQ10" s="8"/>
      <c r="GR10" s="8"/>
      <c r="GS10" s="7"/>
      <c r="GT10" s="7"/>
      <c r="GU10" s="69"/>
      <c r="GV10" s="8"/>
      <c r="GW10" s="8"/>
      <c r="GX10" s="69"/>
      <c r="GY10" s="8"/>
      <c r="GZ10" s="7"/>
      <c r="HA10" s="7"/>
      <c r="HB10" s="8"/>
      <c r="HC10" s="8"/>
      <c r="HD10" s="8"/>
      <c r="HE10" s="8"/>
      <c r="HF10" s="8"/>
      <c r="HG10" s="7"/>
      <c r="HH10" s="7"/>
      <c r="HI10" s="8"/>
      <c r="HJ10" s="8"/>
      <c r="HK10" s="8"/>
      <c r="HL10" s="8"/>
      <c r="HM10" s="28"/>
      <c r="HN10" s="7"/>
      <c r="HO10" s="7"/>
      <c r="HP10" s="8"/>
      <c r="HQ10" s="148"/>
      <c r="HR10" s="69"/>
      <c r="HS10" s="8"/>
      <c r="HT10" s="8"/>
      <c r="HU10" s="7"/>
      <c r="HV10" s="7"/>
      <c r="HW10" s="8"/>
      <c r="HX10" s="8"/>
      <c r="HY10" s="8"/>
      <c r="HZ10" s="8"/>
      <c r="IA10" s="8"/>
      <c r="IB10" s="7"/>
      <c r="IC10" s="7"/>
      <c r="ID10" s="8"/>
      <c r="IE10" s="8"/>
      <c r="IF10" s="8"/>
      <c r="IG10" s="8"/>
      <c r="IH10" s="8"/>
      <c r="II10" s="7"/>
      <c r="IJ10" s="7"/>
      <c r="IK10" s="8"/>
      <c r="IL10" s="8"/>
      <c r="IM10" s="8"/>
      <c r="IN10" s="8"/>
      <c r="IO10" s="8"/>
      <c r="IP10" s="7"/>
      <c r="IQ10" s="7"/>
      <c r="IR10" s="8"/>
      <c r="IS10" s="8"/>
      <c r="IT10" s="8"/>
      <c r="IU10" s="148"/>
      <c r="IV10" s="147"/>
      <c r="IW10" s="7"/>
      <c r="IX10" s="7"/>
      <c r="IY10" s="8"/>
      <c r="IZ10" s="8"/>
      <c r="JA10" s="69"/>
      <c r="JB10" s="8"/>
      <c r="JC10" s="69"/>
      <c r="JD10" s="7"/>
      <c r="JE10" s="7"/>
      <c r="JF10" s="8"/>
      <c r="JG10" s="8"/>
      <c r="JH10" s="8"/>
      <c r="JI10" s="8"/>
      <c r="JJ10" s="8"/>
      <c r="JK10" s="7"/>
      <c r="JL10" s="7"/>
      <c r="JM10" s="8"/>
      <c r="JN10" s="8"/>
      <c r="JO10" s="8"/>
      <c r="JP10" s="8"/>
      <c r="JQ10" s="8"/>
      <c r="JR10" s="7"/>
      <c r="JS10" s="7"/>
      <c r="JT10" s="69"/>
      <c r="JU10" s="8"/>
      <c r="JV10" s="8"/>
      <c r="JW10" s="8"/>
      <c r="JX10" s="8"/>
      <c r="JY10" s="87"/>
      <c r="JZ10" s="184"/>
      <c r="KA10" s="69"/>
      <c r="KB10" s="8"/>
      <c r="KC10" s="8"/>
      <c r="KD10" s="8"/>
      <c r="KE10" s="8"/>
      <c r="KF10" s="7"/>
      <c r="KG10" s="7"/>
      <c r="KH10" s="8"/>
      <c r="KI10" s="8"/>
      <c r="KJ10" s="8"/>
      <c r="KK10" s="8"/>
      <c r="KL10" s="8"/>
      <c r="KM10" s="7"/>
      <c r="KN10" s="7"/>
      <c r="KO10" s="8"/>
      <c r="KP10" s="8"/>
      <c r="KQ10" s="8"/>
      <c r="KR10" s="8"/>
      <c r="KS10" s="8"/>
      <c r="KT10" s="7"/>
      <c r="KU10" s="7"/>
      <c r="KV10" s="8"/>
      <c r="KW10" s="8"/>
      <c r="KX10" s="8"/>
      <c r="KY10" s="8"/>
      <c r="KZ10" s="8"/>
      <c r="LA10" s="7"/>
      <c r="LB10" s="7"/>
      <c r="LC10" s="8"/>
      <c r="LD10" s="8"/>
      <c r="LE10" s="148"/>
      <c r="LF10" s="147"/>
      <c r="LG10" s="8"/>
      <c r="LH10" s="7"/>
      <c r="LI10" s="7"/>
      <c r="LJ10" s="8"/>
      <c r="LK10" s="8"/>
      <c r="LL10" s="8"/>
      <c r="LM10" s="8"/>
      <c r="LN10" s="8"/>
      <c r="LO10" s="7"/>
      <c r="LP10" s="7"/>
      <c r="LQ10" s="8"/>
      <c r="LR10" s="8"/>
      <c r="LS10" s="8"/>
      <c r="LT10" s="8"/>
      <c r="LU10" s="8"/>
      <c r="LV10" s="7"/>
      <c r="LW10" s="7"/>
      <c r="LX10" s="8"/>
      <c r="LY10" s="8"/>
      <c r="LZ10" s="8"/>
      <c r="MA10" s="8"/>
      <c r="MB10" s="8"/>
      <c r="MC10" s="7"/>
      <c r="MD10" s="7"/>
      <c r="ME10" s="8"/>
      <c r="MF10" s="8"/>
      <c r="MG10" s="8"/>
      <c r="MH10" s="148"/>
      <c r="MI10" s="147"/>
      <c r="MJ10" s="7"/>
      <c r="MK10" s="7"/>
      <c r="ML10" s="8"/>
      <c r="MM10" s="8"/>
      <c r="MN10" s="8"/>
      <c r="MO10" s="8"/>
      <c r="MP10" s="8"/>
      <c r="MQ10" s="7"/>
      <c r="MR10" s="7"/>
      <c r="MS10" s="8"/>
      <c r="MT10" s="8"/>
      <c r="MU10" s="8"/>
      <c r="MV10" s="8"/>
      <c r="MW10" s="8"/>
      <c r="MX10" s="7"/>
      <c r="MY10" s="7"/>
      <c r="MZ10" s="8"/>
      <c r="NA10" s="8"/>
      <c r="NB10" s="8"/>
      <c r="NC10" s="8"/>
      <c r="ND10" s="8"/>
      <c r="NE10" s="7"/>
      <c r="NF10" s="7"/>
      <c r="NG10" s="8"/>
      <c r="NH10" s="8"/>
      <c r="NI10" s="8"/>
      <c r="NJ10" s="8"/>
      <c r="NK10" s="8"/>
      <c r="NL10" s="7"/>
      <c r="NM10" s="184"/>
    </row>
    <row r="11" spans="1:377" ht="15" customHeight="1">
      <c r="B11" s="29" t="s">
        <v>29</v>
      </c>
      <c r="C11" s="29" t="s">
        <v>30</v>
      </c>
      <c r="D11" s="29" t="s">
        <v>31</v>
      </c>
      <c r="E11" s="37">
        <v>0</v>
      </c>
      <c r="F11" s="29">
        <v>23</v>
      </c>
      <c r="G11" s="29">
        <v>0</v>
      </c>
      <c r="H11" s="29">
        <f t="shared" si="0"/>
        <v>3</v>
      </c>
      <c r="I11" s="30">
        <f t="shared" si="1"/>
        <v>-4</v>
      </c>
      <c r="J11" s="30">
        <f t="shared" si="2"/>
        <v>0</v>
      </c>
      <c r="K11" s="71">
        <f t="shared" si="3"/>
        <v>0</v>
      </c>
      <c r="L11" s="183"/>
      <c r="M11" s="7"/>
      <c r="N11" s="8"/>
      <c r="O11" s="8"/>
      <c r="P11" s="8"/>
      <c r="Q11" s="8"/>
      <c r="R11" s="69"/>
      <c r="S11" s="7"/>
      <c r="T11" s="7"/>
      <c r="U11" s="8"/>
      <c r="V11" s="8"/>
      <c r="W11" s="8"/>
      <c r="X11" s="8"/>
      <c r="Y11" s="8"/>
      <c r="Z11" s="7"/>
      <c r="AA11" s="7"/>
      <c r="AB11" s="8"/>
      <c r="AC11" s="8"/>
      <c r="AD11" s="8"/>
      <c r="AE11" s="8"/>
      <c r="AF11" s="8"/>
      <c r="AG11" s="7"/>
      <c r="AH11" s="7"/>
      <c r="AI11" s="8"/>
      <c r="AJ11" s="8"/>
      <c r="AK11" s="8"/>
      <c r="AL11" s="8"/>
      <c r="AM11" s="8"/>
      <c r="AN11" s="87"/>
      <c r="AO11" s="87"/>
      <c r="AP11" s="194"/>
      <c r="AQ11" s="195"/>
      <c r="AR11" s="195"/>
      <c r="AS11" s="195"/>
      <c r="AT11" s="195"/>
      <c r="AU11" s="196"/>
      <c r="AV11" s="196"/>
      <c r="AW11" s="195"/>
      <c r="AX11" s="195"/>
      <c r="AY11" s="195"/>
      <c r="AZ11" s="195"/>
      <c r="BA11" s="195"/>
      <c r="BB11" s="196"/>
      <c r="BC11" s="196"/>
      <c r="BD11" s="195"/>
      <c r="BE11" s="195"/>
      <c r="BF11" s="195"/>
      <c r="BG11" s="195"/>
      <c r="BH11" s="195"/>
      <c r="BI11" s="196"/>
      <c r="BJ11" s="196"/>
      <c r="BK11" s="195"/>
      <c r="BL11" s="195"/>
      <c r="BM11" s="195"/>
      <c r="BN11" s="195"/>
      <c r="BO11" s="195"/>
      <c r="BP11" s="196"/>
      <c r="BQ11" s="196"/>
      <c r="BR11" s="195"/>
      <c r="BS11" s="195"/>
      <c r="BT11" s="197"/>
      <c r="BU11" s="28"/>
      <c r="BV11" s="28"/>
      <c r="BW11" s="7"/>
      <c r="BX11" s="7"/>
      <c r="BY11" s="28"/>
      <c r="BZ11" s="28"/>
      <c r="CA11" s="28"/>
      <c r="CB11" s="28"/>
      <c r="CC11" s="28"/>
      <c r="CD11" s="7"/>
      <c r="CE11" s="7"/>
      <c r="CF11" s="28"/>
      <c r="CG11" s="28"/>
      <c r="CH11" s="28"/>
      <c r="CI11" s="28"/>
      <c r="CJ11" s="28"/>
      <c r="CK11" s="7"/>
      <c r="CL11" s="7"/>
      <c r="CM11" s="28"/>
      <c r="CN11" s="28"/>
      <c r="CO11" s="28"/>
      <c r="CP11" s="28"/>
      <c r="CQ11" s="69"/>
      <c r="CR11" s="7"/>
      <c r="CS11" s="7"/>
      <c r="CT11" s="69"/>
      <c r="CU11" s="28"/>
      <c r="CV11" s="28"/>
      <c r="CW11" s="28"/>
      <c r="CX11" s="186"/>
      <c r="CY11" s="183"/>
      <c r="CZ11" s="7"/>
      <c r="DA11" s="8"/>
      <c r="DB11" s="8"/>
      <c r="DC11" s="8"/>
      <c r="DD11" s="8"/>
      <c r="DE11" s="8"/>
      <c r="DF11" s="7"/>
      <c r="DG11" s="7"/>
      <c r="DH11" s="8"/>
      <c r="DI11" s="8"/>
      <c r="DJ11" s="8"/>
      <c r="DK11" s="8"/>
      <c r="DL11" s="8"/>
      <c r="DM11" s="7"/>
      <c r="DN11" s="7"/>
      <c r="DO11" s="8"/>
      <c r="DP11" s="8"/>
      <c r="DQ11" s="8"/>
      <c r="DR11" s="8"/>
      <c r="DS11" s="8"/>
      <c r="DT11" s="7"/>
      <c r="DU11" s="7"/>
      <c r="DV11" s="8"/>
      <c r="DW11" s="8"/>
      <c r="DX11" s="8"/>
      <c r="DY11" s="8"/>
      <c r="DZ11" s="8"/>
      <c r="EA11" s="7"/>
      <c r="EB11" s="87"/>
      <c r="EC11" s="148"/>
      <c r="ED11" s="147"/>
      <c r="EE11" s="8"/>
      <c r="EF11" s="8"/>
      <c r="EG11" s="8"/>
      <c r="EH11" s="7"/>
      <c r="EI11" s="7"/>
      <c r="EJ11" s="66" t="s">
        <v>1</v>
      </c>
      <c r="EK11" s="66" t="s">
        <v>1</v>
      </c>
      <c r="EL11" s="66" t="s">
        <v>1</v>
      </c>
      <c r="EM11" s="66" t="s">
        <v>1</v>
      </c>
      <c r="EN11" s="66" t="s">
        <v>1</v>
      </c>
      <c r="EO11" s="7"/>
      <c r="EP11" s="7"/>
      <c r="EQ11" s="66" t="s">
        <v>1</v>
      </c>
      <c r="ER11" s="69"/>
      <c r="ES11" s="66" t="s">
        <v>1</v>
      </c>
      <c r="ET11" s="66" t="s">
        <v>1</v>
      </c>
      <c r="EU11" s="66" t="s">
        <v>1</v>
      </c>
      <c r="EV11" s="7"/>
      <c r="EW11" s="7"/>
      <c r="EX11" s="66" t="s">
        <v>1</v>
      </c>
      <c r="EY11" s="66" t="s">
        <v>1</v>
      </c>
      <c r="EZ11" s="66" t="s">
        <v>1</v>
      </c>
      <c r="FA11" s="66" t="s">
        <v>1</v>
      </c>
      <c r="FB11" s="66" t="s">
        <v>1</v>
      </c>
      <c r="FC11" s="7"/>
      <c r="FD11" s="7"/>
      <c r="FE11" s="66" t="s">
        <v>1</v>
      </c>
      <c r="FF11" s="8"/>
      <c r="FG11" s="8"/>
      <c r="FH11" s="148"/>
      <c r="FI11" s="147"/>
      <c r="FJ11" s="7"/>
      <c r="FK11" s="7"/>
      <c r="FL11" s="8"/>
      <c r="FM11" s="8"/>
      <c r="FN11" s="8"/>
      <c r="FO11" s="8"/>
      <c r="FP11" s="8"/>
      <c r="FQ11" s="7"/>
      <c r="FR11" s="7"/>
      <c r="FS11" s="8"/>
      <c r="FT11" s="8"/>
      <c r="FU11" s="8"/>
      <c r="FV11" s="8"/>
      <c r="FW11" s="8"/>
      <c r="FX11" s="7"/>
      <c r="FY11" s="7"/>
      <c r="FZ11" s="69"/>
      <c r="GA11" s="69"/>
      <c r="GB11" s="8"/>
      <c r="GC11" s="8"/>
      <c r="GD11" s="8"/>
      <c r="GE11" s="7"/>
      <c r="GF11" s="7"/>
      <c r="GG11" s="8"/>
      <c r="GH11" s="8"/>
      <c r="GI11" s="8"/>
      <c r="GJ11" s="8"/>
      <c r="GK11" s="8"/>
      <c r="GL11" s="184"/>
      <c r="GM11" s="183"/>
      <c r="GN11" s="8"/>
      <c r="GO11" s="8"/>
      <c r="GP11" s="8"/>
      <c r="GQ11" s="8"/>
      <c r="GR11" s="8"/>
      <c r="GS11" s="7"/>
      <c r="GT11" s="7"/>
      <c r="GU11" s="69"/>
      <c r="GV11" s="8"/>
      <c r="GW11" s="8"/>
      <c r="GX11" s="8"/>
      <c r="GY11" s="8"/>
      <c r="GZ11" s="7"/>
      <c r="HA11" s="7"/>
      <c r="HB11" s="8"/>
      <c r="HC11" s="8"/>
      <c r="HD11" s="8"/>
      <c r="HE11" s="8"/>
      <c r="HF11" s="8"/>
      <c r="HG11" s="7"/>
      <c r="HH11" s="7"/>
      <c r="HI11" s="8"/>
      <c r="HJ11" s="8"/>
      <c r="HK11" s="8"/>
      <c r="HL11" s="8"/>
      <c r="HM11" s="69"/>
      <c r="HN11" s="7"/>
      <c r="HO11" s="7"/>
      <c r="HP11" s="8"/>
      <c r="HQ11" s="148"/>
      <c r="HR11" s="69"/>
      <c r="HS11" s="8"/>
      <c r="HT11" s="8"/>
      <c r="HU11" s="7"/>
      <c r="HV11" s="7"/>
      <c r="HW11" s="8"/>
      <c r="HX11" s="8"/>
      <c r="HY11" s="8"/>
      <c r="HZ11" s="8"/>
      <c r="IA11" s="8"/>
      <c r="IB11" s="7"/>
      <c r="IC11" s="7"/>
      <c r="ID11" s="8"/>
      <c r="IE11" s="8"/>
      <c r="IF11" s="8"/>
      <c r="IG11" s="8"/>
      <c r="IH11" s="8"/>
      <c r="II11" s="7"/>
      <c r="IJ11" s="7"/>
      <c r="IK11" s="8"/>
      <c r="IL11" s="8"/>
      <c r="IM11" s="8"/>
      <c r="IN11" s="8"/>
      <c r="IO11" s="8"/>
      <c r="IP11" s="7"/>
      <c r="IQ11" s="7"/>
      <c r="IR11" s="8"/>
      <c r="IS11" s="8"/>
      <c r="IT11" s="8"/>
      <c r="IU11" s="148"/>
      <c r="IV11" s="147"/>
      <c r="IW11" s="7"/>
      <c r="IX11" s="7"/>
      <c r="IY11" s="8"/>
      <c r="IZ11" s="8"/>
      <c r="JA11" s="8"/>
      <c r="JB11" s="8"/>
      <c r="JC11" s="69"/>
      <c r="JD11" s="7"/>
      <c r="JE11" s="7"/>
      <c r="JF11" s="66" t="s">
        <v>1</v>
      </c>
      <c r="JG11" s="8"/>
      <c r="JH11" s="66" t="s">
        <v>3</v>
      </c>
      <c r="JI11" s="66" t="s">
        <v>3</v>
      </c>
      <c r="JJ11" s="66" t="s">
        <v>3</v>
      </c>
      <c r="JK11" s="7"/>
      <c r="JL11" s="7"/>
      <c r="JM11" s="8"/>
      <c r="JN11" s="8"/>
      <c r="JO11" s="8"/>
      <c r="JP11" s="8"/>
      <c r="JQ11" s="8"/>
      <c r="JR11" s="7"/>
      <c r="JS11" s="7"/>
      <c r="JT11" s="69"/>
      <c r="JU11" s="8"/>
      <c r="JV11" s="8"/>
      <c r="JW11" s="8"/>
      <c r="JX11" s="8"/>
      <c r="JY11" s="87"/>
      <c r="JZ11" s="184"/>
      <c r="KA11" s="69"/>
      <c r="KB11" s="66" t="s">
        <v>1</v>
      </c>
      <c r="KC11" s="8"/>
      <c r="KD11" s="8"/>
      <c r="KE11" s="8"/>
      <c r="KF11" s="7"/>
      <c r="KG11" s="7"/>
      <c r="KH11" s="8"/>
      <c r="KI11" s="8"/>
      <c r="KJ11" s="8"/>
      <c r="KK11" s="8"/>
      <c r="KL11" s="8"/>
      <c r="KM11" s="7"/>
      <c r="KN11" s="7"/>
      <c r="KO11" s="8"/>
      <c r="KP11" s="8"/>
      <c r="KQ11" s="8"/>
      <c r="KR11" s="8"/>
      <c r="KS11" s="8"/>
      <c r="KT11" s="7"/>
      <c r="KU11" s="7"/>
      <c r="KV11" s="8"/>
      <c r="KW11" s="8"/>
      <c r="KX11" s="8"/>
      <c r="KY11" s="8"/>
      <c r="KZ11" s="8"/>
      <c r="LA11" s="7"/>
      <c r="LB11" s="7"/>
      <c r="LC11" s="8"/>
      <c r="LD11" s="8"/>
      <c r="LE11" s="148"/>
      <c r="LF11" s="147"/>
      <c r="LG11" s="8"/>
      <c r="LH11" s="7"/>
      <c r="LI11" s="7"/>
      <c r="LJ11" s="8"/>
      <c r="LK11" s="8"/>
      <c r="LL11" s="8"/>
      <c r="LM11" s="8"/>
      <c r="LN11" s="8"/>
      <c r="LO11" s="7"/>
      <c r="LP11" s="7"/>
      <c r="LQ11" s="8"/>
      <c r="LR11" s="8"/>
      <c r="LS11" s="8"/>
      <c r="LT11" s="8"/>
      <c r="LU11" s="8"/>
      <c r="LV11" s="7"/>
      <c r="LW11" s="7"/>
      <c r="LX11" s="8"/>
      <c r="LY11" s="8"/>
      <c r="LZ11" s="8"/>
      <c r="MA11" s="8"/>
      <c r="MB11" s="8"/>
      <c r="MC11" s="7"/>
      <c r="MD11" s="7"/>
      <c r="ME11" s="8"/>
      <c r="MF11" s="8"/>
      <c r="MG11" s="8"/>
      <c r="MH11" s="148"/>
      <c r="MI11" s="147"/>
      <c r="MJ11" s="7"/>
      <c r="MK11" s="7"/>
      <c r="ML11" s="8"/>
      <c r="MM11" s="8"/>
      <c r="MN11" s="66" t="s">
        <v>1</v>
      </c>
      <c r="MO11" s="8"/>
      <c r="MP11" s="8"/>
      <c r="MQ11" s="7"/>
      <c r="MR11" s="7"/>
      <c r="MS11" s="8"/>
      <c r="MT11" s="8"/>
      <c r="MU11" s="8"/>
      <c r="MV11" s="8"/>
      <c r="MW11" s="8"/>
      <c r="MX11" s="7"/>
      <c r="MY11" s="7"/>
      <c r="MZ11" s="8"/>
      <c r="NA11" s="8"/>
      <c r="NB11" s="8"/>
      <c r="NC11" s="8"/>
      <c r="ND11" s="8"/>
      <c r="NE11" s="7"/>
      <c r="NF11" s="7"/>
      <c r="NG11" s="8"/>
      <c r="NH11" s="66" t="s">
        <v>3</v>
      </c>
      <c r="NI11" s="66" t="s">
        <v>1</v>
      </c>
      <c r="NJ11" s="66" t="s">
        <v>1</v>
      </c>
      <c r="NK11" s="69"/>
      <c r="NL11" s="7"/>
      <c r="NM11" s="184"/>
    </row>
    <row r="12" spans="1:377" ht="15" customHeight="1">
      <c r="B12" s="29" t="s">
        <v>33</v>
      </c>
      <c r="C12" s="29" t="s">
        <v>30</v>
      </c>
      <c r="D12" s="29" t="s">
        <v>31</v>
      </c>
      <c r="E12" s="37">
        <v>0</v>
      </c>
      <c r="F12" s="29">
        <v>23</v>
      </c>
      <c r="G12" s="29">
        <v>0</v>
      </c>
      <c r="H12" s="29">
        <f t="shared" si="0"/>
        <v>8</v>
      </c>
      <c r="I12" s="30">
        <f t="shared" si="1"/>
        <v>-3</v>
      </c>
      <c r="J12" s="30">
        <f t="shared" si="2"/>
        <v>0</v>
      </c>
      <c r="K12" s="71">
        <f t="shared" si="3"/>
        <v>0</v>
      </c>
      <c r="L12" s="183"/>
      <c r="M12" s="7"/>
      <c r="N12" s="8"/>
      <c r="O12" s="8"/>
      <c r="P12" s="8"/>
      <c r="Q12" s="8"/>
      <c r="R12" s="69"/>
      <c r="S12" s="7"/>
      <c r="T12" s="7"/>
      <c r="U12" s="8"/>
      <c r="V12" s="8"/>
      <c r="W12" s="8"/>
      <c r="X12" s="8"/>
      <c r="Y12" s="8"/>
      <c r="Z12" s="7"/>
      <c r="AA12" s="7"/>
      <c r="AB12" s="8"/>
      <c r="AC12" s="8"/>
      <c r="AD12" s="8"/>
      <c r="AE12" s="8"/>
      <c r="AF12" s="8"/>
      <c r="AG12" s="7"/>
      <c r="AH12" s="7"/>
      <c r="AI12" s="8"/>
      <c r="AJ12" s="8"/>
      <c r="AK12" s="8"/>
      <c r="AL12" s="8"/>
      <c r="AM12" s="8"/>
      <c r="AN12" s="87"/>
      <c r="AO12" s="87"/>
      <c r="AP12" s="198"/>
      <c r="AQ12" s="8"/>
      <c r="AR12" s="8"/>
      <c r="AS12" s="8"/>
      <c r="AT12" s="8"/>
      <c r="AU12" s="7"/>
      <c r="AV12" s="7"/>
      <c r="AW12" s="8"/>
      <c r="AX12" s="8"/>
      <c r="AY12" s="8"/>
      <c r="AZ12" s="8"/>
      <c r="BA12" s="8"/>
      <c r="BB12" s="7"/>
      <c r="BC12" s="7"/>
      <c r="BD12" s="8"/>
      <c r="BE12" s="8"/>
      <c r="BF12" s="8"/>
      <c r="BG12" s="8"/>
      <c r="BH12" s="8"/>
      <c r="BI12" s="7"/>
      <c r="BJ12" s="7"/>
      <c r="BK12" s="8"/>
      <c r="BL12" s="8"/>
      <c r="BM12" s="8"/>
      <c r="BN12" s="8"/>
      <c r="BO12" s="8"/>
      <c r="BP12" s="7"/>
      <c r="BQ12" s="7"/>
      <c r="BR12" s="8"/>
      <c r="BS12" s="8"/>
      <c r="BT12" s="84"/>
      <c r="BU12" s="28"/>
      <c r="BV12" s="28"/>
      <c r="BW12" s="7"/>
      <c r="BX12" s="7"/>
      <c r="BY12" s="28"/>
      <c r="BZ12" s="28"/>
      <c r="CA12" s="28"/>
      <c r="CB12" s="28"/>
      <c r="CC12" s="28"/>
      <c r="CD12" s="7"/>
      <c r="CE12" s="7"/>
      <c r="CF12" s="28"/>
      <c r="CG12" s="28"/>
      <c r="CH12" s="28"/>
      <c r="CI12" s="28"/>
      <c r="CJ12" s="28"/>
      <c r="CK12" s="7"/>
      <c r="CL12" s="7"/>
      <c r="CM12" s="28"/>
      <c r="CN12" s="28"/>
      <c r="CO12" s="28"/>
      <c r="CP12" s="28"/>
      <c r="CQ12" s="69"/>
      <c r="CR12" s="7"/>
      <c r="CS12" s="7"/>
      <c r="CT12" s="69"/>
      <c r="CU12" s="28"/>
      <c r="CV12" s="28"/>
      <c r="CW12" s="28"/>
      <c r="CX12" s="186"/>
      <c r="CY12" s="183"/>
      <c r="CZ12" s="7"/>
      <c r="DA12" s="8"/>
      <c r="DB12" s="8"/>
      <c r="DC12" s="8"/>
      <c r="DD12" s="8"/>
      <c r="DE12" s="8"/>
      <c r="DF12" s="7"/>
      <c r="DG12" s="7"/>
      <c r="DH12" s="8"/>
      <c r="DI12" s="8"/>
      <c r="DJ12" s="8"/>
      <c r="DK12" s="8"/>
      <c r="DL12" s="8"/>
      <c r="DM12" s="7"/>
      <c r="DN12" s="7"/>
      <c r="DO12" s="8"/>
      <c r="DP12" s="8"/>
      <c r="DQ12" s="8"/>
      <c r="DR12" s="8"/>
      <c r="DS12" s="8"/>
      <c r="DT12" s="7"/>
      <c r="DU12" s="7"/>
      <c r="DV12" s="8"/>
      <c r="DW12" s="8"/>
      <c r="DX12" s="8"/>
      <c r="DY12" s="8"/>
      <c r="DZ12" s="8"/>
      <c r="EA12" s="7"/>
      <c r="EB12" s="87"/>
      <c r="EC12" s="148"/>
      <c r="ED12" s="147"/>
      <c r="EE12" s="8"/>
      <c r="EF12" s="8"/>
      <c r="EG12" s="8"/>
      <c r="EH12" s="7"/>
      <c r="EI12" s="7"/>
      <c r="EJ12" s="8"/>
      <c r="EK12" s="8"/>
      <c r="EL12" s="8"/>
      <c r="EM12" s="8"/>
      <c r="EN12" s="8"/>
      <c r="EO12" s="7"/>
      <c r="EP12" s="7"/>
      <c r="EQ12" s="66" t="s">
        <v>3</v>
      </c>
      <c r="ER12" s="8"/>
      <c r="ES12" s="8"/>
      <c r="ET12" s="8"/>
      <c r="EU12" s="8"/>
      <c r="EV12" s="7"/>
      <c r="EW12" s="7"/>
      <c r="EX12" s="69"/>
      <c r="EY12" s="8"/>
      <c r="EZ12" s="8"/>
      <c r="FA12" s="8"/>
      <c r="FB12" s="8"/>
      <c r="FC12" s="7"/>
      <c r="FD12" s="7"/>
      <c r="FE12" s="8"/>
      <c r="FF12" s="8"/>
      <c r="FG12" s="8"/>
      <c r="FH12" s="148"/>
      <c r="FI12" s="147"/>
      <c r="FJ12" s="7"/>
      <c r="FK12" s="7"/>
      <c r="FL12" s="8"/>
      <c r="FM12" s="8"/>
      <c r="FN12" s="8"/>
      <c r="FO12" s="8"/>
      <c r="FP12" s="8"/>
      <c r="FQ12" s="7"/>
      <c r="FR12" s="7"/>
      <c r="FS12" s="8"/>
      <c r="FT12" s="8"/>
      <c r="FU12" s="8"/>
      <c r="FV12" s="8"/>
      <c r="FW12" s="8"/>
      <c r="FX12" s="7"/>
      <c r="FY12" s="7"/>
      <c r="FZ12" s="69"/>
      <c r="GA12" s="69"/>
      <c r="GB12" s="66" t="s">
        <v>3</v>
      </c>
      <c r="GC12" s="8"/>
      <c r="GD12" s="8"/>
      <c r="GE12" s="7"/>
      <c r="GF12" s="7"/>
      <c r="GG12" s="8"/>
      <c r="GH12" s="8"/>
      <c r="GI12" s="8"/>
      <c r="GJ12" s="8"/>
      <c r="GK12" s="8"/>
      <c r="GL12" s="184"/>
      <c r="GM12" s="183"/>
      <c r="GN12" s="8"/>
      <c r="GO12" s="8"/>
      <c r="GP12" s="8"/>
      <c r="GQ12" s="8"/>
      <c r="GR12" s="8"/>
      <c r="GS12" s="7"/>
      <c r="GT12" s="7"/>
      <c r="GU12" s="69"/>
      <c r="GV12" s="8"/>
      <c r="GW12" s="8"/>
      <c r="GX12" s="8"/>
      <c r="GY12" s="8"/>
      <c r="GZ12" s="7"/>
      <c r="HA12" s="7"/>
      <c r="HB12" s="8"/>
      <c r="HC12" s="8"/>
      <c r="HD12" s="8"/>
      <c r="HE12" s="8"/>
      <c r="HF12" s="8"/>
      <c r="HG12" s="7"/>
      <c r="HH12" s="7"/>
      <c r="HI12" s="8"/>
      <c r="HJ12" s="8"/>
      <c r="HK12" s="8"/>
      <c r="HL12" s="8"/>
      <c r="HM12" s="69"/>
      <c r="HN12" s="7"/>
      <c r="HO12" s="7"/>
      <c r="HP12" s="8"/>
      <c r="HQ12" s="148"/>
      <c r="HR12" s="69"/>
      <c r="HS12" s="8"/>
      <c r="HT12" s="8"/>
      <c r="HU12" s="7"/>
      <c r="HV12" s="7"/>
      <c r="HW12" s="8"/>
      <c r="HX12" s="8"/>
      <c r="HY12" s="8"/>
      <c r="HZ12" s="8"/>
      <c r="IA12" s="8"/>
      <c r="IB12" s="7"/>
      <c r="IC12" s="7"/>
      <c r="ID12" s="8"/>
      <c r="IE12" s="8"/>
      <c r="IF12" s="8"/>
      <c r="IG12" s="8"/>
      <c r="IH12" s="8"/>
      <c r="II12" s="7"/>
      <c r="IJ12" s="7"/>
      <c r="IK12" s="8"/>
      <c r="IL12" s="8"/>
      <c r="IM12" s="8"/>
      <c r="IN12" s="8"/>
      <c r="IO12" s="8"/>
      <c r="IP12" s="7"/>
      <c r="IQ12" s="7"/>
      <c r="IR12" s="8"/>
      <c r="IS12" s="8"/>
      <c r="IT12" s="8"/>
      <c r="IU12" s="148"/>
      <c r="IV12" s="147"/>
      <c r="IW12" s="7"/>
      <c r="IX12" s="7"/>
      <c r="IY12" s="8"/>
      <c r="IZ12" s="8"/>
      <c r="JA12" s="8"/>
      <c r="JB12" s="8"/>
      <c r="JC12" s="69"/>
      <c r="JD12" s="7"/>
      <c r="JE12" s="7"/>
      <c r="JF12" s="8"/>
      <c r="JG12" s="8"/>
      <c r="JH12" s="8"/>
      <c r="JI12" s="8"/>
      <c r="JJ12" s="8"/>
      <c r="JK12" s="7"/>
      <c r="JL12" s="7"/>
      <c r="JM12" s="8"/>
      <c r="JN12" s="8"/>
      <c r="JO12" s="8"/>
      <c r="JP12" s="8"/>
      <c r="JQ12" s="8"/>
      <c r="JR12" s="7"/>
      <c r="JS12" s="7"/>
      <c r="JT12" s="69"/>
      <c r="JU12" s="66" t="s">
        <v>3</v>
      </c>
      <c r="JV12" s="8"/>
      <c r="JW12" s="8"/>
      <c r="JX12" s="8"/>
      <c r="JY12" s="87"/>
      <c r="JZ12" s="184"/>
      <c r="KA12" s="69"/>
      <c r="KB12" s="8"/>
      <c r="KC12" s="8"/>
      <c r="KD12" s="8"/>
      <c r="KE12" s="8"/>
      <c r="KF12" s="7"/>
      <c r="KG12" s="7"/>
      <c r="KH12" s="8"/>
      <c r="KI12" s="8"/>
      <c r="KJ12" s="8"/>
      <c r="KK12" s="8"/>
      <c r="KL12" s="8"/>
      <c r="KM12" s="7"/>
      <c r="KN12" s="7"/>
      <c r="KO12" s="8"/>
      <c r="KP12" s="8"/>
      <c r="KQ12" s="8"/>
      <c r="KR12" s="8"/>
      <c r="KS12" s="8"/>
      <c r="KT12" s="7"/>
      <c r="KU12" s="7"/>
      <c r="KV12" s="8"/>
      <c r="KW12" s="8"/>
      <c r="KX12" s="8"/>
      <c r="KY12" s="8"/>
      <c r="KZ12" s="8"/>
      <c r="LA12" s="7"/>
      <c r="LB12" s="7"/>
      <c r="LC12" s="8"/>
      <c r="LD12" s="8"/>
      <c r="LE12" s="148"/>
      <c r="LF12" s="147"/>
      <c r="LG12" s="8"/>
      <c r="LH12" s="7"/>
      <c r="LI12" s="7"/>
      <c r="LJ12" s="8"/>
      <c r="LK12" s="8"/>
      <c r="LL12" s="8"/>
      <c r="LM12" s="8"/>
      <c r="LN12" s="8"/>
      <c r="LO12" s="7"/>
      <c r="LP12" s="7"/>
      <c r="LQ12" s="8"/>
      <c r="LR12" s="8"/>
      <c r="LS12" s="8"/>
      <c r="LT12" s="8"/>
      <c r="LU12" s="8"/>
      <c r="LV12" s="7"/>
      <c r="LW12" s="7"/>
      <c r="LX12" s="8"/>
      <c r="LY12" s="8"/>
      <c r="LZ12" s="8"/>
      <c r="MA12" s="8"/>
      <c r="MB12" s="8"/>
      <c r="MC12" s="7"/>
      <c r="MD12" s="7"/>
      <c r="ME12" s="66" t="s">
        <v>1</v>
      </c>
      <c r="MF12" s="66" t="s">
        <v>1</v>
      </c>
      <c r="MG12" s="66" t="s">
        <v>1</v>
      </c>
      <c r="MH12" s="66" t="s">
        <v>1</v>
      </c>
      <c r="MI12" s="66" t="s">
        <v>1</v>
      </c>
      <c r="MJ12" s="7"/>
      <c r="MK12" s="7"/>
      <c r="ML12" s="66" t="s">
        <v>1</v>
      </c>
      <c r="MM12" s="66" t="s">
        <v>1</v>
      </c>
      <c r="MN12" s="66" t="s">
        <v>1</v>
      </c>
      <c r="MO12" s="66" t="s">
        <v>1</v>
      </c>
      <c r="MP12" s="66" t="s">
        <v>1</v>
      </c>
      <c r="MQ12" s="7"/>
      <c r="MR12" s="7"/>
      <c r="MS12" s="66" t="s">
        <v>1</v>
      </c>
      <c r="MT12" s="66" t="s">
        <v>1</v>
      </c>
      <c r="MU12" s="66" t="s">
        <v>1</v>
      </c>
      <c r="MV12" s="66" t="s">
        <v>1</v>
      </c>
      <c r="MW12" s="66" t="s">
        <v>1</v>
      </c>
      <c r="MX12" s="7"/>
      <c r="MY12" s="7"/>
      <c r="MZ12" s="8"/>
      <c r="NA12" s="8"/>
      <c r="NB12" s="8"/>
      <c r="NC12" s="8"/>
      <c r="ND12" s="8"/>
      <c r="NE12" s="7"/>
      <c r="NF12" s="7"/>
      <c r="NG12" s="8"/>
      <c r="NH12" s="8"/>
      <c r="NI12" s="8"/>
      <c r="NJ12" s="8"/>
      <c r="NK12" s="69"/>
      <c r="NL12" s="7"/>
      <c r="NM12" s="184"/>
    </row>
    <row r="13" spans="1:377" ht="15" customHeight="1">
      <c r="B13" s="29" t="s">
        <v>34</v>
      </c>
      <c r="C13" s="29" t="s">
        <v>30</v>
      </c>
      <c r="D13" s="29" t="s">
        <v>31</v>
      </c>
      <c r="E13" s="37">
        <v>0</v>
      </c>
      <c r="F13" s="29">
        <v>23</v>
      </c>
      <c r="G13" s="29">
        <v>0</v>
      </c>
      <c r="H13" s="29">
        <f t="shared" si="0"/>
        <v>4</v>
      </c>
      <c r="I13" s="30">
        <f t="shared" si="1"/>
        <v>-3</v>
      </c>
      <c r="J13" s="30">
        <f t="shared" si="2"/>
        <v>0</v>
      </c>
      <c r="K13" s="71">
        <f t="shared" si="3"/>
        <v>5</v>
      </c>
      <c r="L13" s="183"/>
      <c r="M13" s="7"/>
      <c r="N13" s="8"/>
      <c r="O13" s="8"/>
      <c r="P13" s="8"/>
      <c r="Q13" s="8"/>
      <c r="R13" s="69"/>
      <c r="S13" s="7"/>
      <c r="T13" s="7"/>
      <c r="U13" s="8"/>
      <c r="V13" s="8"/>
      <c r="W13" s="8"/>
      <c r="X13" s="8"/>
      <c r="Y13" s="8"/>
      <c r="Z13" s="7"/>
      <c r="AA13" s="7"/>
      <c r="AB13" s="8"/>
      <c r="AC13" s="8"/>
      <c r="AD13" s="8"/>
      <c r="AE13" s="8"/>
      <c r="AF13" s="8"/>
      <c r="AG13" s="7"/>
      <c r="AH13" s="7"/>
      <c r="AI13" s="8"/>
      <c r="AJ13" s="8"/>
      <c r="AK13" s="8"/>
      <c r="AL13" s="8"/>
      <c r="AM13" s="8"/>
      <c r="AN13" s="87"/>
      <c r="AO13" s="87"/>
      <c r="AP13" s="198"/>
      <c r="AQ13" s="8"/>
      <c r="AR13" s="8"/>
      <c r="AS13" s="8"/>
      <c r="AT13" s="8"/>
      <c r="AU13" s="7"/>
      <c r="AV13" s="7"/>
      <c r="AW13" s="8"/>
      <c r="AX13" s="8"/>
      <c r="AY13" s="8"/>
      <c r="AZ13" s="8"/>
      <c r="BA13" s="8"/>
      <c r="BB13" s="7"/>
      <c r="BC13" s="7"/>
      <c r="BD13" s="8"/>
      <c r="BE13" s="8"/>
      <c r="BF13" s="8"/>
      <c r="BG13" s="8"/>
      <c r="BH13" s="8"/>
      <c r="BI13" s="7"/>
      <c r="BJ13" s="7"/>
      <c r="BK13" s="8"/>
      <c r="BL13" s="8"/>
      <c r="BM13" s="8"/>
      <c r="BN13" s="8"/>
      <c r="BO13" s="8"/>
      <c r="BP13" s="7"/>
      <c r="BQ13" s="7"/>
      <c r="BR13" s="8"/>
      <c r="BS13" s="8"/>
      <c r="BT13" s="84"/>
      <c r="BU13" s="28"/>
      <c r="BV13" s="28"/>
      <c r="BW13" s="7"/>
      <c r="BX13" s="7"/>
      <c r="BY13" s="28"/>
      <c r="BZ13" s="28"/>
      <c r="CA13" s="28"/>
      <c r="CB13" s="28"/>
      <c r="CC13" s="28"/>
      <c r="CD13" s="7"/>
      <c r="CE13" s="7"/>
      <c r="CF13" s="28"/>
      <c r="CG13" s="28"/>
      <c r="CH13" s="28"/>
      <c r="CI13" s="28"/>
      <c r="CJ13" s="28"/>
      <c r="CK13" s="7"/>
      <c r="CL13" s="7"/>
      <c r="CM13" s="28"/>
      <c r="CN13" s="28"/>
      <c r="CO13" s="220" t="s">
        <v>1</v>
      </c>
      <c r="CP13" s="66" t="s">
        <v>1</v>
      </c>
      <c r="CQ13" s="66" t="s">
        <v>1</v>
      </c>
      <c r="CR13" s="7"/>
      <c r="CS13" s="7"/>
      <c r="CT13" s="69"/>
      <c r="CU13" s="66" t="s">
        <v>1</v>
      </c>
      <c r="CV13" s="28"/>
      <c r="CW13" s="28"/>
      <c r="CX13" s="186"/>
      <c r="CY13" s="183"/>
      <c r="CZ13" s="7"/>
      <c r="DA13" s="8"/>
      <c r="DB13" s="8"/>
      <c r="DC13" s="8"/>
      <c r="DD13" s="8"/>
      <c r="DE13" s="8"/>
      <c r="DF13" s="7"/>
      <c r="DG13" s="7"/>
      <c r="DH13" s="8"/>
      <c r="DI13" s="8"/>
      <c r="DJ13" s="8"/>
      <c r="DK13" s="8"/>
      <c r="DL13" s="8"/>
      <c r="DM13" s="7"/>
      <c r="DN13" s="7"/>
      <c r="DO13" s="8"/>
      <c r="DP13" s="8"/>
      <c r="DQ13" s="8"/>
      <c r="DR13" s="8"/>
      <c r="DS13" s="8"/>
      <c r="DT13" s="7"/>
      <c r="DU13" s="7"/>
      <c r="DV13" s="68" t="s">
        <v>7</v>
      </c>
      <c r="DW13" s="68" t="s">
        <v>7</v>
      </c>
      <c r="DX13" s="68" t="s">
        <v>7</v>
      </c>
      <c r="DY13" s="68" t="s">
        <v>7</v>
      </c>
      <c r="DZ13" s="68" t="s">
        <v>7</v>
      </c>
      <c r="EA13" s="7"/>
      <c r="EB13" s="87"/>
      <c r="EC13" s="148"/>
      <c r="ED13" s="147"/>
      <c r="EE13" s="8"/>
      <c r="EF13" s="8"/>
      <c r="EG13" s="8"/>
      <c r="EH13" s="7"/>
      <c r="EI13" s="7"/>
      <c r="EJ13" s="8"/>
      <c r="EK13" s="8"/>
      <c r="EL13" s="8"/>
      <c r="EM13" s="8"/>
      <c r="EN13" s="8"/>
      <c r="EO13" s="7"/>
      <c r="EP13" s="7"/>
      <c r="EQ13" s="8"/>
      <c r="ER13" s="8"/>
      <c r="ES13" s="8"/>
      <c r="ET13" s="8"/>
      <c r="EU13" s="8"/>
      <c r="EV13" s="7"/>
      <c r="EW13" s="7"/>
      <c r="EX13" s="69"/>
      <c r="EY13" s="8"/>
      <c r="EZ13" s="8"/>
      <c r="FA13" s="8"/>
      <c r="FB13" s="8"/>
      <c r="FC13" s="7"/>
      <c r="FD13" s="7"/>
      <c r="FE13" s="8"/>
      <c r="FF13" s="8"/>
      <c r="FG13" s="8"/>
      <c r="FH13" s="148"/>
      <c r="FI13" s="147"/>
      <c r="FJ13" s="7"/>
      <c r="FK13" s="7"/>
      <c r="FL13" s="8"/>
      <c r="FM13" s="8"/>
      <c r="FN13" s="8"/>
      <c r="FO13" s="8"/>
      <c r="FP13" s="8"/>
      <c r="FQ13" s="7"/>
      <c r="FR13" s="7"/>
      <c r="FS13" s="8"/>
      <c r="FT13" s="8"/>
      <c r="FU13" s="8"/>
      <c r="FV13" s="8"/>
      <c r="FW13" s="8"/>
      <c r="FX13" s="7"/>
      <c r="FY13" s="7"/>
      <c r="FZ13" s="69"/>
      <c r="GA13" s="69"/>
      <c r="GB13" s="66" t="s">
        <v>3</v>
      </c>
      <c r="GC13" s="66" t="s">
        <v>3</v>
      </c>
      <c r="GD13" s="66" t="s">
        <v>3</v>
      </c>
      <c r="GE13" s="7"/>
      <c r="GF13" s="7"/>
      <c r="GG13" s="8"/>
      <c r="GH13" s="8"/>
      <c r="GI13" s="8"/>
      <c r="GJ13" s="8"/>
      <c r="GK13" s="8"/>
      <c r="GL13" s="184"/>
      <c r="GM13" s="183"/>
      <c r="GN13" s="8"/>
      <c r="GO13" s="8"/>
      <c r="GP13" s="8"/>
      <c r="GQ13" s="8"/>
      <c r="GR13" s="8"/>
      <c r="GS13" s="7"/>
      <c r="GT13" s="7"/>
      <c r="GU13" s="69"/>
      <c r="GV13" s="8"/>
      <c r="GW13" s="8"/>
      <c r="GX13" s="8"/>
      <c r="GY13" s="8"/>
      <c r="GZ13" s="7"/>
      <c r="HA13" s="7"/>
      <c r="HB13" s="8"/>
      <c r="HC13" s="8"/>
      <c r="HD13" s="8"/>
      <c r="HE13" s="8"/>
      <c r="HF13" s="8"/>
      <c r="HG13" s="7"/>
      <c r="HH13" s="7"/>
      <c r="HI13" s="8"/>
      <c r="HJ13" s="8"/>
      <c r="HK13" s="8"/>
      <c r="HL13" s="8"/>
      <c r="HM13" s="69"/>
      <c r="HN13" s="7"/>
      <c r="HO13" s="7"/>
      <c r="HP13" s="8"/>
      <c r="HQ13" s="148"/>
      <c r="HR13" s="69"/>
      <c r="HS13" s="8"/>
      <c r="HT13" s="8"/>
      <c r="HU13" s="7"/>
      <c r="HV13" s="7"/>
      <c r="HW13" s="8"/>
      <c r="HX13" s="8"/>
      <c r="HY13" s="8"/>
      <c r="HZ13" s="8"/>
      <c r="IA13" s="8"/>
      <c r="IB13" s="7"/>
      <c r="IC13" s="7"/>
      <c r="ID13" s="8"/>
      <c r="IE13" s="8"/>
      <c r="IF13" s="8"/>
      <c r="IG13" s="8"/>
      <c r="IH13" s="8"/>
      <c r="II13" s="7"/>
      <c r="IJ13" s="7"/>
      <c r="IK13" s="8"/>
      <c r="IL13" s="8"/>
      <c r="IM13" s="8"/>
      <c r="IN13" s="8"/>
      <c r="IO13" s="8"/>
      <c r="IP13" s="7"/>
      <c r="IQ13" s="7"/>
      <c r="IR13" s="8"/>
      <c r="IS13" s="8"/>
      <c r="IT13" s="8"/>
      <c r="IU13" s="148"/>
      <c r="IV13" s="147"/>
      <c r="IW13" s="7"/>
      <c r="IX13" s="7"/>
      <c r="IY13" s="8"/>
      <c r="IZ13" s="8"/>
      <c r="JA13" s="8"/>
      <c r="JB13" s="8"/>
      <c r="JC13" s="69"/>
      <c r="JD13" s="7"/>
      <c r="JE13" s="7"/>
      <c r="JF13" s="8"/>
      <c r="JG13" s="8"/>
      <c r="JH13" s="8"/>
      <c r="JI13" s="8"/>
      <c r="JJ13" s="8"/>
      <c r="JK13" s="7"/>
      <c r="JL13" s="7"/>
      <c r="JM13" s="8"/>
      <c r="JN13" s="8"/>
      <c r="JO13" s="8"/>
      <c r="JP13" s="8"/>
      <c r="JQ13" s="8"/>
      <c r="JR13" s="7"/>
      <c r="JS13" s="7"/>
      <c r="JT13" s="69"/>
      <c r="JU13" s="8"/>
      <c r="JV13" s="8"/>
      <c r="JW13" s="8"/>
      <c r="JX13" s="8"/>
      <c r="JY13" s="87"/>
      <c r="JZ13" s="184"/>
      <c r="KA13" s="69"/>
      <c r="KB13" s="8"/>
      <c r="KC13" s="8"/>
      <c r="KD13" s="8"/>
      <c r="KE13" s="8"/>
      <c r="KF13" s="7"/>
      <c r="KG13" s="7"/>
      <c r="KH13" s="66" t="s">
        <v>1</v>
      </c>
      <c r="KI13" s="66" t="s">
        <v>1</v>
      </c>
      <c r="KJ13" s="66" t="s">
        <v>1</v>
      </c>
      <c r="KK13" s="66" t="s">
        <v>1</v>
      </c>
      <c r="KL13" s="66" t="s">
        <v>1</v>
      </c>
      <c r="KM13" s="7"/>
      <c r="KN13" s="7"/>
      <c r="KO13" s="66" t="s">
        <v>1</v>
      </c>
      <c r="KP13" s="66" t="s">
        <v>1</v>
      </c>
      <c r="KQ13" s="66" t="s">
        <v>1</v>
      </c>
      <c r="KR13" s="66" t="s">
        <v>1</v>
      </c>
      <c r="KS13" s="66" t="s">
        <v>1</v>
      </c>
      <c r="KT13" s="7"/>
      <c r="KU13" s="7"/>
      <c r="KV13" s="66" t="s">
        <v>1</v>
      </c>
      <c r="KW13" s="66" t="s">
        <v>1</v>
      </c>
      <c r="KX13" s="66" t="s">
        <v>1</v>
      </c>
      <c r="KY13" s="66" t="s">
        <v>1</v>
      </c>
      <c r="KZ13" s="66" t="s">
        <v>1</v>
      </c>
      <c r="LA13" s="7"/>
      <c r="LB13" s="7"/>
      <c r="LC13" s="8"/>
      <c r="LD13" s="8"/>
      <c r="LE13" s="148"/>
      <c r="LF13" s="147"/>
      <c r="LG13" s="8"/>
      <c r="LH13" s="7"/>
      <c r="LI13" s="7"/>
      <c r="LJ13" s="8"/>
      <c r="LK13" s="8"/>
      <c r="LL13" s="8"/>
      <c r="LM13" s="8"/>
      <c r="LN13" s="8"/>
      <c r="LO13" s="7"/>
      <c r="LP13" s="7"/>
      <c r="LQ13" s="8"/>
      <c r="LR13" s="8"/>
      <c r="LS13" s="8"/>
      <c r="LT13" s="8"/>
      <c r="LU13" s="8"/>
      <c r="LV13" s="7"/>
      <c r="LW13" s="7"/>
      <c r="LX13" s="8"/>
      <c r="LY13" s="8"/>
      <c r="LZ13" s="8"/>
      <c r="MA13" s="8"/>
      <c r="MB13" s="8"/>
      <c r="MC13" s="7"/>
      <c r="MD13" s="7"/>
      <c r="ME13" s="8"/>
      <c r="MF13" s="8"/>
      <c r="MG13" s="8"/>
      <c r="MH13" s="148"/>
      <c r="MI13" s="147"/>
      <c r="MJ13" s="7"/>
      <c r="MK13" s="7"/>
      <c r="ML13" s="8"/>
      <c r="MM13" s="8"/>
      <c r="MN13" s="8"/>
      <c r="MO13" s="8"/>
      <c r="MP13" s="8"/>
      <c r="MQ13" s="7"/>
      <c r="MR13" s="7"/>
      <c r="MS13" s="8"/>
      <c r="MT13" s="8"/>
      <c r="MU13" s="8"/>
      <c r="MV13" s="8"/>
      <c r="MW13" s="8"/>
      <c r="MX13" s="7"/>
      <c r="MY13" s="7"/>
      <c r="MZ13" s="8"/>
      <c r="NA13" s="8"/>
      <c r="NB13" s="8"/>
      <c r="NC13" s="8"/>
      <c r="ND13" s="8"/>
      <c r="NE13" s="7"/>
      <c r="NF13" s="7"/>
      <c r="NG13" s="8"/>
      <c r="NH13" s="8"/>
      <c r="NI13" s="8"/>
      <c r="NJ13" s="8"/>
      <c r="NK13" s="69"/>
      <c r="NL13" s="7"/>
      <c r="NM13" s="184"/>
    </row>
    <row r="14" spans="1:377" customFormat="1" ht="15.75" customHeight="1" thickBot="1">
      <c r="A14" s="1"/>
      <c r="B14" s="29" t="s">
        <v>40</v>
      </c>
      <c r="C14" s="29" t="s">
        <v>30</v>
      </c>
      <c r="D14" s="29" t="s">
        <v>31</v>
      </c>
      <c r="E14" s="37">
        <v>0</v>
      </c>
      <c r="F14" s="29">
        <v>23</v>
      </c>
      <c r="G14" s="29">
        <v>0</v>
      </c>
      <c r="H14" s="29">
        <f t="shared" si="0"/>
        <v>8</v>
      </c>
      <c r="I14" s="30">
        <f t="shared" si="1"/>
        <v>-3</v>
      </c>
      <c r="J14" s="30">
        <f t="shared" si="2"/>
        <v>0</v>
      </c>
      <c r="K14" s="71">
        <f t="shared" si="3"/>
        <v>9</v>
      </c>
      <c r="L14" s="183"/>
      <c r="M14" s="7"/>
      <c r="N14" s="8"/>
      <c r="O14" s="8"/>
      <c r="P14" s="8"/>
      <c r="Q14" s="8"/>
      <c r="R14" s="69"/>
      <c r="S14" s="7"/>
      <c r="T14" s="7"/>
      <c r="U14" s="8"/>
      <c r="V14" s="8"/>
      <c r="W14" s="8"/>
      <c r="X14" s="8"/>
      <c r="Y14" s="8"/>
      <c r="Z14" s="7"/>
      <c r="AA14" s="7"/>
      <c r="AB14" s="8"/>
      <c r="AC14" s="8"/>
      <c r="AD14" s="8"/>
      <c r="AE14" s="8"/>
      <c r="AF14" s="8"/>
      <c r="AG14" s="7"/>
      <c r="AH14" s="7"/>
      <c r="AI14" s="8"/>
      <c r="AJ14" s="8"/>
      <c r="AK14" s="8"/>
      <c r="AL14" s="8"/>
      <c r="AM14" s="8"/>
      <c r="AN14" s="87"/>
      <c r="AO14" s="87"/>
      <c r="AP14" s="199"/>
      <c r="AQ14" s="81"/>
      <c r="AR14" s="81"/>
      <c r="AS14" s="81"/>
      <c r="AT14" s="81"/>
      <c r="AU14" s="80"/>
      <c r="AV14" s="80"/>
      <c r="AW14" s="81"/>
      <c r="AX14" s="81"/>
      <c r="AY14" s="81"/>
      <c r="AZ14" s="81"/>
      <c r="BA14" s="81"/>
      <c r="BB14" s="80"/>
      <c r="BC14" s="80"/>
      <c r="BD14" s="81"/>
      <c r="BE14" s="81"/>
      <c r="BF14" s="81"/>
      <c r="BG14" s="81"/>
      <c r="BH14" s="81"/>
      <c r="BI14" s="80"/>
      <c r="BJ14" s="80"/>
      <c r="BK14" s="81"/>
      <c r="BL14" s="81"/>
      <c r="BM14" s="81"/>
      <c r="BN14" s="81"/>
      <c r="BO14" s="81"/>
      <c r="BP14" s="80"/>
      <c r="BQ14" s="80"/>
      <c r="BR14" s="81"/>
      <c r="BS14" s="81"/>
      <c r="BT14" s="86"/>
      <c r="BU14" s="28"/>
      <c r="BV14" s="28"/>
      <c r="BW14" s="7"/>
      <c r="BX14" s="7"/>
      <c r="BY14" s="28"/>
      <c r="BZ14" s="28"/>
      <c r="CA14" s="28"/>
      <c r="CB14" s="28"/>
      <c r="CC14" s="28"/>
      <c r="CD14" s="7"/>
      <c r="CE14" s="7"/>
      <c r="CF14" s="28"/>
      <c r="CG14" s="28"/>
      <c r="CH14" s="28"/>
      <c r="CI14" s="28"/>
      <c r="CJ14" s="28"/>
      <c r="CK14" s="7"/>
      <c r="CL14" s="7"/>
      <c r="CM14" s="28"/>
      <c r="CN14" s="218"/>
      <c r="CO14" s="216"/>
      <c r="CP14" s="28"/>
      <c r="CQ14" s="69"/>
      <c r="CR14" s="7"/>
      <c r="CS14" s="7"/>
      <c r="CT14" s="69"/>
      <c r="CU14" s="28"/>
      <c r="CV14" s="28"/>
      <c r="CW14" s="28"/>
      <c r="CX14" s="186"/>
      <c r="CY14" s="183"/>
      <c r="CZ14" s="7"/>
      <c r="DA14" s="66" t="s">
        <v>1</v>
      </c>
      <c r="DB14" s="66" t="s">
        <v>1</v>
      </c>
      <c r="DC14" s="66" t="s">
        <v>1</v>
      </c>
      <c r="DD14" s="66" t="s">
        <v>1</v>
      </c>
      <c r="DE14" s="66" t="s">
        <v>1</v>
      </c>
      <c r="DF14" s="7"/>
      <c r="DG14" s="7"/>
      <c r="DH14" s="8"/>
      <c r="DI14" s="8"/>
      <c r="DJ14" s="8"/>
      <c r="DK14" s="8"/>
      <c r="DL14" s="8"/>
      <c r="DM14" s="7"/>
      <c r="DN14" s="7"/>
      <c r="DO14" s="8"/>
      <c r="DP14" s="8"/>
      <c r="DQ14" s="8"/>
      <c r="DR14" s="8"/>
      <c r="DS14" s="8"/>
      <c r="DT14" s="7"/>
      <c r="DU14" s="7"/>
      <c r="DV14" s="8"/>
      <c r="DW14" s="8"/>
      <c r="DX14" s="8"/>
      <c r="DY14" s="8"/>
      <c r="DZ14" s="8"/>
      <c r="EA14" s="7"/>
      <c r="EB14" s="87"/>
      <c r="EC14" s="148"/>
      <c r="ED14" s="147"/>
      <c r="EE14" s="8"/>
      <c r="EF14" s="8"/>
      <c r="EG14" s="8"/>
      <c r="EH14" s="7"/>
      <c r="EI14" s="7"/>
      <c r="EJ14" s="8"/>
      <c r="EK14" s="8"/>
      <c r="EL14" s="8"/>
      <c r="EM14" s="8"/>
      <c r="EN14" s="8"/>
      <c r="EO14" s="7"/>
      <c r="EP14" s="7"/>
      <c r="EQ14" s="8"/>
      <c r="ER14" s="8"/>
      <c r="ES14" s="8"/>
      <c r="ET14" s="8"/>
      <c r="EU14" s="8"/>
      <c r="EV14" s="7"/>
      <c r="EW14" s="7"/>
      <c r="EX14" s="69"/>
      <c r="EY14" s="8"/>
      <c r="EZ14" s="8"/>
      <c r="FA14" s="8"/>
      <c r="FB14" s="8"/>
      <c r="FC14" s="7"/>
      <c r="FD14" s="7"/>
      <c r="FE14" s="8"/>
      <c r="FF14" s="8"/>
      <c r="FG14" s="8"/>
      <c r="FH14" s="148"/>
      <c r="FI14" s="147"/>
      <c r="FJ14" s="7"/>
      <c r="FK14" s="7"/>
      <c r="FL14" s="8"/>
      <c r="FM14" s="8"/>
      <c r="FN14" s="8"/>
      <c r="FO14" s="8"/>
      <c r="FP14" s="8"/>
      <c r="FQ14" s="7"/>
      <c r="FR14" s="7"/>
      <c r="FS14" s="8"/>
      <c r="FT14" s="8"/>
      <c r="FU14" s="8"/>
      <c r="FV14" s="8"/>
      <c r="FW14" s="8"/>
      <c r="FX14" s="7"/>
      <c r="FY14" s="7"/>
      <c r="FZ14" s="69"/>
      <c r="GA14" s="69"/>
      <c r="GB14" s="8"/>
      <c r="GC14" s="8"/>
      <c r="GD14" s="8"/>
      <c r="GE14" s="7"/>
      <c r="GF14" s="7"/>
      <c r="GG14" s="8"/>
      <c r="GH14" s="8"/>
      <c r="GI14" s="8"/>
      <c r="GJ14" s="8"/>
      <c r="GK14" s="8"/>
      <c r="GL14" s="184"/>
      <c r="GM14" s="183"/>
      <c r="GN14" s="8"/>
      <c r="GO14" s="8"/>
      <c r="GP14" s="8"/>
      <c r="GQ14" s="8"/>
      <c r="GR14" s="8"/>
      <c r="GS14" s="7"/>
      <c r="GT14" s="7"/>
      <c r="GU14" s="69"/>
      <c r="GV14" s="8"/>
      <c r="GW14" s="8"/>
      <c r="GX14" s="8"/>
      <c r="GY14" s="8"/>
      <c r="GZ14" s="7"/>
      <c r="HA14" s="7"/>
      <c r="HB14" s="8"/>
      <c r="HC14" s="8"/>
      <c r="HD14" s="8"/>
      <c r="HE14" s="8"/>
      <c r="HF14" s="8"/>
      <c r="HG14" s="7"/>
      <c r="HH14" s="7"/>
      <c r="HI14" s="8"/>
      <c r="HJ14" s="8"/>
      <c r="HK14" s="8"/>
      <c r="HL14" s="8"/>
      <c r="HM14" s="69"/>
      <c r="HN14" s="7"/>
      <c r="HO14" s="7"/>
      <c r="HP14" s="8"/>
      <c r="HQ14" s="148"/>
      <c r="HR14" s="69"/>
      <c r="HS14" s="66" t="s">
        <v>3</v>
      </c>
      <c r="HT14" s="8"/>
      <c r="HU14" s="7"/>
      <c r="HV14" s="7"/>
      <c r="HW14" s="8"/>
      <c r="HX14" s="8"/>
      <c r="HY14" s="8"/>
      <c r="HZ14" s="8"/>
      <c r="IA14" s="8"/>
      <c r="IB14" s="7"/>
      <c r="IC14" s="7"/>
      <c r="ID14" s="8"/>
      <c r="IE14" s="8"/>
      <c r="IF14" s="8"/>
      <c r="IG14" s="8"/>
      <c r="IH14" s="8"/>
      <c r="II14" s="7"/>
      <c r="IJ14" s="7"/>
      <c r="IK14" s="68" t="s">
        <v>7</v>
      </c>
      <c r="IL14" s="68" t="s">
        <v>7</v>
      </c>
      <c r="IM14" s="68" t="s">
        <v>7</v>
      </c>
      <c r="IN14" s="68" t="s">
        <v>7</v>
      </c>
      <c r="IO14" s="68" t="s">
        <v>7</v>
      </c>
      <c r="IP14" s="7"/>
      <c r="IQ14" s="7"/>
      <c r="IR14" s="68" t="s">
        <v>7</v>
      </c>
      <c r="IS14" s="68" t="s">
        <v>7</v>
      </c>
      <c r="IT14" s="68" t="s">
        <v>7</v>
      </c>
      <c r="IU14" s="68" t="s">
        <v>7</v>
      </c>
      <c r="IV14" s="147"/>
      <c r="IW14" s="7"/>
      <c r="IX14" s="7"/>
      <c r="IY14" s="8"/>
      <c r="IZ14" s="8"/>
      <c r="JA14" s="8"/>
      <c r="JB14" s="66" t="s">
        <v>3</v>
      </c>
      <c r="JC14" s="69"/>
      <c r="JD14" s="7"/>
      <c r="JE14" s="7"/>
      <c r="JF14" s="8"/>
      <c r="JG14" s="8"/>
      <c r="JH14" s="8"/>
      <c r="JI14" s="8"/>
      <c r="JJ14" s="8"/>
      <c r="JK14" s="7"/>
      <c r="JL14" s="7"/>
      <c r="JM14" s="8"/>
      <c r="JN14" s="8"/>
      <c r="JO14" s="8"/>
      <c r="JP14" s="8"/>
      <c r="JQ14" s="8"/>
      <c r="JR14" s="7"/>
      <c r="JS14" s="7"/>
      <c r="JT14" s="69"/>
      <c r="JU14" s="8"/>
      <c r="JV14" s="8"/>
      <c r="JW14" s="8"/>
      <c r="JX14" s="8"/>
      <c r="JY14" s="87"/>
      <c r="JZ14" s="184"/>
      <c r="KA14" s="69"/>
      <c r="KB14" s="8"/>
      <c r="KC14" s="8"/>
      <c r="KD14" s="8"/>
      <c r="KE14" s="8"/>
      <c r="KF14" s="7"/>
      <c r="KG14" s="7"/>
      <c r="KH14" s="8"/>
      <c r="KI14" s="8"/>
      <c r="KJ14" s="8"/>
      <c r="KK14" s="8"/>
      <c r="KL14" s="8"/>
      <c r="KM14" s="7"/>
      <c r="KN14" s="7"/>
      <c r="KO14" s="8"/>
      <c r="KP14" s="8"/>
      <c r="KQ14" s="8"/>
      <c r="KR14" s="8"/>
      <c r="KS14" s="8"/>
      <c r="KT14" s="7"/>
      <c r="KU14" s="7"/>
      <c r="KV14" s="8"/>
      <c r="KW14" s="8"/>
      <c r="KX14" s="8"/>
      <c r="KY14" s="8"/>
      <c r="KZ14" s="8"/>
      <c r="LA14" s="7"/>
      <c r="LB14" s="7"/>
      <c r="LC14" s="8"/>
      <c r="LD14" s="8"/>
      <c r="LE14" s="148"/>
      <c r="LF14" s="147"/>
      <c r="LG14" s="8"/>
      <c r="LH14" s="7"/>
      <c r="LI14" s="7"/>
      <c r="LJ14" s="8"/>
      <c r="LK14" s="8"/>
      <c r="LL14" s="8"/>
      <c r="LM14" s="8"/>
      <c r="LN14" s="8"/>
      <c r="LO14" s="7"/>
      <c r="LP14" s="7"/>
      <c r="LQ14" s="8"/>
      <c r="LR14" s="8"/>
      <c r="LS14" s="8"/>
      <c r="LT14" s="8"/>
      <c r="LU14" s="8"/>
      <c r="LV14" s="7"/>
      <c r="LW14" s="7"/>
      <c r="LX14" s="8"/>
      <c r="LY14" s="8"/>
      <c r="LZ14" s="8"/>
      <c r="MA14" s="8"/>
      <c r="MB14" s="8"/>
      <c r="MC14" s="7"/>
      <c r="MD14" s="7"/>
      <c r="ME14" s="66" t="s">
        <v>1</v>
      </c>
      <c r="MF14" s="66" t="s">
        <v>1</v>
      </c>
      <c r="MG14" s="66" t="s">
        <v>1</v>
      </c>
      <c r="MH14" s="66" t="s">
        <v>1</v>
      </c>
      <c r="MI14" s="66" t="s">
        <v>1</v>
      </c>
      <c r="MJ14" s="7"/>
      <c r="MK14" s="7"/>
      <c r="ML14" s="66" t="s">
        <v>1</v>
      </c>
      <c r="MM14" s="66" t="s">
        <v>1</v>
      </c>
      <c r="MN14" s="66" t="s">
        <v>1</v>
      </c>
      <c r="MO14" s="66" t="s">
        <v>1</v>
      </c>
      <c r="MP14" s="66" t="s">
        <v>1</v>
      </c>
      <c r="MQ14" s="7"/>
      <c r="MR14" s="7"/>
      <c r="MS14" s="8"/>
      <c r="MT14" s="8"/>
      <c r="MU14" s="8"/>
      <c r="MV14" s="8"/>
      <c r="MW14" s="8"/>
      <c r="MX14" s="7"/>
      <c r="MY14" s="7"/>
      <c r="MZ14" s="8"/>
      <c r="NA14" s="8"/>
      <c r="NB14" s="8"/>
      <c r="NC14" s="8"/>
      <c r="ND14" s="66" t="s">
        <v>3</v>
      </c>
      <c r="NE14" s="7"/>
      <c r="NF14" s="7"/>
      <c r="NG14" s="8"/>
      <c r="NH14" s="8"/>
      <c r="NI14" s="8"/>
      <c r="NJ14" s="8"/>
      <c r="NK14" s="69"/>
      <c r="NL14" s="7"/>
      <c r="NM14" s="184"/>
    </row>
    <row r="15" spans="1:377" customFormat="1" ht="15.75" hidden="1" thickBot="1">
      <c r="A15" s="1"/>
      <c r="B15" s="29" t="s">
        <v>44</v>
      </c>
      <c r="C15" s="29" t="s">
        <v>36</v>
      </c>
      <c r="D15" s="29" t="s">
        <v>31</v>
      </c>
      <c r="E15" s="37">
        <v>0</v>
      </c>
      <c r="F15" s="29">
        <v>23</v>
      </c>
      <c r="G15" s="29">
        <v>2</v>
      </c>
      <c r="H15" s="29">
        <f t="shared" si="0"/>
        <v>7</v>
      </c>
      <c r="I15" s="30">
        <f t="shared" si="1"/>
        <v>0</v>
      </c>
      <c r="J15" s="30">
        <f t="shared" si="2"/>
        <v>0</v>
      </c>
      <c r="K15" s="71">
        <f t="shared" si="3"/>
        <v>0</v>
      </c>
      <c r="L15" s="183"/>
      <c r="M15" s="7"/>
      <c r="N15" s="8"/>
      <c r="O15" s="8"/>
      <c r="P15" s="8"/>
      <c r="Q15" s="8"/>
      <c r="R15" s="69"/>
      <c r="S15" s="7"/>
      <c r="T15" s="7"/>
      <c r="U15" s="69"/>
      <c r="V15" s="8"/>
      <c r="W15" s="8"/>
      <c r="X15" s="8"/>
      <c r="Y15" s="8"/>
      <c r="Z15" s="7"/>
      <c r="AA15" s="7"/>
      <c r="AB15" s="69"/>
      <c r="AC15" s="8"/>
      <c r="AD15" s="8"/>
      <c r="AE15" s="8"/>
      <c r="AF15" s="8"/>
      <c r="AG15" s="7"/>
      <c r="AH15" s="7"/>
      <c r="AI15" s="69"/>
      <c r="AJ15" s="8"/>
      <c r="AK15" s="8"/>
      <c r="AL15" s="8"/>
      <c r="AM15" s="8"/>
      <c r="AN15" s="87"/>
      <c r="AO15" s="184"/>
      <c r="AP15" s="204"/>
      <c r="AQ15" s="128"/>
      <c r="AR15" s="128"/>
      <c r="AS15" s="128"/>
      <c r="AT15" s="128"/>
      <c r="AU15" s="129"/>
      <c r="AV15" s="129"/>
      <c r="AW15" s="128"/>
      <c r="AX15" s="128"/>
      <c r="AY15" s="128"/>
      <c r="AZ15" s="128"/>
      <c r="BA15" s="128"/>
      <c r="BB15" s="129"/>
      <c r="BC15" s="129"/>
      <c r="BD15" s="128"/>
      <c r="BE15" s="128"/>
      <c r="BF15" s="128"/>
      <c r="BG15" s="128"/>
      <c r="BH15" s="128"/>
      <c r="BI15" s="129"/>
      <c r="BJ15" s="129"/>
      <c r="BK15" s="128"/>
      <c r="BL15" s="128"/>
      <c r="BM15" s="128"/>
      <c r="BN15" s="128"/>
      <c r="BO15" s="128"/>
      <c r="BP15" s="129"/>
      <c r="BQ15" s="129"/>
      <c r="BR15" s="128"/>
      <c r="BS15" s="128"/>
      <c r="BT15" s="205"/>
      <c r="BU15" s="147"/>
      <c r="BV15" s="28"/>
      <c r="BW15" s="7"/>
      <c r="BX15" s="7"/>
      <c r="BY15" s="28"/>
      <c r="BZ15" s="28"/>
      <c r="CA15" s="28"/>
      <c r="CB15" s="28"/>
      <c r="CC15" s="28"/>
      <c r="CD15" s="7"/>
      <c r="CE15" s="7"/>
      <c r="CF15" s="28"/>
      <c r="CG15" s="28"/>
      <c r="CH15" s="28"/>
      <c r="CI15" s="28"/>
      <c r="CJ15" s="28"/>
      <c r="CK15" s="7"/>
      <c r="CL15" s="7"/>
      <c r="CM15" s="28"/>
      <c r="CN15" s="28"/>
      <c r="CO15" s="221"/>
      <c r="CP15" s="28"/>
      <c r="CQ15" s="28"/>
      <c r="CR15" s="7"/>
      <c r="CS15" s="7"/>
      <c r="CT15" s="28"/>
      <c r="CU15" s="28"/>
      <c r="CV15" s="28"/>
      <c r="CW15" s="28"/>
      <c r="CX15" s="186"/>
      <c r="CY15" s="183"/>
      <c r="CZ15" s="7"/>
      <c r="DA15" s="8"/>
      <c r="DB15" s="8"/>
      <c r="DC15" s="8"/>
      <c r="DD15" s="8"/>
      <c r="DE15" s="8"/>
      <c r="DF15" s="7"/>
      <c r="DG15" s="7"/>
      <c r="DH15" s="8"/>
      <c r="DI15" s="66" t="s">
        <v>3</v>
      </c>
      <c r="DJ15" s="66" t="s">
        <v>3</v>
      </c>
      <c r="DK15" s="66" t="s">
        <v>1</v>
      </c>
      <c r="DL15" s="66" t="s">
        <v>1</v>
      </c>
      <c r="DM15" s="7"/>
      <c r="DN15" s="7"/>
      <c r="DO15" s="66" t="s">
        <v>1</v>
      </c>
      <c r="DP15" s="66" t="s">
        <v>1</v>
      </c>
      <c r="DQ15" s="8"/>
      <c r="DR15" s="8"/>
      <c r="DS15" s="8"/>
      <c r="DT15" s="7"/>
      <c r="DU15" s="7"/>
      <c r="DV15" s="8"/>
      <c r="DW15" s="8"/>
      <c r="DX15" s="8"/>
      <c r="DY15" s="8"/>
      <c r="DZ15" s="8"/>
      <c r="EA15" s="7"/>
      <c r="EB15" s="87"/>
      <c r="EC15" s="148"/>
      <c r="ED15" s="147"/>
      <c r="EE15" s="8"/>
      <c r="EF15" s="8"/>
      <c r="EG15" s="8"/>
      <c r="EH15" s="7"/>
      <c r="EI15" s="7"/>
      <c r="EJ15" s="8"/>
      <c r="EK15" s="8"/>
      <c r="EL15" s="8"/>
      <c r="EM15" s="8"/>
      <c r="EN15" s="8"/>
      <c r="EO15" s="7"/>
      <c r="EP15" s="7"/>
      <c r="EQ15" s="8"/>
      <c r="ER15" s="69"/>
      <c r="ES15" s="8"/>
      <c r="ET15" s="8"/>
      <c r="EU15" s="8"/>
      <c r="EV15" s="7"/>
      <c r="EW15" s="7"/>
      <c r="EX15" s="8"/>
      <c r="EY15" s="8"/>
      <c r="EZ15" s="8"/>
      <c r="FA15" s="8"/>
      <c r="FB15" s="8"/>
      <c r="FC15" s="7"/>
      <c r="FD15" s="7"/>
      <c r="FE15" s="8"/>
      <c r="FF15" s="8"/>
      <c r="FG15" s="8"/>
      <c r="FH15" s="148"/>
      <c r="FI15" s="147"/>
      <c r="FJ15" s="7"/>
      <c r="FK15" s="7"/>
      <c r="FL15" s="8"/>
      <c r="FM15" s="8"/>
      <c r="FN15" s="8"/>
      <c r="FO15" s="8"/>
      <c r="FP15" s="8"/>
      <c r="FQ15" s="7"/>
      <c r="FR15" s="7"/>
      <c r="FS15" s="8"/>
      <c r="FT15" s="8"/>
      <c r="FU15" s="8"/>
      <c r="FV15" s="8"/>
      <c r="FW15" s="8"/>
      <c r="FX15" s="7"/>
      <c r="FY15" s="7"/>
      <c r="FZ15" s="28"/>
      <c r="GA15" s="28"/>
      <c r="GB15" s="8"/>
      <c r="GC15" s="8"/>
      <c r="GD15" s="8"/>
      <c r="GE15" s="7"/>
      <c r="GF15" s="7"/>
      <c r="GG15" s="66" t="s">
        <v>1</v>
      </c>
      <c r="GH15" s="66" t="s">
        <v>1</v>
      </c>
      <c r="GI15" s="66" t="s">
        <v>1</v>
      </c>
      <c r="GJ15" s="66" t="s">
        <v>1</v>
      </c>
      <c r="GK15" s="66" t="s">
        <v>1</v>
      </c>
      <c r="GL15" s="184"/>
      <c r="GM15" s="183"/>
      <c r="GN15" s="8"/>
      <c r="GO15" s="8"/>
      <c r="GP15" s="8"/>
      <c r="GQ15" s="8"/>
      <c r="GR15" s="8"/>
      <c r="GS15" s="7"/>
      <c r="GT15" s="7"/>
      <c r="GU15" s="69"/>
      <c r="GV15" s="66" t="s">
        <v>1</v>
      </c>
      <c r="GW15" s="66" t="s">
        <v>1</v>
      </c>
      <c r="GX15" s="69"/>
      <c r="GY15" s="66" t="s">
        <v>1</v>
      </c>
      <c r="GZ15" s="7"/>
      <c r="HA15" s="7"/>
      <c r="HB15" s="8"/>
      <c r="HC15" s="8"/>
      <c r="HD15" s="8"/>
      <c r="HE15" s="8"/>
      <c r="HF15" s="8"/>
      <c r="HG15" s="7"/>
      <c r="HH15" s="7"/>
      <c r="HI15" s="8"/>
      <c r="HJ15" s="8"/>
      <c r="HK15" s="8"/>
      <c r="HL15" s="8"/>
      <c r="HM15" s="28"/>
      <c r="HN15" s="7"/>
      <c r="HO15" s="7"/>
      <c r="HP15" s="66" t="s">
        <v>1</v>
      </c>
      <c r="HQ15" s="66" t="s">
        <v>1</v>
      </c>
      <c r="HR15" s="69"/>
      <c r="HS15" s="66" t="s">
        <v>1</v>
      </c>
      <c r="HT15" s="66" t="s">
        <v>1</v>
      </c>
      <c r="HU15" s="7"/>
      <c r="HV15" s="7"/>
      <c r="HW15" s="8"/>
      <c r="HX15" s="8"/>
      <c r="HY15" s="8"/>
      <c r="HZ15" s="8"/>
      <c r="IA15" s="8"/>
      <c r="IB15" s="7"/>
      <c r="IC15" s="7"/>
      <c r="ID15" s="8"/>
      <c r="IE15" s="8"/>
      <c r="IF15" s="8"/>
      <c r="IG15" s="8"/>
      <c r="IH15" s="8"/>
      <c r="II15" s="7"/>
      <c r="IJ15" s="7"/>
      <c r="IK15" s="8"/>
      <c r="IL15" s="8"/>
      <c r="IM15" s="8"/>
      <c r="IN15" s="8"/>
      <c r="IO15" s="8"/>
      <c r="IP15" s="7"/>
      <c r="IQ15" s="7"/>
      <c r="IR15" s="8"/>
      <c r="IS15" s="8"/>
      <c r="IT15" s="8"/>
      <c r="IU15" s="148"/>
      <c r="IV15" s="147"/>
      <c r="IW15" s="7"/>
      <c r="IX15" s="7"/>
      <c r="IY15" s="8"/>
      <c r="IZ15" s="8"/>
      <c r="JA15" s="69"/>
      <c r="JB15" s="8"/>
      <c r="JC15" s="69"/>
      <c r="JD15" s="7"/>
      <c r="JE15" s="7"/>
      <c r="JF15" s="8"/>
      <c r="JG15" s="8"/>
      <c r="JH15" s="8"/>
      <c r="JI15" s="8"/>
      <c r="JJ15" s="8"/>
      <c r="JK15" s="7"/>
      <c r="JL15" s="7"/>
      <c r="JM15" s="8"/>
      <c r="JN15" s="8"/>
      <c r="JO15" s="8"/>
      <c r="JP15" s="8"/>
      <c r="JQ15" s="8"/>
      <c r="JR15" s="7"/>
      <c r="JS15" s="7"/>
      <c r="JT15" s="69"/>
      <c r="JU15" s="8"/>
      <c r="JV15" s="8"/>
      <c r="JW15" s="8"/>
      <c r="JX15" s="8"/>
      <c r="JY15" s="87"/>
      <c r="JZ15" s="184"/>
      <c r="KA15" s="69"/>
      <c r="KB15" s="8"/>
      <c r="KC15" s="8"/>
      <c r="KD15" s="8"/>
      <c r="KE15" s="8"/>
      <c r="KF15" s="7"/>
      <c r="KG15" s="7"/>
      <c r="KH15" s="8"/>
      <c r="KI15" s="8"/>
      <c r="KJ15" s="8"/>
      <c r="KK15" s="8"/>
      <c r="KL15" s="8"/>
      <c r="KM15" s="7"/>
      <c r="KN15" s="7"/>
      <c r="KO15" s="8"/>
      <c r="KP15" s="8"/>
      <c r="KQ15" s="8"/>
      <c r="KR15" s="8"/>
      <c r="KS15" s="8"/>
      <c r="KT15" s="7"/>
      <c r="KU15" s="7"/>
      <c r="KV15" s="8"/>
      <c r="KW15" s="8"/>
      <c r="KX15" s="8"/>
      <c r="KY15" s="8"/>
      <c r="KZ15" s="8"/>
      <c r="LA15" s="7"/>
      <c r="LB15" s="7"/>
      <c r="LC15" s="8"/>
      <c r="LD15" s="8"/>
      <c r="LE15" s="148"/>
      <c r="LF15" s="147"/>
      <c r="LG15" s="8"/>
      <c r="LH15" s="7"/>
      <c r="LI15" s="7"/>
      <c r="LJ15" s="8"/>
      <c r="LK15" s="8"/>
      <c r="LL15" s="8"/>
      <c r="LM15" s="8"/>
      <c r="LN15" s="8"/>
      <c r="LO15" s="7"/>
      <c r="LP15" s="7"/>
      <c r="LQ15" s="8"/>
      <c r="LR15" s="8"/>
      <c r="LS15" s="8"/>
      <c r="LT15" s="8"/>
      <c r="LU15" s="8"/>
      <c r="LV15" s="7"/>
      <c r="LW15" s="7"/>
      <c r="LX15" s="8"/>
      <c r="LY15" s="8"/>
      <c r="LZ15" s="8"/>
      <c r="MA15" s="8"/>
      <c r="MB15" s="8"/>
      <c r="MC15" s="7"/>
      <c r="MD15" s="7"/>
      <c r="ME15" s="8"/>
      <c r="MF15" s="8"/>
      <c r="MG15" s="8"/>
      <c r="MH15" s="148"/>
      <c r="MI15" s="147"/>
      <c r="MJ15" s="7"/>
      <c r="MK15" s="7"/>
      <c r="ML15" s="8"/>
      <c r="MM15" s="8"/>
      <c r="MN15" s="8"/>
      <c r="MO15" s="8"/>
      <c r="MP15" s="8"/>
      <c r="MQ15" s="7"/>
      <c r="MR15" s="7"/>
      <c r="MS15" s="8"/>
      <c r="MT15" s="8"/>
      <c r="MU15" s="8"/>
      <c r="MV15" s="8"/>
      <c r="MW15" s="8"/>
      <c r="MX15" s="7"/>
      <c r="MY15" s="7"/>
      <c r="MZ15" s="8"/>
      <c r="NA15" s="8"/>
      <c r="NB15" s="8"/>
      <c r="NC15" s="8"/>
      <c r="ND15" s="8"/>
      <c r="NE15" s="7"/>
      <c r="NF15" s="7"/>
      <c r="NG15" s="8"/>
      <c r="NH15" s="8"/>
      <c r="NI15" s="8"/>
      <c r="NJ15" s="8"/>
      <c r="NK15" s="8"/>
      <c r="NL15" s="7"/>
      <c r="NM15" s="184"/>
    </row>
    <row r="16" spans="1:377" customFormat="1" ht="15.75" customHeight="1">
      <c r="A16" s="1"/>
      <c r="B16" s="29" t="s">
        <v>53</v>
      </c>
      <c r="C16" s="29" t="s">
        <v>30</v>
      </c>
      <c r="D16" s="29" t="s">
        <v>31</v>
      </c>
      <c r="E16" s="37">
        <v>0</v>
      </c>
      <c r="F16" s="29">
        <v>23</v>
      </c>
      <c r="G16" s="29">
        <v>0</v>
      </c>
      <c r="H16" s="29">
        <f t="shared" si="0"/>
        <v>18</v>
      </c>
      <c r="I16" s="30">
        <f t="shared" si="1"/>
        <v>-1</v>
      </c>
      <c r="J16" s="30">
        <f t="shared" si="2"/>
        <v>0</v>
      </c>
      <c r="K16" s="71">
        <f t="shared" si="3"/>
        <v>4</v>
      </c>
      <c r="L16" s="183"/>
      <c r="M16" s="7"/>
      <c r="N16" s="8"/>
      <c r="O16" s="8"/>
      <c r="P16" s="8"/>
      <c r="Q16" s="8"/>
      <c r="R16" s="69"/>
      <c r="S16" s="7"/>
      <c r="T16" s="7"/>
      <c r="U16" s="8"/>
      <c r="V16" s="8"/>
      <c r="W16" s="8"/>
      <c r="X16" s="8"/>
      <c r="Y16" s="8"/>
      <c r="Z16" s="7"/>
      <c r="AA16" s="7"/>
      <c r="AB16" s="8"/>
      <c r="AC16" s="8"/>
      <c r="AD16" s="8"/>
      <c r="AE16" s="8"/>
      <c r="AF16" s="8"/>
      <c r="AG16" s="7"/>
      <c r="AH16" s="7"/>
      <c r="AI16" s="8"/>
      <c r="AJ16" s="8"/>
      <c r="AK16" s="8"/>
      <c r="AL16" s="8"/>
      <c r="AM16" s="8"/>
      <c r="AN16" s="87"/>
      <c r="AO16" s="87"/>
      <c r="AP16" s="194"/>
      <c r="AQ16" s="68" t="s">
        <v>7</v>
      </c>
      <c r="AR16" s="68" t="s">
        <v>7</v>
      </c>
      <c r="AS16" s="68" t="s">
        <v>7</v>
      </c>
      <c r="AT16" s="68" t="s">
        <v>7</v>
      </c>
      <c r="AU16" s="196"/>
      <c r="AV16" s="196"/>
      <c r="AW16" s="195"/>
      <c r="AX16" s="195"/>
      <c r="AY16" s="195"/>
      <c r="AZ16" s="195"/>
      <c r="BA16" s="195"/>
      <c r="BB16" s="196"/>
      <c r="BC16" s="196"/>
      <c r="BD16" s="195"/>
      <c r="BE16" s="195"/>
      <c r="BF16" s="195"/>
      <c r="BG16" s="195"/>
      <c r="BH16" s="195"/>
      <c r="BI16" s="196"/>
      <c r="BJ16" s="196"/>
      <c r="BK16" s="195"/>
      <c r="BL16" s="195"/>
      <c r="BM16" s="195"/>
      <c r="BN16" s="195"/>
      <c r="BO16" s="195"/>
      <c r="BP16" s="196"/>
      <c r="BQ16" s="196"/>
      <c r="BR16" s="195"/>
      <c r="BS16" s="195"/>
      <c r="BT16" s="197"/>
      <c r="BU16" s="28"/>
      <c r="BV16" s="28"/>
      <c r="BW16" s="7"/>
      <c r="BX16" s="7"/>
      <c r="BY16" s="28"/>
      <c r="BZ16" s="28"/>
      <c r="CA16" s="28"/>
      <c r="CB16" s="28"/>
      <c r="CC16" s="28"/>
      <c r="CD16" s="7"/>
      <c r="CE16" s="7"/>
      <c r="CF16" s="28"/>
      <c r="CG16" s="28"/>
      <c r="CH16" s="66" t="s">
        <v>3</v>
      </c>
      <c r="CI16" s="28"/>
      <c r="CJ16" s="28"/>
      <c r="CK16" s="7"/>
      <c r="CL16" s="7"/>
      <c r="CM16" s="28"/>
      <c r="CN16" s="218"/>
      <c r="CO16" s="216"/>
      <c r="CP16" s="28"/>
      <c r="CQ16" s="69"/>
      <c r="CR16" s="7"/>
      <c r="CS16" s="7"/>
      <c r="CT16" s="69"/>
      <c r="CU16" s="28"/>
      <c r="CV16" s="28"/>
      <c r="CW16" s="28"/>
      <c r="CX16" s="186"/>
      <c r="CY16" s="183"/>
      <c r="CZ16" s="7"/>
      <c r="DA16" s="8"/>
      <c r="DB16" s="8"/>
      <c r="DC16" s="8"/>
      <c r="DD16" s="8"/>
      <c r="DE16" s="8"/>
      <c r="DF16" s="7"/>
      <c r="DG16" s="7"/>
      <c r="DH16" s="66" t="s">
        <v>1</v>
      </c>
      <c r="DI16" s="66" t="s">
        <v>1</v>
      </c>
      <c r="DJ16" s="66" t="s">
        <v>1</v>
      </c>
      <c r="DK16" s="66" t="s">
        <v>1</v>
      </c>
      <c r="DL16" s="66" t="s">
        <v>1</v>
      </c>
      <c r="DM16" s="7"/>
      <c r="DN16" s="7"/>
      <c r="DO16" s="8"/>
      <c r="DP16" s="8"/>
      <c r="DQ16" s="8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244"/>
      <c r="EC16" s="245"/>
      <c r="ED16" s="246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247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245"/>
      <c r="FI16" s="246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247"/>
      <c r="GA16" s="247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245"/>
      <c r="GM16" s="246"/>
      <c r="GN16" s="32"/>
      <c r="GO16" s="32"/>
      <c r="GP16" s="32"/>
      <c r="GQ16" s="32"/>
      <c r="GR16" s="32"/>
      <c r="GS16" s="32"/>
      <c r="GT16" s="32"/>
      <c r="GU16" s="247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247"/>
      <c r="HN16" s="32"/>
      <c r="HO16" s="32"/>
      <c r="HP16" s="32"/>
      <c r="HQ16" s="245"/>
      <c r="HR16" s="247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245"/>
      <c r="IV16" s="246"/>
      <c r="IW16" s="32"/>
      <c r="IX16" s="32"/>
      <c r="IY16" s="32"/>
      <c r="IZ16" s="32"/>
      <c r="JA16" s="32"/>
      <c r="JB16" s="32"/>
      <c r="JC16" s="247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247"/>
      <c r="JU16" s="32"/>
      <c r="JV16" s="32"/>
      <c r="JW16" s="32"/>
      <c r="JX16" s="32"/>
      <c r="JY16" s="244"/>
      <c r="JZ16" s="245"/>
      <c r="KA16" s="246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245"/>
      <c r="LF16" s="246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245"/>
      <c r="MI16" s="246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245"/>
    </row>
    <row r="17" spans="1:377" customFormat="1" ht="15.75" customHeight="1">
      <c r="A17" s="1"/>
      <c r="B17" s="29" t="s">
        <v>87</v>
      </c>
      <c r="C17" s="29" t="s">
        <v>30</v>
      </c>
      <c r="D17" s="29" t="s">
        <v>31</v>
      </c>
      <c r="E17" s="37">
        <v>0</v>
      </c>
      <c r="F17" s="29">
        <v>23</v>
      </c>
      <c r="G17" s="29">
        <v>0</v>
      </c>
      <c r="H17" s="29">
        <f t="shared" si="0"/>
        <v>9</v>
      </c>
      <c r="I17" s="30">
        <f t="shared" si="1"/>
        <v>0</v>
      </c>
      <c r="J17" s="30">
        <f t="shared" si="2"/>
        <v>0</v>
      </c>
      <c r="K17" s="71">
        <f t="shared" si="3"/>
        <v>0</v>
      </c>
      <c r="L17" s="183"/>
      <c r="M17" s="7"/>
      <c r="N17" s="8"/>
      <c r="O17" s="8"/>
      <c r="P17" s="8"/>
      <c r="Q17" s="8"/>
      <c r="R17" s="69"/>
      <c r="S17" s="7"/>
      <c r="T17" s="7"/>
      <c r="U17" s="8"/>
      <c r="V17" s="8"/>
      <c r="W17" s="8"/>
      <c r="X17" s="8"/>
      <c r="Y17" s="8"/>
      <c r="Z17" s="7"/>
      <c r="AA17" s="7"/>
      <c r="AB17" s="8"/>
      <c r="AC17" s="8"/>
      <c r="AD17" s="8"/>
      <c r="AE17" s="8"/>
      <c r="AF17" s="8"/>
      <c r="AG17" s="7"/>
      <c r="AH17" s="7"/>
      <c r="AI17" s="8"/>
      <c r="AJ17" s="8"/>
      <c r="AK17" s="8"/>
      <c r="AL17" s="8"/>
      <c r="AM17" s="8"/>
      <c r="AN17" s="87"/>
      <c r="AO17" s="87"/>
      <c r="AP17" s="198"/>
      <c r="AQ17" s="8"/>
      <c r="AR17" s="8"/>
      <c r="AS17" s="8"/>
      <c r="AT17" s="8"/>
      <c r="AU17" s="7"/>
      <c r="AV17" s="7"/>
      <c r="AW17" s="8"/>
      <c r="AX17" s="8"/>
      <c r="AY17" s="8"/>
      <c r="AZ17" s="8"/>
      <c r="BA17" s="8"/>
      <c r="BB17" s="7"/>
      <c r="BC17" s="7"/>
      <c r="BD17" s="8"/>
      <c r="BE17" s="8"/>
      <c r="BF17" s="8"/>
      <c r="BG17" s="8"/>
      <c r="BH17" s="8"/>
      <c r="BI17" s="7"/>
      <c r="BJ17" s="7"/>
      <c r="BK17" s="8"/>
      <c r="BL17" s="8"/>
      <c r="BM17" s="8"/>
      <c r="BN17" s="66" t="s">
        <v>1</v>
      </c>
      <c r="BO17" s="66" t="s">
        <v>1</v>
      </c>
      <c r="BP17" s="7"/>
      <c r="BQ17" s="7"/>
      <c r="BR17" s="66" t="s">
        <v>1</v>
      </c>
      <c r="BS17" s="66" t="s">
        <v>1</v>
      </c>
      <c r="BT17" s="200" t="s">
        <v>1</v>
      </c>
      <c r="BU17" s="201" t="s">
        <v>1</v>
      </c>
      <c r="BV17" s="66" t="s">
        <v>1</v>
      </c>
      <c r="BW17" s="7"/>
      <c r="BX17" s="7"/>
      <c r="BY17" s="28"/>
      <c r="BZ17" s="28"/>
      <c r="CA17" s="28"/>
      <c r="CB17" s="28"/>
      <c r="CC17" s="28"/>
      <c r="CD17" s="7"/>
      <c r="CE17" s="7"/>
      <c r="CF17" s="28"/>
      <c r="CG17" s="28"/>
      <c r="CH17" s="28"/>
      <c r="CI17" s="28"/>
      <c r="CJ17" s="28"/>
      <c r="CK17" s="7"/>
      <c r="CL17" s="7"/>
      <c r="CM17" s="28"/>
      <c r="CN17" s="218"/>
      <c r="CO17" s="216"/>
      <c r="CP17" s="28"/>
      <c r="CQ17" s="69"/>
      <c r="CR17" s="7"/>
      <c r="CS17" s="7"/>
      <c r="CT17" s="69"/>
      <c r="CU17" s="28"/>
      <c r="CV17" s="28"/>
      <c r="CW17" s="28"/>
      <c r="CX17" s="186"/>
      <c r="CY17" s="183"/>
      <c r="CZ17" s="7"/>
      <c r="DA17" s="8"/>
      <c r="DB17" s="8"/>
      <c r="DC17" s="8"/>
      <c r="DD17" s="8"/>
      <c r="DE17" s="8"/>
      <c r="DF17" s="7"/>
      <c r="DG17" s="7"/>
      <c r="DH17" s="8"/>
      <c r="DI17" s="8"/>
      <c r="DJ17" s="8"/>
      <c r="DK17" s="8"/>
      <c r="DL17" s="8"/>
      <c r="DM17" s="7"/>
      <c r="DN17" s="7"/>
      <c r="DO17" s="8"/>
      <c r="DP17" s="8"/>
      <c r="DQ17" s="8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244"/>
      <c r="EC17" s="245"/>
      <c r="ED17" s="246"/>
      <c r="EE17" s="32"/>
      <c r="EF17" s="32"/>
      <c r="EG17" s="32"/>
      <c r="EH17" s="32"/>
      <c r="EI17" s="32"/>
      <c r="EJ17" s="32"/>
      <c r="EK17" s="32"/>
      <c r="EL17" s="32"/>
      <c r="EM17" s="248" t="s">
        <v>1</v>
      </c>
      <c r="EN17" s="248" t="s">
        <v>1</v>
      </c>
      <c r="EO17" s="32"/>
      <c r="EP17" s="32"/>
      <c r="EQ17" s="248" t="s">
        <v>1</v>
      </c>
      <c r="ER17" s="247"/>
      <c r="ES17" s="248" t="s">
        <v>1</v>
      </c>
      <c r="ET17" s="248" t="s">
        <v>1</v>
      </c>
      <c r="EU17" s="248" t="s">
        <v>1</v>
      </c>
      <c r="EV17" s="32"/>
      <c r="EW17" s="32"/>
      <c r="EX17" s="32"/>
      <c r="EY17" s="32"/>
      <c r="EZ17" s="32"/>
      <c r="FA17" s="248" t="s">
        <v>1</v>
      </c>
      <c r="FB17" s="32"/>
      <c r="FC17" s="32"/>
      <c r="FD17" s="32"/>
      <c r="FE17" s="32"/>
      <c r="FF17" s="32"/>
      <c r="FG17" s="32"/>
      <c r="FH17" s="245"/>
      <c r="FI17" s="246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247"/>
      <c r="GA17" s="247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245"/>
      <c r="GM17" s="246"/>
      <c r="GN17" s="32"/>
      <c r="GO17" s="32"/>
      <c r="GP17" s="32"/>
      <c r="GQ17" s="32"/>
      <c r="GR17" s="32"/>
      <c r="GS17" s="32"/>
      <c r="GT17" s="32"/>
      <c r="GU17" s="247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247"/>
      <c r="HN17" s="32"/>
      <c r="HO17" s="32"/>
      <c r="HP17" s="32"/>
      <c r="HQ17" s="245"/>
      <c r="HR17" s="247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245"/>
      <c r="IV17" s="246"/>
      <c r="IW17" s="32"/>
      <c r="IX17" s="32"/>
      <c r="IY17" s="32"/>
      <c r="IZ17" s="32"/>
      <c r="JA17" s="32"/>
      <c r="JB17" s="32"/>
      <c r="JC17" s="247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247"/>
      <c r="JU17" s="32"/>
      <c r="JV17" s="32"/>
      <c r="JW17" s="32"/>
      <c r="JX17" s="32"/>
      <c r="JY17" s="244"/>
      <c r="JZ17" s="245"/>
      <c r="KA17" s="246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245"/>
      <c r="LF17" s="246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245"/>
      <c r="MI17" s="246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245"/>
    </row>
    <row r="18" spans="1:377" customFormat="1">
      <c r="A18" s="1"/>
      <c r="B18" s="29" t="s">
        <v>88</v>
      </c>
      <c r="C18" s="29" t="s">
        <v>30</v>
      </c>
      <c r="D18" s="29" t="s">
        <v>31</v>
      </c>
      <c r="E18" s="37">
        <v>0</v>
      </c>
      <c r="F18" s="29">
        <v>23</v>
      </c>
      <c r="G18" s="29">
        <v>0</v>
      </c>
      <c r="H18" s="29">
        <f t="shared" si="0"/>
        <v>23</v>
      </c>
      <c r="I18" s="30">
        <f t="shared" si="1"/>
        <v>0</v>
      </c>
      <c r="J18" s="30">
        <f t="shared" si="2"/>
        <v>0</v>
      </c>
      <c r="K18" s="71">
        <f t="shared" si="3"/>
        <v>0</v>
      </c>
      <c r="L18" s="183"/>
      <c r="M18" s="7"/>
      <c r="N18" s="8"/>
      <c r="O18" s="8"/>
      <c r="P18" s="8"/>
      <c r="Q18" s="8"/>
      <c r="R18" s="69"/>
      <c r="S18" s="7"/>
      <c r="T18" s="7"/>
      <c r="U18" s="8"/>
      <c r="V18" s="8"/>
      <c r="W18" s="8"/>
      <c r="X18" s="8"/>
      <c r="Y18" s="8"/>
      <c r="Z18" s="7"/>
      <c r="AA18" s="7"/>
      <c r="AB18" s="8"/>
      <c r="AC18" s="8"/>
      <c r="AD18" s="8"/>
      <c r="AE18" s="8"/>
      <c r="AF18" s="8"/>
      <c r="AG18" s="7"/>
      <c r="AH18" s="7"/>
      <c r="AI18" s="8"/>
      <c r="AJ18" s="8"/>
      <c r="AK18" s="8"/>
      <c r="AL18" s="8"/>
      <c r="AM18" s="8"/>
      <c r="AN18" s="87"/>
      <c r="AO18" s="87"/>
      <c r="AP18" s="198"/>
      <c r="AQ18" s="8"/>
      <c r="AR18" s="8"/>
      <c r="AS18" s="8"/>
      <c r="AT18" s="8"/>
      <c r="AU18" s="7"/>
      <c r="AV18" s="7"/>
      <c r="AW18" s="8"/>
      <c r="AX18" s="8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94"/>
      <c r="BU18" s="122"/>
      <c r="BV18" s="122"/>
      <c r="BW18" s="53"/>
      <c r="BX18" s="53"/>
      <c r="BY18" s="122"/>
      <c r="BZ18" s="122"/>
      <c r="CA18" s="122"/>
      <c r="CB18" s="122"/>
      <c r="CC18" s="122"/>
      <c r="CD18" s="53"/>
      <c r="CE18" s="53"/>
      <c r="CF18" s="122"/>
      <c r="CG18" s="122"/>
      <c r="CH18" s="122"/>
      <c r="CI18" s="122"/>
      <c r="CJ18" s="122"/>
      <c r="CK18" s="53"/>
      <c r="CL18" s="53"/>
      <c r="CM18" s="122"/>
      <c r="CN18" s="219"/>
      <c r="CO18" s="208"/>
      <c r="CP18" s="122"/>
      <c r="CQ18" s="122"/>
      <c r="CR18" s="53"/>
      <c r="CS18" s="53"/>
      <c r="CT18" s="208"/>
      <c r="CU18" s="122"/>
      <c r="CV18" s="122"/>
      <c r="CW18" s="122"/>
      <c r="CX18" s="210"/>
      <c r="CY18" s="157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100"/>
      <c r="EC18" s="158"/>
      <c r="ED18" s="157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208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158"/>
      <c r="FI18" s="157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208"/>
      <c r="GA18" s="208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158"/>
      <c r="GM18" s="157"/>
      <c r="GN18" s="53"/>
      <c r="GO18" s="53"/>
      <c r="GP18" s="53"/>
      <c r="GQ18" s="53"/>
      <c r="GR18" s="53"/>
      <c r="GS18" s="53"/>
      <c r="GT18" s="53"/>
      <c r="GU18" s="208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208"/>
      <c r="HN18" s="53"/>
      <c r="HO18" s="53"/>
      <c r="HP18" s="53"/>
      <c r="HQ18" s="158"/>
      <c r="HR18" s="208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158"/>
      <c r="IV18" s="157"/>
      <c r="IW18" s="53"/>
      <c r="IX18" s="53"/>
      <c r="IY18" s="53"/>
      <c r="IZ18" s="53"/>
      <c r="JA18" s="53"/>
      <c r="JB18" s="53"/>
      <c r="JC18" s="208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208"/>
      <c r="JU18" s="53"/>
      <c r="JV18" s="53"/>
      <c r="JW18" s="53"/>
      <c r="JX18" s="53"/>
      <c r="JY18" s="100"/>
      <c r="JZ18" s="158"/>
      <c r="KA18" s="157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158"/>
      <c r="LF18" s="157"/>
      <c r="LG18" s="53"/>
      <c r="LH18" s="53"/>
      <c r="LI18" s="53"/>
      <c r="LJ18" s="53"/>
      <c r="LK18" s="53"/>
      <c r="LL18" s="53"/>
      <c r="LM18" s="53"/>
      <c r="LN18" s="53"/>
      <c r="LO18" s="53"/>
      <c r="LP18" s="53"/>
      <c r="LQ18" s="53"/>
      <c r="LR18" s="53"/>
      <c r="LS18" s="53"/>
      <c r="LT18" s="53"/>
      <c r="LU18" s="53"/>
      <c r="LV18" s="53"/>
      <c r="LW18" s="53"/>
      <c r="LX18" s="53"/>
      <c r="LY18" s="53"/>
      <c r="LZ18" s="53"/>
      <c r="MA18" s="53"/>
      <c r="MB18" s="53"/>
      <c r="MC18" s="53"/>
      <c r="MD18" s="53"/>
      <c r="ME18" s="53"/>
      <c r="MF18" s="53"/>
      <c r="MG18" s="53"/>
      <c r="MH18" s="158"/>
      <c r="MI18" s="157"/>
      <c r="MJ18" s="53"/>
      <c r="MK18" s="53"/>
      <c r="ML18" s="53"/>
      <c r="MM18" s="53"/>
      <c r="MN18" s="53"/>
      <c r="MO18" s="53"/>
      <c r="MP18" s="53"/>
      <c r="MQ18" s="53"/>
      <c r="MR18" s="53"/>
      <c r="MS18" s="53"/>
      <c r="MT18" s="53"/>
      <c r="MU18" s="53"/>
      <c r="MV18" s="53"/>
      <c r="MW18" s="53"/>
      <c r="MX18" s="53"/>
      <c r="MY18" s="53"/>
      <c r="MZ18" s="53"/>
      <c r="NA18" s="53"/>
      <c r="NB18" s="53"/>
      <c r="NC18" s="53"/>
      <c r="ND18" s="53"/>
      <c r="NE18" s="53"/>
      <c r="NF18" s="53"/>
      <c r="NG18" s="53"/>
      <c r="NH18" s="53"/>
      <c r="NI18" s="53"/>
      <c r="NJ18" s="53"/>
      <c r="NK18" s="53"/>
      <c r="NL18" s="53"/>
      <c r="NM18" s="158"/>
    </row>
    <row r="19" spans="1:377" customFormat="1" ht="15.75" customHeight="1" thickBot="1">
      <c r="A19" s="1"/>
      <c r="B19" s="29" t="s">
        <v>90</v>
      </c>
      <c r="C19" s="29" t="s">
        <v>30</v>
      </c>
      <c r="D19" s="29" t="s">
        <v>31</v>
      </c>
      <c r="E19" s="37">
        <v>0</v>
      </c>
      <c r="F19" s="29">
        <v>23</v>
      </c>
      <c r="G19" s="29">
        <v>0</v>
      </c>
      <c r="H19" s="29">
        <f t="shared" si="0"/>
        <v>23</v>
      </c>
      <c r="I19" s="30">
        <f t="shared" si="1"/>
        <v>0</v>
      </c>
      <c r="J19" s="30">
        <f t="shared" si="2"/>
        <v>0</v>
      </c>
      <c r="K19" s="71">
        <f t="shared" si="3"/>
        <v>0</v>
      </c>
      <c r="L19" s="183"/>
      <c r="M19" s="7"/>
      <c r="N19" s="8"/>
      <c r="O19" s="8"/>
      <c r="P19" s="8"/>
      <c r="Q19" s="8"/>
      <c r="R19" s="69"/>
      <c r="S19" s="7"/>
      <c r="T19" s="7"/>
      <c r="U19" s="8"/>
      <c r="V19" s="8"/>
      <c r="W19" s="8"/>
      <c r="X19" s="8"/>
      <c r="Y19" s="8"/>
      <c r="Z19" s="7"/>
      <c r="AA19" s="7"/>
      <c r="AB19" s="8"/>
      <c r="AC19" s="8"/>
      <c r="AD19" s="8"/>
      <c r="AE19" s="8"/>
      <c r="AF19" s="8"/>
      <c r="AG19" s="7"/>
      <c r="AH19" s="7"/>
      <c r="AI19" s="8"/>
      <c r="AJ19" s="8"/>
      <c r="AK19" s="8"/>
      <c r="AL19" s="8"/>
      <c r="AM19" s="8"/>
      <c r="AN19" s="87"/>
      <c r="AO19" s="87"/>
      <c r="AP19" s="199"/>
      <c r="AQ19" s="81"/>
      <c r="AR19" s="81"/>
      <c r="AS19" s="81"/>
      <c r="AT19" s="81"/>
      <c r="AU19" s="80"/>
      <c r="AV19" s="80"/>
      <c r="AW19" s="81"/>
      <c r="AX19" s="81"/>
      <c r="AY19" s="81"/>
      <c r="AZ19" s="81"/>
      <c r="BA19" s="81"/>
      <c r="BB19" s="80"/>
      <c r="BC19" s="80"/>
      <c r="BD19" s="81"/>
      <c r="BE19" s="81"/>
      <c r="BF19" s="81"/>
      <c r="BG19" s="81"/>
      <c r="BH19" s="81"/>
      <c r="BI19" s="80"/>
      <c r="BJ19" s="80"/>
      <c r="BK19" s="211"/>
      <c r="BL19" s="211"/>
      <c r="BM19" s="211"/>
      <c r="BN19" s="211"/>
      <c r="BO19" s="211"/>
      <c r="BP19" s="211"/>
      <c r="BQ19" s="211"/>
      <c r="BR19" s="211"/>
      <c r="BS19" s="211"/>
      <c r="BT19" s="212"/>
      <c r="BU19" s="122"/>
      <c r="BV19" s="122"/>
      <c r="BW19" s="53"/>
      <c r="BX19" s="53"/>
      <c r="BY19" s="122"/>
      <c r="BZ19" s="122"/>
      <c r="CA19" s="122"/>
      <c r="CB19" s="122"/>
      <c r="CC19" s="122"/>
      <c r="CD19" s="53"/>
      <c r="CE19" s="53"/>
      <c r="CF19" s="122"/>
      <c r="CG19" s="122"/>
      <c r="CH19" s="122"/>
      <c r="CI19" s="122"/>
      <c r="CJ19" s="122"/>
      <c r="CK19" s="53"/>
      <c r="CL19" s="53"/>
      <c r="CM19" s="122"/>
      <c r="CN19" s="219"/>
      <c r="CO19" s="208"/>
      <c r="CP19" s="122"/>
      <c r="CQ19" s="122"/>
      <c r="CR19" s="53"/>
      <c r="CS19" s="53"/>
      <c r="CT19" s="208"/>
      <c r="CU19" s="122"/>
      <c r="CV19" s="122"/>
      <c r="CW19" s="122"/>
      <c r="CX19" s="210"/>
      <c r="CY19" s="157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100"/>
      <c r="EC19" s="158"/>
      <c r="ED19" s="157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208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158"/>
      <c r="FI19" s="157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122"/>
      <c r="FY19" s="53"/>
      <c r="FZ19" s="208"/>
      <c r="GA19" s="208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158"/>
      <c r="GM19" s="157"/>
      <c r="GN19" s="53"/>
      <c r="GO19" s="53"/>
      <c r="GP19" s="53"/>
      <c r="GQ19" s="53"/>
      <c r="GR19" s="53"/>
      <c r="GS19" s="53"/>
      <c r="GT19" s="53"/>
      <c r="GU19" s="208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208"/>
      <c r="HN19" s="53"/>
      <c r="HO19" s="53"/>
      <c r="HP19" s="53"/>
      <c r="HQ19" s="158"/>
      <c r="HR19" s="208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158"/>
      <c r="IV19" s="157"/>
      <c r="IW19" s="53"/>
      <c r="IX19" s="53"/>
      <c r="IY19" s="53"/>
      <c r="IZ19" s="53"/>
      <c r="JA19" s="53"/>
      <c r="JB19" s="53"/>
      <c r="JC19" s="208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208"/>
      <c r="JU19" s="53"/>
      <c r="JV19" s="53"/>
      <c r="JW19" s="53"/>
      <c r="JX19" s="53"/>
      <c r="JY19" s="100"/>
      <c r="JZ19" s="158"/>
      <c r="KA19" s="157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158"/>
      <c r="LF19" s="157"/>
      <c r="LG19" s="53"/>
      <c r="LH19" s="53"/>
      <c r="LI19" s="53"/>
      <c r="LJ19" s="53"/>
      <c r="LK19" s="53"/>
      <c r="LL19" s="53"/>
      <c r="LM19" s="53"/>
      <c r="LN19" s="53"/>
      <c r="LO19" s="53"/>
      <c r="LP19" s="53"/>
      <c r="LQ19" s="53"/>
      <c r="LR19" s="53"/>
      <c r="LS19" s="53"/>
      <c r="LT19" s="53"/>
      <c r="LU19" s="53"/>
      <c r="LV19" s="53"/>
      <c r="LW19" s="53"/>
      <c r="LX19" s="53"/>
      <c r="LY19" s="53"/>
      <c r="LZ19" s="53"/>
      <c r="MA19" s="53"/>
      <c r="MB19" s="53"/>
      <c r="MC19" s="53"/>
      <c r="MD19" s="53"/>
      <c r="ME19" s="53"/>
      <c r="MF19" s="53"/>
      <c r="MG19" s="53"/>
      <c r="MH19" s="158"/>
      <c r="MI19" s="157"/>
      <c r="MJ19" s="53"/>
      <c r="MK19" s="53"/>
      <c r="ML19" s="53"/>
      <c r="MM19" s="53"/>
      <c r="MN19" s="53"/>
      <c r="MO19" s="53"/>
      <c r="MP19" s="53"/>
      <c r="MQ19" s="53"/>
      <c r="MR19" s="53"/>
      <c r="MS19" s="53"/>
      <c r="MT19" s="53"/>
      <c r="MU19" s="53"/>
      <c r="MV19" s="53"/>
      <c r="MW19" s="53"/>
      <c r="MX19" s="53"/>
      <c r="MY19" s="53"/>
      <c r="MZ19" s="53"/>
      <c r="NA19" s="53"/>
      <c r="NB19" s="53"/>
      <c r="NC19" s="53"/>
      <c r="ND19" s="53"/>
      <c r="NE19" s="53"/>
      <c r="NF19" s="53"/>
      <c r="NG19" s="53"/>
      <c r="NH19" s="53"/>
      <c r="NI19" s="53"/>
      <c r="NJ19" s="53"/>
      <c r="NK19" s="53"/>
      <c r="NL19" s="53"/>
      <c r="NM19" s="158"/>
    </row>
    <row r="20" spans="1:377" s="243" customFormat="1" ht="15.75" hidden="1" customHeight="1">
      <c r="A20" s="223"/>
      <c r="B20" s="224" t="s">
        <v>51</v>
      </c>
      <c r="C20" s="224" t="s">
        <v>36</v>
      </c>
      <c r="D20" s="224" t="s">
        <v>31</v>
      </c>
      <c r="E20" s="225">
        <v>0</v>
      </c>
      <c r="F20" s="224">
        <v>23</v>
      </c>
      <c r="G20" s="224">
        <v>2</v>
      </c>
      <c r="H20" s="224">
        <f t="shared" si="0"/>
        <v>2</v>
      </c>
      <c r="I20" s="226">
        <f t="shared" si="1"/>
        <v>0</v>
      </c>
      <c r="J20" s="226">
        <f t="shared" si="2"/>
        <v>0</v>
      </c>
      <c r="K20" s="227">
        <f t="shared" si="3"/>
        <v>0</v>
      </c>
      <c r="L20" s="228"/>
      <c r="M20" s="229"/>
      <c r="N20" s="63"/>
      <c r="O20" s="63"/>
      <c r="P20" s="63"/>
      <c r="Q20" s="63"/>
      <c r="R20" s="230"/>
      <c r="S20" s="229"/>
      <c r="T20" s="229"/>
      <c r="U20" s="230"/>
      <c r="V20" s="231" t="s">
        <v>3</v>
      </c>
      <c r="W20" s="63"/>
      <c r="X20" s="63"/>
      <c r="Y20" s="63"/>
      <c r="Z20" s="229"/>
      <c r="AA20" s="229"/>
      <c r="AB20" s="230"/>
      <c r="AC20" s="63"/>
      <c r="AD20" s="63"/>
      <c r="AE20" s="63"/>
      <c r="AF20" s="63"/>
      <c r="AG20" s="229"/>
      <c r="AH20" s="229"/>
      <c r="AI20" s="230"/>
      <c r="AJ20" s="63"/>
      <c r="AK20" s="63"/>
      <c r="AL20" s="63"/>
      <c r="AM20" s="63"/>
      <c r="AN20" s="232"/>
      <c r="AO20" s="233"/>
      <c r="AP20" s="234"/>
      <c r="AQ20" s="235"/>
      <c r="AR20" s="235"/>
      <c r="AS20" s="235"/>
      <c r="AT20" s="235"/>
      <c r="AU20" s="236"/>
      <c r="AV20" s="236"/>
      <c r="AW20" s="235"/>
      <c r="AX20" s="235"/>
      <c r="AY20" s="235"/>
      <c r="AZ20" s="235"/>
      <c r="BA20" s="235"/>
      <c r="BB20" s="236"/>
      <c r="BC20" s="236"/>
      <c r="BD20" s="235"/>
      <c r="BE20" s="235"/>
      <c r="BF20" s="235"/>
      <c r="BG20" s="235"/>
      <c r="BH20" s="235"/>
      <c r="BI20" s="236"/>
      <c r="BJ20" s="236"/>
      <c r="BK20" s="235"/>
      <c r="BL20" s="235"/>
      <c r="BM20" s="235"/>
      <c r="BN20" s="235"/>
      <c r="BO20" s="235"/>
      <c r="BP20" s="236"/>
      <c r="BQ20" s="236"/>
      <c r="BR20" s="235"/>
      <c r="BS20" s="235"/>
      <c r="BT20" s="237"/>
      <c r="BU20" s="231" t="s">
        <v>3</v>
      </c>
      <c r="BV20" s="238"/>
      <c r="BW20" s="229"/>
      <c r="BX20" s="229"/>
      <c r="BY20" s="238"/>
      <c r="BZ20" s="238"/>
      <c r="CA20" s="238"/>
      <c r="CB20" s="238"/>
      <c r="CC20" s="238"/>
      <c r="CD20" s="229"/>
      <c r="CE20" s="229"/>
      <c r="CF20" s="238"/>
      <c r="CG20" s="238"/>
      <c r="CH20" s="238"/>
      <c r="CI20" s="238"/>
      <c r="CJ20" s="238"/>
      <c r="CK20" s="229"/>
      <c r="CL20" s="229"/>
      <c r="CM20" s="238"/>
      <c r="CN20" s="238"/>
      <c r="CO20" s="239"/>
      <c r="CP20" s="238"/>
      <c r="CQ20" s="238"/>
      <c r="CR20" s="229"/>
      <c r="CS20" s="229"/>
      <c r="CT20" s="238"/>
      <c r="CU20" s="238"/>
      <c r="CV20" s="238"/>
      <c r="CW20" s="238"/>
      <c r="CX20" s="240"/>
      <c r="CY20" s="228"/>
      <c r="CZ20" s="229"/>
      <c r="DA20" s="63"/>
      <c r="DB20" s="63"/>
      <c r="DC20" s="63"/>
      <c r="DD20" s="63"/>
      <c r="DE20" s="63"/>
      <c r="DF20" s="229"/>
      <c r="DG20" s="229"/>
      <c r="DH20" s="63"/>
      <c r="DI20" s="63"/>
      <c r="DJ20" s="63"/>
      <c r="DK20" s="63"/>
      <c r="DL20" s="63"/>
      <c r="DM20" s="229"/>
      <c r="DN20" s="229"/>
      <c r="DO20" s="63"/>
      <c r="DP20" s="63"/>
      <c r="DQ20" s="63"/>
      <c r="DR20" s="63"/>
      <c r="DS20" s="63"/>
      <c r="DT20" s="229"/>
      <c r="DU20" s="229"/>
      <c r="DV20" s="63"/>
      <c r="DW20" s="63"/>
      <c r="DX20" s="63"/>
      <c r="DY20" s="63"/>
      <c r="DZ20" s="63"/>
      <c r="EA20" s="229"/>
      <c r="EB20" s="232"/>
      <c r="EC20" s="241"/>
      <c r="ED20" s="242"/>
      <c r="EE20" s="63"/>
      <c r="EF20" s="63"/>
      <c r="EG20" s="63"/>
      <c r="EH20" s="229"/>
      <c r="EI20" s="229"/>
      <c r="EJ20" s="231" t="s">
        <v>1</v>
      </c>
      <c r="EK20" s="231" t="s">
        <v>1</v>
      </c>
      <c r="EL20" s="231" t="s">
        <v>1</v>
      </c>
      <c r="EM20" s="231" t="s">
        <v>1</v>
      </c>
      <c r="EN20" s="231" t="s">
        <v>1</v>
      </c>
      <c r="EO20" s="229"/>
      <c r="EP20" s="229"/>
      <c r="EQ20" s="231" t="s">
        <v>1</v>
      </c>
      <c r="ER20" s="230"/>
      <c r="ES20" s="231" t="s">
        <v>1</v>
      </c>
      <c r="ET20" s="231" t="s">
        <v>1</v>
      </c>
      <c r="EU20" s="231" t="s">
        <v>1</v>
      </c>
      <c r="EV20" s="229"/>
      <c r="EW20" s="229"/>
      <c r="EX20" s="63"/>
      <c r="EY20" s="63"/>
      <c r="EZ20" s="63"/>
      <c r="FA20" s="63"/>
      <c r="FB20" s="63"/>
      <c r="FC20" s="229"/>
      <c r="FD20" s="229"/>
      <c r="FE20" s="63"/>
      <c r="FF20" s="63"/>
      <c r="FG20" s="63"/>
      <c r="FH20" s="241"/>
      <c r="FI20" s="242"/>
      <c r="FJ20" s="229"/>
      <c r="FK20" s="229"/>
      <c r="FL20" s="63"/>
      <c r="FM20" s="63"/>
      <c r="FN20" s="63"/>
      <c r="FO20" s="63"/>
      <c r="FP20" s="63"/>
      <c r="FQ20" s="229"/>
      <c r="FR20" s="229"/>
      <c r="FS20" s="231" t="s">
        <v>1</v>
      </c>
      <c r="FT20" s="63"/>
      <c r="FU20" s="63"/>
      <c r="FV20" s="63"/>
      <c r="FW20" s="63"/>
      <c r="FX20" s="229"/>
      <c r="FY20" s="229"/>
      <c r="FZ20" s="238"/>
      <c r="GA20" s="238"/>
      <c r="GB20" s="63"/>
      <c r="GC20" s="63"/>
      <c r="GD20" s="63"/>
      <c r="GE20" s="229"/>
      <c r="GF20" s="229"/>
      <c r="GG20" s="63"/>
      <c r="GH20" s="63"/>
      <c r="GI20" s="63"/>
      <c r="GJ20" s="63"/>
      <c r="GK20" s="63"/>
      <c r="GL20" s="233"/>
      <c r="GM20" s="228"/>
      <c r="GN20" s="63"/>
      <c r="GO20" s="63"/>
      <c r="GP20" s="63"/>
      <c r="GQ20" s="63"/>
      <c r="GR20" s="63"/>
      <c r="GS20" s="229"/>
      <c r="GT20" s="229"/>
      <c r="GU20" s="230"/>
      <c r="GV20" s="63"/>
      <c r="GW20" s="63"/>
      <c r="GX20" s="230"/>
      <c r="GY20" s="63"/>
      <c r="GZ20" s="229"/>
      <c r="HA20" s="229"/>
      <c r="HB20" s="63"/>
      <c r="HC20" s="63"/>
      <c r="HD20" s="63"/>
      <c r="HE20" s="63"/>
      <c r="HF20" s="63"/>
      <c r="HG20" s="229"/>
      <c r="HH20" s="229"/>
      <c r="HI20" s="63"/>
      <c r="HJ20" s="63"/>
      <c r="HK20" s="63"/>
      <c r="HL20" s="63"/>
      <c r="HM20" s="238"/>
      <c r="HN20" s="229"/>
      <c r="HO20" s="229"/>
      <c r="HP20" s="63"/>
      <c r="HQ20" s="241"/>
      <c r="HR20" s="230"/>
      <c r="HS20" s="63"/>
      <c r="HT20" s="63"/>
      <c r="HU20" s="229"/>
      <c r="HV20" s="229"/>
      <c r="HW20" s="63"/>
      <c r="HX20" s="63"/>
      <c r="HY20" s="63"/>
      <c r="HZ20" s="63"/>
      <c r="IA20" s="63"/>
      <c r="IB20" s="229"/>
      <c r="IC20" s="229"/>
      <c r="ID20" s="231" t="s">
        <v>1</v>
      </c>
      <c r="IE20" s="231" t="s">
        <v>1</v>
      </c>
      <c r="IF20" s="231" t="s">
        <v>1</v>
      </c>
      <c r="IG20" s="231" t="s">
        <v>1</v>
      </c>
      <c r="IH20" s="231" t="s">
        <v>1</v>
      </c>
      <c r="II20" s="229"/>
      <c r="IJ20" s="229"/>
      <c r="IK20" s="231" t="s">
        <v>1</v>
      </c>
      <c r="IL20" s="231" t="s">
        <v>1</v>
      </c>
      <c r="IM20" s="231" t="s">
        <v>1</v>
      </c>
      <c r="IN20" s="231" t="s">
        <v>1</v>
      </c>
      <c r="IO20" s="231" t="s">
        <v>1</v>
      </c>
      <c r="IP20" s="229"/>
      <c r="IQ20" s="229"/>
      <c r="IR20" s="63"/>
      <c r="IS20" s="63"/>
      <c r="IT20" s="63"/>
      <c r="IU20" s="241"/>
      <c r="IV20" s="242"/>
      <c r="IW20" s="229"/>
      <c r="IX20" s="229"/>
      <c r="IY20" s="63"/>
      <c r="IZ20" s="63"/>
      <c r="JA20" s="230"/>
      <c r="JB20" s="231" t="s">
        <v>1</v>
      </c>
      <c r="JC20" s="230"/>
      <c r="JD20" s="229"/>
      <c r="JE20" s="229"/>
      <c r="JF20" s="63"/>
      <c r="JG20" s="63"/>
      <c r="JH20" s="63"/>
      <c r="JI20" s="63"/>
      <c r="JJ20" s="63"/>
      <c r="JK20" s="229"/>
      <c r="JL20" s="229"/>
      <c r="JM20" s="63"/>
      <c r="JN20" s="63"/>
      <c r="JO20" s="63"/>
      <c r="JP20" s="63"/>
      <c r="JQ20" s="63"/>
      <c r="JR20" s="229"/>
      <c r="JS20" s="229"/>
      <c r="JT20" s="69"/>
      <c r="JU20" s="63"/>
      <c r="JV20" s="63"/>
      <c r="JW20" s="63"/>
      <c r="JX20" s="63"/>
      <c r="JY20" s="232"/>
      <c r="JZ20" s="233"/>
      <c r="KA20" s="69"/>
      <c r="KB20" s="63"/>
      <c r="KC20" s="63"/>
      <c r="KD20" s="63"/>
      <c r="KE20" s="63"/>
      <c r="KF20" s="229"/>
      <c r="KG20" s="229"/>
      <c r="KH20" s="63"/>
      <c r="KI20" s="63"/>
      <c r="KJ20" s="63"/>
      <c r="KK20" s="63"/>
      <c r="KL20" s="63"/>
      <c r="KM20" s="229"/>
      <c r="KN20" s="229"/>
      <c r="KO20" s="63"/>
      <c r="KP20" s="63"/>
      <c r="KQ20" s="63"/>
      <c r="KR20" s="63"/>
      <c r="KS20" s="63"/>
      <c r="KT20" s="229"/>
      <c r="KU20" s="229"/>
      <c r="KV20" s="63"/>
      <c r="KW20" s="63"/>
      <c r="KX20" s="63"/>
      <c r="KY20" s="63"/>
      <c r="KZ20" s="63"/>
      <c r="LA20" s="229"/>
      <c r="LB20" s="229"/>
      <c r="LC20" s="63"/>
      <c r="LD20" s="63"/>
      <c r="LE20" s="241"/>
      <c r="LF20" s="242"/>
      <c r="LG20" s="63"/>
      <c r="LH20" s="229"/>
      <c r="LI20" s="229"/>
      <c r="LJ20" s="63"/>
      <c r="LK20" s="63"/>
      <c r="LL20" s="63"/>
      <c r="LM20" s="63"/>
      <c r="LN20" s="63"/>
      <c r="LO20" s="229"/>
      <c r="LP20" s="229"/>
      <c r="LQ20" s="63"/>
      <c r="LR20" s="63"/>
      <c r="LS20" s="63"/>
      <c r="LT20" s="63"/>
      <c r="LU20" s="63"/>
      <c r="LV20" s="229"/>
      <c r="LW20" s="229"/>
      <c r="LX20" s="63"/>
      <c r="LY20" s="63"/>
      <c r="LZ20" s="63"/>
      <c r="MA20" s="63"/>
      <c r="MB20" s="63"/>
      <c r="MC20" s="229"/>
      <c r="MD20" s="229"/>
      <c r="ME20" s="63"/>
      <c r="MF20" s="63"/>
      <c r="MG20" s="63"/>
      <c r="MH20" s="241"/>
      <c r="MI20" s="242"/>
      <c r="MJ20" s="229"/>
      <c r="MK20" s="229"/>
      <c r="ML20" s="63"/>
      <c r="MM20" s="63"/>
      <c r="MN20" s="63"/>
      <c r="MO20" s="63"/>
      <c r="MP20" s="63"/>
      <c r="MQ20" s="229"/>
      <c r="MR20" s="229"/>
      <c r="MS20" s="63"/>
      <c r="MT20" s="63"/>
      <c r="MU20" s="63"/>
      <c r="MV20" s="63"/>
      <c r="MW20" s="63"/>
      <c r="MX20" s="229"/>
      <c r="MY20" s="229"/>
      <c r="MZ20" s="63"/>
      <c r="NA20" s="63"/>
      <c r="NB20" s="63"/>
      <c r="NC20" s="63"/>
      <c r="ND20" s="63"/>
      <c r="NE20" s="229"/>
      <c r="NF20" s="229"/>
      <c r="NG20" s="63"/>
      <c r="NH20" s="63"/>
      <c r="NI20" s="63"/>
      <c r="NJ20" s="63"/>
      <c r="NK20" s="63"/>
      <c r="NL20" s="229"/>
      <c r="NM20" s="233"/>
    </row>
    <row r="21" spans="1:377" customFormat="1" ht="15.75" hidden="1" customHeight="1">
      <c r="A21" s="1"/>
      <c r="B21" s="29" t="s">
        <v>91</v>
      </c>
      <c r="C21" s="29" t="s">
        <v>36</v>
      </c>
      <c r="D21" s="29" t="s">
        <v>43</v>
      </c>
      <c r="E21" s="37">
        <v>0</v>
      </c>
      <c r="F21" s="29">
        <v>23</v>
      </c>
      <c r="G21" s="29">
        <v>2</v>
      </c>
      <c r="H21" s="29">
        <f t="shared" si="0"/>
        <v>1</v>
      </c>
      <c r="I21" s="30">
        <f t="shared" si="1"/>
        <v>2</v>
      </c>
      <c r="J21" s="30">
        <f t="shared" si="2"/>
        <v>0</v>
      </c>
      <c r="K21" s="71">
        <f t="shared" si="3"/>
        <v>0</v>
      </c>
      <c r="L21" s="183"/>
      <c r="M21" s="7"/>
      <c r="N21" s="8"/>
      <c r="O21" s="8"/>
      <c r="P21" s="8"/>
      <c r="Q21" s="8"/>
      <c r="R21" s="69"/>
      <c r="S21" s="7"/>
      <c r="T21" s="7"/>
      <c r="U21" s="69"/>
      <c r="V21" s="8"/>
      <c r="W21" s="8"/>
      <c r="X21" s="8"/>
      <c r="Y21" s="8"/>
      <c r="Z21" s="7"/>
      <c r="AA21" s="7"/>
      <c r="AB21" s="69"/>
      <c r="AC21" s="8"/>
      <c r="AD21" s="8"/>
      <c r="AE21" s="8"/>
      <c r="AF21" s="8"/>
      <c r="AG21" s="7"/>
      <c r="AH21" s="7"/>
      <c r="AI21" s="69"/>
      <c r="AJ21" s="8"/>
      <c r="AK21" s="8"/>
      <c r="AL21" s="8"/>
      <c r="AM21" s="8"/>
      <c r="AN21" s="87"/>
      <c r="AO21" s="184"/>
      <c r="AP21" s="202"/>
      <c r="AQ21" s="114"/>
      <c r="AR21" s="114"/>
      <c r="AS21" s="114"/>
      <c r="AT21" s="114"/>
      <c r="AU21" s="115"/>
      <c r="AV21" s="115"/>
      <c r="AW21" s="114"/>
      <c r="AX21" s="114"/>
      <c r="AY21" s="114"/>
      <c r="AZ21" s="114"/>
      <c r="BA21" s="114"/>
      <c r="BB21" s="115"/>
      <c r="BC21" s="115"/>
      <c r="BD21" s="114"/>
      <c r="BE21" s="114"/>
      <c r="BF21" s="114"/>
      <c r="BG21" s="114"/>
      <c r="BH21" s="114"/>
      <c r="BI21" s="115"/>
      <c r="BJ21" s="115"/>
      <c r="BK21" s="114"/>
      <c r="BL21" s="114"/>
      <c r="BM21" s="114"/>
      <c r="BN21" s="114"/>
      <c r="BO21" s="114"/>
      <c r="BP21" s="115"/>
      <c r="BQ21" s="115"/>
      <c r="BR21" s="114"/>
      <c r="BS21" s="114"/>
      <c r="BT21" s="203"/>
      <c r="BU21" s="147"/>
      <c r="BV21" s="28"/>
      <c r="BW21" s="7"/>
      <c r="BX21" s="7"/>
      <c r="BY21" s="28"/>
      <c r="BZ21" s="28"/>
      <c r="CA21" s="28"/>
      <c r="CB21" s="28"/>
      <c r="CC21" s="28"/>
      <c r="CD21" s="7"/>
      <c r="CE21" s="7"/>
      <c r="CF21" s="28"/>
      <c r="CG21" s="28"/>
      <c r="CH21" s="28"/>
      <c r="CI21" s="28"/>
      <c r="CJ21" s="28"/>
      <c r="CK21" s="7"/>
      <c r="CL21" s="7"/>
      <c r="CM21" s="28"/>
      <c r="CN21" s="28"/>
      <c r="CO21" s="121"/>
      <c r="CP21" s="28"/>
      <c r="CQ21" s="28"/>
      <c r="CR21" s="7"/>
      <c r="CS21" s="7"/>
      <c r="CT21" s="28"/>
      <c r="CU21" s="28"/>
      <c r="CV21" s="28"/>
      <c r="CW21" s="28"/>
      <c r="CX21" s="186"/>
      <c r="CY21" s="183"/>
      <c r="CZ21" s="7"/>
      <c r="DA21" s="8"/>
      <c r="DB21" s="8"/>
      <c r="DC21" s="8"/>
      <c r="DD21" s="8"/>
      <c r="DE21" s="8"/>
      <c r="DF21" s="7"/>
      <c r="DG21" s="7"/>
      <c r="DH21" s="8"/>
      <c r="DI21" s="8"/>
      <c r="DJ21" s="8"/>
      <c r="DK21" s="8"/>
      <c r="DL21" s="8"/>
      <c r="DM21" s="7"/>
      <c r="DN21" s="7"/>
      <c r="DO21" s="8"/>
      <c r="DP21" s="8"/>
      <c r="DQ21" s="8"/>
      <c r="DR21" s="8"/>
      <c r="DS21" s="8"/>
      <c r="DT21" s="7"/>
      <c r="DU21" s="7"/>
      <c r="DV21" s="8"/>
      <c r="DW21" s="8"/>
      <c r="DX21" s="8"/>
      <c r="DY21" s="8"/>
      <c r="DZ21" s="8"/>
      <c r="EA21" s="7"/>
      <c r="EB21" s="87"/>
      <c r="EC21" s="148"/>
      <c r="ED21" s="147"/>
      <c r="EE21" s="8"/>
      <c r="EF21" s="66" t="s">
        <v>1</v>
      </c>
      <c r="EG21" s="66" t="s">
        <v>1</v>
      </c>
      <c r="EH21" s="7"/>
      <c r="EI21" s="7"/>
      <c r="EJ21" s="66" t="s">
        <v>1</v>
      </c>
      <c r="EK21" s="66" t="s">
        <v>1</v>
      </c>
      <c r="EL21" s="66" t="s">
        <v>1</v>
      </c>
      <c r="EM21" s="66" t="s">
        <v>1</v>
      </c>
      <c r="EN21" s="66" t="s">
        <v>1</v>
      </c>
      <c r="EO21" s="7"/>
      <c r="EP21" s="7"/>
      <c r="EQ21" s="66" t="s">
        <v>1</v>
      </c>
      <c r="ER21" s="69"/>
      <c r="ES21" s="66" t="s">
        <v>1</v>
      </c>
      <c r="ET21" s="66" t="s">
        <v>1</v>
      </c>
      <c r="EU21" s="66" t="s">
        <v>1</v>
      </c>
      <c r="EV21" s="7"/>
      <c r="EW21" s="7"/>
      <c r="EX21" s="66" t="s">
        <v>1</v>
      </c>
      <c r="EY21" s="66" t="s">
        <v>1</v>
      </c>
      <c r="EZ21" s="66" t="s">
        <v>1</v>
      </c>
      <c r="FA21" s="66" t="s">
        <v>1</v>
      </c>
      <c r="FB21" s="8"/>
      <c r="FC21" s="7"/>
      <c r="FD21" s="7"/>
      <c r="FE21" s="8"/>
      <c r="FF21" s="8"/>
      <c r="FG21" s="8"/>
      <c r="FH21" s="148"/>
      <c r="FI21" s="147"/>
      <c r="FJ21" s="7"/>
      <c r="FK21" s="7"/>
      <c r="FL21" s="8"/>
      <c r="FM21" s="8"/>
      <c r="FN21" s="8"/>
      <c r="FO21" s="8"/>
      <c r="FP21" s="8"/>
      <c r="FQ21" s="7"/>
      <c r="FR21" s="7"/>
      <c r="FS21" s="8"/>
      <c r="FT21" s="8"/>
      <c r="FU21" s="8"/>
      <c r="FV21" s="8"/>
      <c r="FW21" s="8"/>
      <c r="FX21" s="7"/>
      <c r="FY21" s="7"/>
      <c r="FZ21" s="28"/>
      <c r="GA21" s="28"/>
      <c r="GB21" s="8"/>
      <c r="GC21" s="8"/>
      <c r="GD21" s="8"/>
      <c r="GE21" s="7"/>
      <c r="GF21" s="7"/>
      <c r="GG21" s="8"/>
      <c r="GH21" s="8"/>
      <c r="GI21" s="8"/>
      <c r="GJ21" s="8"/>
      <c r="GK21" s="8"/>
      <c r="GL21" s="184"/>
      <c r="GM21" s="183"/>
      <c r="GN21" s="8"/>
      <c r="GO21" s="8"/>
      <c r="GP21" s="8"/>
      <c r="GQ21" s="8"/>
      <c r="GR21" s="8"/>
      <c r="GS21" s="7"/>
      <c r="GT21" s="7"/>
      <c r="GU21" s="69"/>
      <c r="GV21" s="8"/>
      <c r="GW21" s="8"/>
      <c r="GX21" s="69"/>
      <c r="GY21" s="66" t="s">
        <v>1</v>
      </c>
      <c r="GZ21" s="7"/>
      <c r="HA21" s="7"/>
      <c r="HB21" s="8"/>
      <c r="HC21" s="8"/>
      <c r="HD21" s="8"/>
      <c r="HE21" s="8"/>
      <c r="HF21" s="8"/>
      <c r="HG21" s="7"/>
      <c r="HH21" s="7"/>
      <c r="HI21" s="8"/>
      <c r="HJ21" s="8"/>
      <c r="HK21" s="8"/>
      <c r="HL21" s="8"/>
      <c r="HM21" s="28"/>
      <c r="HN21" s="7"/>
      <c r="HO21" s="7"/>
      <c r="HP21" s="8"/>
      <c r="HQ21" s="148"/>
      <c r="HR21" s="69"/>
      <c r="HS21" s="8"/>
      <c r="HT21" s="8"/>
      <c r="HU21" s="7"/>
      <c r="HV21" s="7"/>
      <c r="HW21" s="8"/>
      <c r="HX21" s="8"/>
      <c r="HY21" s="8"/>
      <c r="HZ21" s="8"/>
      <c r="IA21" s="8"/>
      <c r="IB21" s="7"/>
      <c r="IC21" s="7"/>
      <c r="ID21" s="8"/>
      <c r="IE21" s="8"/>
      <c r="IF21" s="8"/>
      <c r="IG21" s="8"/>
      <c r="IH21" s="8"/>
      <c r="II21" s="7"/>
      <c r="IJ21" s="7"/>
      <c r="IK21" s="8"/>
      <c r="IL21" s="8"/>
      <c r="IM21" s="8"/>
      <c r="IN21" s="66" t="s">
        <v>1</v>
      </c>
      <c r="IO21" s="8"/>
      <c r="IP21" s="7"/>
      <c r="IQ21" s="7"/>
      <c r="IR21" s="8"/>
      <c r="IS21" s="8"/>
      <c r="IT21" s="8"/>
      <c r="IU21" s="148"/>
      <c r="IV21" s="147"/>
      <c r="IW21" s="7"/>
      <c r="IX21" s="7"/>
      <c r="IY21" s="8"/>
      <c r="IZ21" s="8"/>
      <c r="JA21" s="69"/>
      <c r="JB21" s="66" t="s">
        <v>1</v>
      </c>
      <c r="JC21" s="69"/>
      <c r="JD21" s="7"/>
      <c r="JE21" s="7"/>
      <c r="JF21" s="8"/>
      <c r="JG21" s="8"/>
      <c r="JH21" s="8"/>
      <c r="JI21" s="8"/>
      <c r="JJ21" s="8"/>
      <c r="JK21" s="7"/>
      <c r="JL21" s="7"/>
      <c r="JM21" s="8"/>
      <c r="JN21" s="8"/>
      <c r="JO21" s="8"/>
      <c r="JP21" s="8"/>
      <c r="JQ21" s="8"/>
      <c r="JR21" s="7"/>
      <c r="JS21" s="7"/>
      <c r="JT21" s="69"/>
      <c r="JU21" s="8"/>
      <c r="JV21" s="8"/>
      <c r="JW21" s="8"/>
      <c r="JX21" s="8"/>
      <c r="JY21" s="87"/>
      <c r="JZ21" s="184"/>
      <c r="KA21" s="69"/>
      <c r="KB21" s="66" t="s">
        <v>1</v>
      </c>
      <c r="KC21" s="66" t="s">
        <v>1</v>
      </c>
      <c r="KD21" s="66" t="s">
        <v>1</v>
      </c>
      <c r="KE21" s="66" t="s">
        <v>1</v>
      </c>
      <c r="KF21" s="7"/>
      <c r="KG21" s="7"/>
      <c r="KH21" s="8"/>
      <c r="KI21" s="8"/>
      <c r="KJ21" s="8"/>
      <c r="KK21" s="8"/>
      <c r="KL21" s="8"/>
      <c r="KM21" s="7"/>
      <c r="KN21" s="7"/>
      <c r="KO21" s="8"/>
      <c r="KP21" s="8"/>
      <c r="KQ21" s="8"/>
      <c r="KR21" s="8"/>
      <c r="KS21" s="8"/>
      <c r="KT21" s="7"/>
      <c r="KU21" s="7"/>
      <c r="KV21" s="8"/>
      <c r="KW21" s="8"/>
      <c r="KX21" s="8"/>
      <c r="KY21" s="8"/>
      <c r="KZ21" s="8"/>
      <c r="LA21" s="7"/>
      <c r="LB21" s="7"/>
      <c r="LC21" s="8"/>
      <c r="LD21" s="8"/>
      <c r="LE21" s="148"/>
      <c r="LF21" s="147"/>
      <c r="LG21" s="8"/>
      <c r="LH21" s="7"/>
      <c r="LI21" s="7"/>
      <c r="LJ21" s="8"/>
      <c r="LK21" s="8"/>
      <c r="LL21" s="8"/>
      <c r="LM21" s="8"/>
      <c r="LN21" s="8"/>
      <c r="LO21" s="7"/>
      <c r="LP21" s="7"/>
      <c r="LQ21" s="8"/>
      <c r="LR21" s="8"/>
      <c r="LS21" s="8"/>
      <c r="LT21" s="8"/>
      <c r="LU21" s="8"/>
      <c r="LV21" s="7"/>
      <c r="LW21" s="7"/>
      <c r="LX21" s="8"/>
      <c r="LY21" s="8"/>
      <c r="LZ21" s="8"/>
      <c r="MA21" s="8"/>
      <c r="MB21" s="8"/>
      <c r="MC21" s="7"/>
      <c r="MD21" s="7"/>
      <c r="ME21" s="8"/>
      <c r="MF21" s="8"/>
      <c r="MG21" s="8"/>
      <c r="MH21" s="148"/>
      <c r="MI21" s="147"/>
      <c r="MJ21" s="7"/>
      <c r="MK21" s="7"/>
      <c r="ML21" s="8"/>
      <c r="MM21" s="8"/>
      <c r="MN21" s="8"/>
      <c r="MO21" s="8"/>
      <c r="MP21" s="8"/>
      <c r="MQ21" s="7"/>
      <c r="MR21" s="7"/>
      <c r="MS21" s="8"/>
      <c r="MT21" s="8"/>
      <c r="MU21" s="8"/>
      <c r="MV21" s="8"/>
      <c r="MW21" s="8"/>
      <c r="MX21" s="7"/>
      <c r="MY21" s="7"/>
      <c r="MZ21" s="8"/>
      <c r="NA21" s="8"/>
      <c r="NB21" s="8"/>
      <c r="NC21" s="8"/>
      <c r="ND21" s="8"/>
      <c r="NE21" s="7"/>
      <c r="NF21" s="7"/>
      <c r="NG21" s="8"/>
      <c r="NH21" s="8"/>
      <c r="NI21" s="8"/>
      <c r="NJ21" s="8"/>
      <c r="NK21" s="8"/>
      <c r="NL21" s="7"/>
      <c r="NM21" s="184"/>
    </row>
    <row r="22" spans="1:377" customFormat="1" ht="15.6" customHeight="1">
      <c r="A22" s="1"/>
      <c r="B22" s="29" t="s">
        <v>37</v>
      </c>
      <c r="C22" s="29" t="s">
        <v>30</v>
      </c>
      <c r="D22" s="29" t="s">
        <v>38</v>
      </c>
      <c r="E22" s="37">
        <v>0</v>
      </c>
      <c r="F22" s="29">
        <v>23</v>
      </c>
      <c r="G22" s="29">
        <v>0</v>
      </c>
      <c r="H22" s="29">
        <f t="shared" si="0"/>
        <v>8</v>
      </c>
      <c r="I22" s="30">
        <f t="shared" si="1"/>
        <v>-3</v>
      </c>
      <c r="J22" s="30">
        <f t="shared" si="2"/>
        <v>0</v>
      </c>
      <c r="K22" s="71">
        <f t="shared" si="3"/>
        <v>15</v>
      </c>
      <c r="L22" s="183"/>
      <c r="M22" s="7"/>
      <c r="N22" s="8"/>
      <c r="O22" s="8"/>
      <c r="P22" s="8"/>
      <c r="Q22" s="8"/>
      <c r="R22" s="69"/>
      <c r="S22" s="7"/>
      <c r="T22" s="7"/>
      <c r="U22" s="8"/>
      <c r="V22" s="8"/>
      <c r="W22" s="8"/>
      <c r="X22" s="8"/>
      <c r="Y22" s="8"/>
      <c r="Z22" s="7"/>
      <c r="AA22" s="7"/>
      <c r="AB22" s="8"/>
      <c r="AC22" s="8"/>
      <c r="AD22" s="8"/>
      <c r="AE22" s="8"/>
      <c r="AF22" s="8"/>
      <c r="AG22" s="7"/>
      <c r="AH22" s="7"/>
      <c r="AI22" s="8"/>
      <c r="AJ22" s="8"/>
      <c r="AK22" s="8"/>
      <c r="AL22" s="8"/>
      <c r="AM22" s="8"/>
      <c r="AN22" s="87"/>
      <c r="AO22" s="87"/>
      <c r="AP22" s="194"/>
      <c r="AQ22" s="195"/>
      <c r="AR22" s="195"/>
      <c r="AS22" s="195"/>
      <c r="AT22" s="195"/>
      <c r="AU22" s="196"/>
      <c r="AV22" s="196"/>
      <c r="AW22" s="195"/>
      <c r="AX22" s="195"/>
      <c r="AY22" s="195"/>
      <c r="AZ22" s="195"/>
      <c r="BA22" s="195"/>
      <c r="BB22" s="196"/>
      <c r="BC22" s="196"/>
      <c r="BD22" s="195"/>
      <c r="BE22" s="195"/>
      <c r="BF22" s="195"/>
      <c r="BG22" s="195"/>
      <c r="BH22" s="195"/>
      <c r="BI22" s="196"/>
      <c r="BJ22" s="196"/>
      <c r="BK22" s="195"/>
      <c r="BL22" s="195"/>
      <c r="BM22" s="195"/>
      <c r="BN22" s="68" t="s">
        <v>7</v>
      </c>
      <c r="BO22" s="68" t="s">
        <v>7</v>
      </c>
      <c r="BP22" s="196"/>
      <c r="BQ22" s="196"/>
      <c r="BR22" s="195"/>
      <c r="BS22" s="195"/>
      <c r="BT22" s="68" t="s">
        <v>7</v>
      </c>
      <c r="BU22" s="68" t="s">
        <v>7</v>
      </c>
      <c r="BV22" s="68" t="s">
        <v>7</v>
      </c>
      <c r="BW22" s="7"/>
      <c r="BX22" s="7"/>
      <c r="BY22" s="68" t="s">
        <v>7</v>
      </c>
      <c r="BZ22" s="68" t="s">
        <v>7</v>
      </c>
      <c r="CA22" s="28"/>
      <c r="CB22" s="28"/>
      <c r="CC22" s="28"/>
      <c r="CD22" s="7"/>
      <c r="CE22" s="7"/>
      <c r="CF22" s="28"/>
      <c r="CG22" s="28"/>
      <c r="CH22" s="28"/>
      <c r="CI22" s="28"/>
      <c r="CJ22" s="28"/>
      <c r="CK22" s="7"/>
      <c r="CL22" s="7"/>
      <c r="CM22" s="28"/>
      <c r="CN22" s="218"/>
      <c r="CO22" s="216"/>
      <c r="CP22" s="28"/>
      <c r="CQ22" s="69"/>
      <c r="CR22" s="7"/>
      <c r="CS22" s="7"/>
      <c r="CT22" s="69"/>
      <c r="CU22" s="28"/>
      <c r="CV22" s="28"/>
      <c r="CW22" s="28"/>
      <c r="CX22" s="186"/>
      <c r="CY22" s="183"/>
      <c r="CZ22" s="7"/>
      <c r="DA22" s="8"/>
      <c r="DB22" s="8"/>
      <c r="DC22" s="8"/>
      <c r="DD22" s="8"/>
      <c r="DE22" s="8"/>
      <c r="DF22" s="7"/>
      <c r="DG22" s="7"/>
      <c r="DH22" s="8"/>
      <c r="DI22" s="8"/>
      <c r="DJ22" s="8"/>
      <c r="DK22" s="8"/>
      <c r="DL22" s="8"/>
      <c r="DM22" s="7"/>
      <c r="DN22" s="7"/>
      <c r="DO22" s="8"/>
      <c r="DP22" s="8"/>
      <c r="DQ22" s="8"/>
      <c r="DR22" s="8"/>
      <c r="DS22" s="8"/>
      <c r="DT22" s="7"/>
      <c r="DU22" s="7"/>
      <c r="DV22" s="8"/>
      <c r="DW22" s="8"/>
      <c r="DX22" s="8"/>
      <c r="DY22" s="8"/>
      <c r="DZ22" s="8"/>
      <c r="EA22" s="7"/>
      <c r="EB22" s="87"/>
      <c r="EC22" s="148"/>
      <c r="ED22" s="147"/>
      <c r="EE22" s="8"/>
      <c r="EF22" s="8"/>
      <c r="EG22" s="8"/>
      <c r="EH22" s="7"/>
      <c r="EI22" s="7"/>
      <c r="EJ22" s="8"/>
      <c r="EK22" s="8"/>
      <c r="EL22" s="8"/>
      <c r="EM22" s="8"/>
      <c r="EN22" s="8"/>
      <c r="EO22" s="7"/>
      <c r="EP22" s="7"/>
      <c r="EQ22" s="8"/>
      <c r="ER22" s="8"/>
      <c r="ES22" s="8"/>
      <c r="ET22" s="8"/>
      <c r="EU22" s="8"/>
      <c r="EV22" s="7"/>
      <c r="EW22" s="7"/>
      <c r="EX22" s="69"/>
      <c r="EY22" s="8"/>
      <c r="EZ22" s="8"/>
      <c r="FA22" s="8"/>
      <c r="FB22" s="8"/>
      <c r="FC22" s="7"/>
      <c r="FD22" s="7"/>
      <c r="FE22" s="8"/>
      <c r="FF22" s="8"/>
      <c r="FG22" s="8"/>
      <c r="FH22" s="148"/>
      <c r="FI22" s="147"/>
      <c r="FJ22" s="7"/>
      <c r="FK22" s="7"/>
      <c r="FL22" s="8"/>
      <c r="FM22" s="8"/>
      <c r="FN22" s="8"/>
      <c r="FO22" s="8"/>
      <c r="FP22" s="8"/>
      <c r="FQ22" s="7"/>
      <c r="FR22" s="7"/>
      <c r="FS22" s="8"/>
      <c r="FT22" s="66" t="s">
        <v>3</v>
      </c>
      <c r="FU22" s="66" t="s">
        <v>3</v>
      </c>
      <c r="FV22" s="8"/>
      <c r="FW22" s="8"/>
      <c r="FX22" s="7"/>
      <c r="FY22" s="7"/>
      <c r="FZ22" s="69"/>
      <c r="GA22" s="69"/>
      <c r="GB22" s="8"/>
      <c r="GC22" s="8"/>
      <c r="GD22" s="8"/>
      <c r="GE22" s="7"/>
      <c r="GF22" s="7"/>
      <c r="GG22" s="8"/>
      <c r="GH22" s="8"/>
      <c r="GI22" s="8"/>
      <c r="GJ22" s="8"/>
      <c r="GK22" s="8"/>
      <c r="GL22" s="184"/>
      <c r="GM22" s="183"/>
      <c r="GN22" s="8"/>
      <c r="GO22" s="8"/>
      <c r="GP22" s="8"/>
      <c r="GQ22" s="8"/>
      <c r="GR22" s="8"/>
      <c r="GS22" s="7"/>
      <c r="GT22" s="7"/>
      <c r="GU22" s="69"/>
      <c r="GV22" s="8"/>
      <c r="GW22" s="8"/>
      <c r="GX22" s="8"/>
      <c r="GY22" s="66" t="s">
        <v>3</v>
      </c>
      <c r="GZ22" s="7"/>
      <c r="HA22" s="7"/>
      <c r="HB22" s="8"/>
      <c r="HC22" s="8"/>
      <c r="HD22" s="8"/>
      <c r="HE22" s="8"/>
      <c r="HF22" s="8"/>
      <c r="HG22" s="7"/>
      <c r="HH22" s="7"/>
      <c r="HI22" s="8"/>
      <c r="HJ22" s="8"/>
      <c r="HK22" s="8"/>
      <c r="HL22" s="8"/>
      <c r="HM22" s="69"/>
      <c r="HN22" s="7"/>
      <c r="HO22" s="7"/>
      <c r="HP22" s="8"/>
      <c r="HQ22" s="148"/>
      <c r="HR22" s="69"/>
      <c r="HS22" s="8"/>
      <c r="HT22" s="8"/>
      <c r="HU22" s="7"/>
      <c r="HV22" s="7"/>
      <c r="HW22" s="8"/>
      <c r="HX22" s="8"/>
      <c r="HY22" s="8"/>
      <c r="HZ22" s="8"/>
      <c r="IA22" s="8"/>
      <c r="IB22" s="7"/>
      <c r="IC22" s="7"/>
      <c r="ID22" s="68" t="s">
        <v>7</v>
      </c>
      <c r="IE22" s="68" t="s">
        <v>7</v>
      </c>
      <c r="IF22" s="68" t="s">
        <v>7</v>
      </c>
      <c r="IG22" s="68" t="s">
        <v>7</v>
      </c>
      <c r="IH22" s="68" t="s">
        <v>7</v>
      </c>
      <c r="II22" s="7"/>
      <c r="IJ22" s="7"/>
      <c r="IK22" s="68" t="s">
        <v>7</v>
      </c>
      <c r="IL22" s="68" t="s">
        <v>7</v>
      </c>
      <c r="IM22" s="68" t="s">
        <v>7</v>
      </c>
      <c r="IN22" s="8"/>
      <c r="IO22" s="8"/>
      <c r="IP22" s="7"/>
      <c r="IQ22" s="7"/>
      <c r="IR22" s="8"/>
      <c r="IS22" s="8"/>
      <c r="IT22" s="8"/>
      <c r="IU22" s="148"/>
      <c r="IV22" s="147"/>
      <c r="IW22" s="7"/>
      <c r="IX22" s="7"/>
      <c r="IY22" s="8"/>
      <c r="IZ22" s="8"/>
      <c r="JA22" s="8"/>
      <c r="JB22" s="8"/>
      <c r="JC22" s="69"/>
      <c r="JD22" s="7"/>
      <c r="JE22" s="7"/>
      <c r="JF22" s="8"/>
      <c r="JG22" s="8"/>
      <c r="JH22" s="8"/>
      <c r="JI22" s="8"/>
      <c r="JJ22" s="8"/>
      <c r="JK22" s="7"/>
      <c r="JL22" s="7"/>
      <c r="JM22" s="8"/>
      <c r="JN22" s="8"/>
      <c r="JO22" s="8"/>
      <c r="JP22" s="8"/>
      <c r="JQ22" s="8"/>
      <c r="JR22" s="7"/>
      <c r="JS22" s="7"/>
      <c r="JT22" s="69"/>
      <c r="JU22" s="8"/>
      <c r="JV22" s="8"/>
      <c r="JW22" s="8"/>
      <c r="JX22" s="8"/>
      <c r="JY22" s="87"/>
      <c r="JZ22" s="184"/>
      <c r="KA22" s="69"/>
      <c r="KB22" s="8"/>
      <c r="KC22" s="8"/>
      <c r="KD22" s="8"/>
      <c r="KE22" s="8"/>
      <c r="KF22" s="7"/>
      <c r="KG22" s="7"/>
      <c r="KH22" s="8"/>
      <c r="KI22" s="8"/>
      <c r="KJ22" s="8"/>
      <c r="KK22" s="8"/>
      <c r="KL22" s="8"/>
      <c r="KM22" s="7"/>
      <c r="KN22" s="7"/>
      <c r="KO22" s="8"/>
      <c r="KP22" s="8"/>
      <c r="KQ22" s="8"/>
      <c r="KR22" s="8"/>
      <c r="KS22" s="8"/>
      <c r="KT22" s="7"/>
      <c r="KU22" s="7"/>
      <c r="KV22" s="8"/>
      <c r="KW22" s="8"/>
      <c r="KX22" s="8"/>
      <c r="KY22" s="8"/>
      <c r="KZ22" s="8"/>
      <c r="LA22" s="7"/>
      <c r="LB22" s="7"/>
      <c r="LC22" s="8"/>
      <c r="LD22" s="8"/>
      <c r="LE22" s="148"/>
      <c r="LF22" s="147"/>
      <c r="LG22" s="8"/>
      <c r="LH22" s="7"/>
      <c r="LI22" s="7"/>
      <c r="LJ22" s="8"/>
      <c r="LK22" s="8"/>
      <c r="LL22" s="8"/>
      <c r="LM22" s="8"/>
      <c r="LN22" s="8"/>
      <c r="LO22" s="7"/>
      <c r="LP22" s="7"/>
      <c r="LQ22" s="8"/>
      <c r="LR22" s="8"/>
      <c r="LS22" s="8"/>
      <c r="LT22" s="8"/>
      <c r="LU22" s="8"/>
      <c r="LV22" s="7"/>
      <c r="LW22" s="7"/>
      <c r="LX22" s="8"/>
      <c r="LY22" s="8"/>
      <c r="LZ22" s="8"/>
      <c r="MA22" s="8"/>
      <c r="MB22" s="8"/>
      <c r="MC22" s="7"/>
      <c r="MD22" s="7"/>
      <c r="ME22" s="8"/>
      <c r="MF22" s="8"/>
      <c r="MG22" s="8"/>
      <c r="MH22" s="148"/>
      <c r="MI22" s="147"/>
      <c r="MJ22" s="7"/>
      <c r="MK22" s="7"/>
      <c r="ML22" s="66" t="s">
        <v>1</v>
      </c>
      <c r="MM22" s="66" t="s">
        <v>1</v>
      </c>
      <c r="MN22" s="66" t="s">
        <v>1</v>
      </c>
      <c r="MO22" s="66" t="s">
        <v>1</v>
      </c>
      <c r="MP22" s="66" t="s">
        <v>1</v>
      </c>
      <c r="MQ22" s="7"/>
      <c r="MR22" s="7"/>
      <c r="MS22" s="66" t="s">
        <v>1</v>
      </c>
      <c r="MT22" s="66" t="s">
        <v>1</v>
      </c>
      <c r="MU22" s="66" t="s">
        <v>1</v>
      </c>
      <c r="MV22" s="66" t="s">
        <v>1</v>
      </c>
      <c r="MW22" s="66" t="s">
        <v>1</v>
      </c>
      <c r="MX22" s="7"/>
      <c r="MY22" s="7"/>
      <c r="MZ22" s="66" t="s">
        <v>1</v>
      </c>
      <c r="NA22" s="66" t="s">
        <v>1</v>
      </c>
      <c r="NB22" s="66" t="s">
        <v>1</v>
      </c>
      <c r="NC22" s="66" t="s">
        <v>1</v>
      </c>
      <c r="ND22" s="66" t="s">
        <v>1</v>
      </c>
      <c r="NE22" s="7"/>
      <c r="NF22" s="7"/>
      <c r="NG22" s="8"/>
      <c r="NH22" s="8"/>
      <c r="NI22" s="8"/>
      <c r="NJ22" s="8"/>
      <c r="NK22" s="69"/>
      <c r="NL22" s="7"/>
      <c r="NM22" s="184"/>
    </row>
    <row r="23" spans="1:377" customFormat="1" ht="15.75" customHeight="1">
      <c r="A23" s="1"/>
      <c r="B23" s="29" t="s">
        <v>81</v>
      </c>
      <c r="C23" s="29" t="s">
        <v>30</v>
      </c>
      <c r="D23" s="29" t="s">
        <v>98</v>
      </c>
      <c r="E23" s="37">
        <v>0</v>
      </c>
      <c r="F23" s="29">
        <v>23</v>
      </c>
      <c r="G23" s="29">
        <v>0</v>
      </c>
      <c r="H23" s="29">
        <f t="shared" si="0"/>
        <v>6</v>
      </c>
      <c r="I23" s="30">
        <f t="shared" si="1"/>
        <v>-3</v>
      </c>
      <c r="J23" s="30">
        <f t="shared" si="2"/>
        <v>0</v>
      </c>
      <c r="K23" s="71">
        <f t="shared" si="3"/>
        <v>9</v>
      </c>
      <c r="L23" s="183"/>
      <c r="M23" s="7"/>
      <c r="N23" s="8"/>
      <c r="O23" s="8"/>
      <c r="P23" s="8"/>
      <c r="Q23" s="8"/>
      <c r="R23" s="69"/>
      <c r="S23" s="7"/>
      <c r="T23" s="7"/>
      <c r="U23" s="8"/>
      <c r="V23" s="8"/>
      <c r="W23" s="8"/>
      <c r="X23" s="8"/>
      <c r="Y23" s="8"/>
      <c r="Z23" s="7"/>
      <c r="AA23" s="7"/>
      <c r="AB23" s="8"/>
      <c r="AC23" s="8"/>
      <c r="AD23" s="8"/>
      <c r="AE23" s="8"/>
      <c r="AF23" s="8"/>
      <c r="AG23" s="7"/>
      <c r="AH23" s="7"/>
      <c r="AI23" s="8"/>
      <c r="AJ23" s="8"/>
      <c r="AK23" s="8"/>
      <c r="AL23" s="8"/>
      <c r="AM23" s="8"/>
      <c r="AN23" s="87"/>
      <c r="AO23" s="87"/>
      <c r="AP23" s="198"/>
      <c r="AQ23" s="8"/>
      <c r="AR23" s="8"/>
      <c r="AS23" s="8"/>
      <c r="AT23" s="8"/>
      <c r="AU23" s="7"/>
      <c r="AV23" s="7"/>
      <c r="AW23" s="8"/>
      <c r="AX23" s="8"/>
      <c r="AY23" s="8"/>
      <c r="AZ23" s="8"/>
      <c r="BA23" s="8"/>
      <c r="BB23" s="7"/>
      <c r="BC23" s="7"/>
      <c r="BD23" s="8"/>
      <c r="BE23" s="8"/>
      <c r="BF23" s="8"/>
      <c r="BG23" s="8"/>
      <c r="BH23" s="8"/>
      <c r="BI23" s="7"/>
      <c r="BJ23" s="7"/>
      <c r="BK23" s="8"/>
      <c r="BL23" s="8"/>
      <c r="BM23" s="8"/>
      <c r="BN23" s="8"/>
      <c r="BO23" s="8"/>
      <c r="BP23" s="7"/>
      <c r="BQ23" s="7"/>
      <c r="BR23" s="8"/>
      <c r="BS23" s="8"/>
      <c r="BT23" s="84"/>
      <c r="BU23" s="28"/>
      <c r="BV23" s="28"/>
      <c r="BW23" s="7"/>
      <c r="BX23" s="7"/>
      <c r="BY23" s="28"/>
      <c r="BZ23" s="28"/>
      <c r="CA23" s="28"/>
      <c r="CB23" s="28"/>
      <c r="CC23" s="28"/>
      <c r="CD23" s="7"/>
      <c r="CE23" s="7"/>
      <c r="CF23" s="28"/>
      <c r="CG23" s="28"/>
      <c r="CH23" s="28"/>
      <c r="CI23" s="28"/>
      <c r="CJ23" s="28"/>
      <c r="CK23" s="7"/>
      <c r="CL23" s="7"/>
      <c r="CM23" s="28"/>
      <c r="CN23" s="218"/>
      <c r="CO23" s="216"/>
      <c r="CP23" s="28"/>
      <c r="CQ23" s="69"/>
      <c r="CR23" s="7"/>
      <c r="CS23" s="7"/>
      <c r="CT23" s="69"/>
      <c r="CU23" s="66" t="s">
        <v>1</v>
      </c>
      <c r="CV23" s="66" t="s">
        <v>1</v>
      </c>
      <c r="CW23" s="66" t="s">
        <v>1</v>
      </c>
      <c r="CX23" s="66" t="s">
        <v>1</v>
      </c>
      <c r="CY23" s="183"/>
      <c r="CZ23" s="7"/>
      <c r="DA23" s="8"/>
      <c r="DB23" s="8"/>
      <c r="DC23" s="8"/>
      <c r="DD23" s="8"/>
      <c r="DE23" s="8"/>
      <c r="DF23" s="7"/>
      <c r="DG23" s="7"/>
      <c r="DH23" s="8"/>
      <c r="DI23" s="8"/>
      <c r="DJ23" s="8"/>
      <c r="DK23" s="8"/>
      <c r="DL23" s="8"/>
      <c r="DM23" s="7"/>
      <c r="DN23" s="7"/>
      <c r="DO23" s="8"/>
      <c r="DP23" s="8"/>
      <c r="DQ23" s="8"/>
      <c r="DR23" s="8"/>
      <c r="DS23" s="8"/>
      <c r="DT23" s="7"/>
      <c r="DU23" s="7"/>
      <c r="DV23" s="8"/>
      <c r="DW23" s="68" t="s">
        <v>7</v>
      </c>
      <c r="DX23" s="68" t="s">
        <v>7</v>
      </c>
      <c r="DY23" s="68" t="s">
        <v>7</v>
      </c>
      <c r="DZ23" s="68" t="s">
        <v>7</v>
      </c>
      <c r="EA23" s="7"/>
      <c r="EB23" s="87"/>
      <c r="EC23" s="68" t="s">
        <v>7</v>
      </c>
      <c r="ED23" s="68" t="s">
        <v>7</v>
      </c>
      <c r="EE23" s="68" t="s">
        <v>7</v>
      </c>
      <c r="EF23" s="68" t="s">
        <v>7</v>
      </c>
      <c r="EG23" s="68" t="s">
        <v>7</v>
      </c>
      <c r="EH23" s="7"/>
      <c r="EI23" s="7"/>
      <c r="EJ23" s="8"/>
      <c r="EK23" s="8"/>
      <c r="EL23" s="8"/>
      <c r="EM23" s="8"/>
      <c r="EN23" s="8"/>
      <c r="EO23" s="7"/>
      <c r="EP23" s="7"/>
      <c r="EQ23" s="8"/>
      <c r="ER23" s="69"/>
      <c r="ES23" s="8"/>
      <c r="ET23" s="8"/>
      <c r="EU23" s="8"/>
      <c r="EV23" s="7"/>
      <c r="EW23" s="7"/>
      <c r="EX23" s="8"/>
      <c r="EY23" s="8"/>
      <c r="EZ23" s="8"/>
      <c r="FA23" s="8"/>
      <c r="FB23" s="8"/>
      <c r="FC23" s="7"/>
      <c r="FD23" s="7"/>
      <c r="FE23" s="8"/>
      <c r="FF23" s="8"/>
      <c r="FG23" s="8"/>
      <c r="FH23" s="148"/>
      <c r="FI23" s="147"/>
      <c r="FJ23" s="7"/>
      <c r="FK23" s="7"/>
      <c r="FL23" s="8"/>
      <c r="FM23" s="8"/>
      <c r="FN23" s="8"/>
      <c r="FO23" s="8"/>
      <c r="FP23" s="8"/>
      <c r="FQ23" s="7"/>
      <c r="FR23" s="7"/>
      <c r="FS23" s="8"/>
      <c r="FT23" s="8"/>
      <c r="FU23" s="8"/>
      <c r="FV23" s="66" t="s">
        <v>3</v>
      </c>
      <c r="FW23" s="66" t="s">
        <v>3</v>
      </c>
      <c r="FX23" s="7"/>
      <c r="FY23" s="7"/>
      <c r="FZ23" s="69"/>
      <c r="GA23" s="69"/>
      <c r="GB23" s="66" t="s">
        <v>1</v>
      </c>
      <c r="GC23" s="8"/>
      <c r="GD23" s="8"/>
      <c r="GE23" s="7"/>
      <c r="GF23" s="7"/>
      <c r="GG23" s="8"/>
      <c r="GH23" s="8"/>
      <c r="GI23" s="8"/>
      <c r="GJ23" s="8"/>
      <c r="GK23" s="8"/>
      <c r="GL23" s="184"/>
      <c r="GM23" s="183"/>
      <c r="GN23" s="8"/>
      <c r="GO23" s="8"/>
      <c r="GP23" s="8"/>
      <c r="GQ23" s="8"/>
      <c r="GR23" s="8"/>
      <c r="GS23" s="7"/>
      <c r="GT23" s="7"/>
      <c r="GU23" s="69"/>
      <c r="GV23" s="8"/>
      <c r="GW23" s="8"/>
      <c r="GX23" s="8"/>
      <c r="GY23" s="8"/>
      <c r="GZ23" s="7"/>
      <c r="HA23" s="7"/>
      <c r="HB23" s="8"/>
      <c r="HC23" s="8"/>
      <c r="HD23" s="8"/>
      <c r="HE23" s="8"/>
      <c r="HF23" s="8"/>
      <c r="HG23" s="7"/>
      <c r="HH23" s="7"/>
      <c r="HI23" s="8"/>
      <c r="HJ23" s="8"/>
      <c r="HK23" s="8"/>
      <c r="HL23" s="8"/>
      <c r="HM23" s="69"/>
      <c r="HN23" s="7"/>
      <c r="HO23" s="7"/>
      <c r="HP23" s="8"/>
      <c r="HQ23" s="148"/>
      <c r="HR23" s="69"/>
      <c r="HS23" s="8"/>
      <c r="HT23" s="8"/>
      <c r="HU23" s="7"/>
      <c r="HV23" s="7"/>
      <c r="HW23" s="8"/>
      <c r="HX23" s="8"/>
      <c r="HY23" s="8"/>
      <c r="HZ23" s="8"/>
      <c r="IA23" s="8"/>
      <c r="IB23" s="7"/>
      <c r="IC23" s="7"/>
      <c r="ID23" s="8"/>
      <c r="IE23" s="8"/>
      <c r="IF23" s="8"/>
      <c r="IG23" s="8"/>
      <c r="IH23" s="8"/>
      <c r="II23" s="7"/>
      <c r="IJ23" s="7"/>
      <c r="IK23" s="66" t="s">
        <v>1</v>
      </c>
      <c r="IL23" s="66" t="s">
        <v>1</v>
      </c>
      <c r="IM23" s="66" t="s">
        <v>3</v>
      </c>
      <c r="IN23" s="8"/>
      <c r="IO23" s="8"/>
      <c r="IP23" s="7"/>
      <c r="IQ23" s="7"/>
      <c r="IR23" s="8"/>
      <c r="IS23" s="8"/>
      <c r="IT23" s="8"/>
      <c r="IU23" s="148"/>
      <c r="IV23" s="147"/>
      <c r="IW23" s="7"/>
      <c r="IX23" s="7"/>
      <c r="IY23" s="8"/>
      <c r="IZ23" s="8"/>
      <c r="JA23" s="8"/>
      <c r="JB23" s="8"/>
      <c r="JC23" s="69"/>
      <c r="JD23" s="7"/>
      <c r="JE23" s="7"/>
      <c r="JF23" s="8"/>
      <c r="JG23" s="8"/>
      <c r="JH23" s="8"/>
      <c r="JI23" s="8"/>
      <c r="JJ23" s="8"/>
      <c r="JK23" s="7"/>
      <c r="JL23" s="7"/>
      <c r="JM23" s="8"/>
      <c r="JN23" s="8"/>
      <c r="JO23" s="8"/>
      <c r="JP23" s="8"/>
      <c r="JQ23" s="8"/>
      <c r="JR23" s="7"/>
      <c r="JS23" s="7"/>
      <c r="JT23" s="69"/>
      <c r="JU23" s="8"/>
      <c r="JV23" s="8"/>
      <c r="JW23" s="8"/>
      <c r="JX23" s="8"/>
      <c r="JY23" s="87"/>
      <c r="JZ23" s="184"/>
      <c r="KA23" s="69"/>
      <c r="KB23" s="8"/>
      <c r="KC23" s="8"/>
      <c r="KD23" s="8"/>
      <c r="KE23" s="8"/>
      <c r="KF23" s="7"/>
      <c r="KG23" s="7"/>
      <c r="KH23" s="8"/>
      <c r="KI23" s="8"/>
      <c r="KJ23" s="8"/>
      <c r="KK23" s="8"/>
      <c r="KL23" s="8"/>
      <c r="KM23" s="7"/>
      <c r="KN23" s="7"/>
      <c r="KO23" s="8"/>
      <c r="KP23" s="8"/>
      <c r="KQ23" s="8"/>
      <c r="KR23" s="8"/>
      <c r="KS23" s="8"/>
      <c r="KT23" s="7"/>
      <c r="KU23" s="7"/>
      <c r="KV23" s="8"/>
      <c r="KW23" s="8"/>
      <c r="KX23" s="8"/>
      <c r="KY23" s="8"/>
      <c r="KZ23" s="8"/>
      <c r="LA23" s="7"/>
      <c r="LB23" s="7"/>
      <c r="LC23" s="8"/>
      <c r="LD23" s="8"/>
      <c r="LE23" s="148"/>
      <c r="LF23" s="147"/>
      <c r="LG23" s="8"/>
      <c r="LH23" s="7"/>
      <c r="LI23" s="7"/>
      <c r="LJ23" s="8"/>
      <c r="LK23" s="8"/>
      <c r="LL23" s="8"/>
      <c r="LM23" s="8"/>
      <c r="LN23" s="8"/>
      <c r="LO23" s="7"/>
      <c r="LP23" s="7"/>
      <c r="LQ23" s="66" t="s">
        <v>1</v>
      </c>
      <c r="LR23" s="66" t="s">
        <v>1</v>
      </c>
      <c r="LS23" s="66" t="s">
        <v>1</v>
      </c>
      <c r="LT23" s="66" t="s">
        <v>1</v>
      </c>
      <c r="LU23" s="66" t="s">
        <v>1</v>
      </c>
      <c r="LV23" s="7"/>
      <c r="LW23" s="7"/>
      <c r="LX23" s="66" t="s">
        <v>1</v>
      </c>
      <c r="LY23" s="66" t="s">
        <v>1</v>
      </c>
      <c r="LZ23" s="66" t="s">
        <v>1</v>
      </c>
      <c r="MA23" s="66" t="s">
        <v>1</v>
      </c>
      <c r="MB23" s="66" t="s">
        <v>1</v>
      </c>
      <c r="MC23" s="7"/>
      <c r="MD23" s="7"/>
      <c r="ME23" s="8"/>
      <c r="MF23" s="8"/>
      <c r="MG23" s="8"/>
      <c r="MH23" s="148"/>
      <c r="MI23" s="147"/>
      <c r="MJ23" s="7"/>
      <c r="MK23" s="7"/>
      <c r="ML23" s="8"/>
      <c r="MM23" s="8"/>
      <c r="MN23" s="8"/>
      <c r="MO23" s="8"/>
      <c r="MP23" s="8"/>
      <c r="MQ23" s="7"/>
      <c r="MR23" s="7"/>
      <c r="MS23" s="8"/>
      <c r="MT23" s="8"/>
      <c r="MU23" s="8"/>
      <c r="MV23" s="8"/>
      <c r="MW23" s="8"/>
      <c r="MX23" s="7"/>
      <c r="MY23" s="7"/>
      <c r="MZ23" s="8"/>
      <c r="NA23" s="8"/>
      <c r="NB23" s="8"/>
      <c r="NC23" s="8"/>
      <c r="ND23" s="8"/>
      <c r="NE23" s="7"/>
      <c r="NF23" s="7"/>
      <c r="NG23" s="8"/>
      <c r="NH23" s="8"/>
      <c r="NI23" s="8"/>
      <c r="NJ23" s="8"/>
      <c r="NK23" s="69"/>
      <c r="NL23" s="7"/>
      <c r="NM23" s="184"/>
    </row>
    <row r="24" spans="1:377" customFormat="1" ht="15.75" customHeight="1">
      <c r="A24" s="1"/>
      <c r="B24" s="29" t="s">
        <v>99</v>
      </c>
      <c r="C24" s="29" t="s">
        <v>30</v>
      </c>
      <c r="D24" s="29" t="s">
        <v>98</v>
      </c>
      <c r="E24" s="37">
        <v>0</v>
      </c>
      <c r="F24" s="29">
        <v>23</v>
      </c>
      <c r="G24" s="29">
        <v>0</v>
      </c>
      <c r="H24" s="29">
        <f t="shared" ref="H24:H25" si="4">E24+F24-COUNTIF(L24:NM24,$C$2)</f>
        <v>8</v>
      </c>
      <c r="I24" s="30">
        <f t="shared" ref="I24:I25" si="5">G24-COUNTIF(L24:NM24,$C$3)</f>
        <v>0</v>
      </c>
      <c r="J24" s="30">
        <f t="shared" ref="J24:J25" si="6">COUNTIF(K24:NH24,$C$4)</f>
        <v>0</v>
      </c>
      <c r="K24" s="71">
        <f t="shared" ref="K24:K25" si="7">COUNTIF(L24:NM24,$C$5)</f>
        <v>0</v>
      </c>
      <c r="L24" s="183"/>
      <c r="M24" s="7"/>
      <c r="N24" s="8"/>
      <c r="O24" s="8"/>
      <c r="P24" s="8"/>
      <c r="Q24" s="8"/>
      <c r="R24" s="69"/>
      <c r="S24" s="7"/>
      <c r="T24" s="7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147"/>
      <c r="IW24" s="7"/>
      <c r="IX24" s="7"/>
      <c r="IY24" s="8"/>
      <c r="IZ24" s="8"/>
      <c r="JA24" s="8"/>
      <c r="JB24" s="8"/>
      <c r="JC24" s="69"/>
      <c r="JD24" s="7"/>
      <c r="JE24" s="7"/>
      <c r="JF24" s="8"/>
      <c r="JG24" s="8"/>
      <c r="JH24" s="8"/>
      <c r="JI24" s="8"/>
      <c r="JJ24" s="8"/>
      <c r="JK24" s="7"/>
      <c r="JL24" s="7"/>
      <c r="JM24" s="8"/>
      <c r="JN24" s="8"/>
      <c r="JO24" s="8"/>
      <c r="JP24" s="8"/>
      <c r="JQ24" s="8"/>
      <c r="JR24" s="7"/>
      <c r="JS24" s="7"/>
      <c r="JT24" s="69"/>
      <c r="JU24" s="8"/>
      <c r="JV24" s="8"/>
      <c r="JW24" s="8"/>
      <c r="JX24" s="8"/>
      <c r="JY24" s="87"/>
      <c r="JZ24" s="184"/>
      <c r="KA24" s="249"/>
      <c r="KB24" s="8"/>
      <c r="KC24" s="8"/>
      <c r="KD24" s="8"/>
      <c r="KE24" s="8"/>
      <c r="KF24" s="7"/>
      <c r="KG24" s="7"/>
      <c r="KH24" s="66" t="s">
        <v>1</v>
      </c>
      <c r="KI24" s="66" t="s">
        <v>1</v>
      </c>
      <c r="KJ24" s="66" t="s">
        <v>1</v>
      </c>
      <c r="KK24" s="66" t="s">
        <v>1</v>
      </c>
      <c r="KL24" s="66" t="s">
        <v>1</v>
      </c>
      <c r="KM24" s="7"/>
      <c r="KN24" s="7"/>
      <c r="KO24" s="66" t="s">
        <v>1</v>
      </c>
      <c r="KP24" s="66" t="s">
        <v>1</v>
      </c>
      <c r="KQ24" s="66" t="s">
        <v>1</v>
      </c>
      <c r="KR24" s="66" t="s">
        <v>1</v>
      </c>
      <c r="KS24" s="66" t="s">
        <v>1</v>
      </c>
      <c r="KT24" s="7"/>
      <c r="KU24" s="7"/>
      <c r="KV24" s="66" t="s">
        <v>1</v>
      </c>
      <c r="KW24" s="66" t="s">
        <v>1</v>
      </c>
      <c r="KX24" s="66" t="s">
        <v>1</v>
      </c>
      <c r="KY24" s="66" t="s">
        <v>1</v>
      </c>
      <c r="KZ24" s="66" t="s">
        <v>1</v>
      </c>
      <c r="LA24" s="7"/>
      <c r="LB24" s="7"/>
      <c r="LC24" s="8"/>
      <c r="LD24" s="8"/>
      <c r="LE24" s="148"/>
      <c r="LF24" s="147"/>
      <c r="LG24" s="8"/>
      <c r="LH24" s="7"/>
      <c r="LI24" s="7"/>
      <c r="LJ24" s="8"/>
      <c r="LK24" s="8"/>
      <c r="LL24" s="8"/>
      <c r="LM24" s="8"/>
      <c r="LN24" s="8"/>
      <c r="LO24" s="7"/>
      <c r="LP24" s="7"/>
      <c r="LQ24" s="8"/>
      <c r="LR24" s="8"/>
      <c r="LS24" s="8"/>
      <c r="LT24" s="8"/>
      <c r="LU24" s="8"/>
      <c r="LV24" s="7"/>
      <c r="LW24" s="7"/>
      <c r="LX24" s="8"/>
      <c r="LY24" s="8"/>
      <c r="LZ24" s="8"/>
      <c r="MA24" s="8"/>
      <c r="MB24" s="8"/>
      <c r="MC24" s="7"/>
      <c r="MD24" s="7"/>
      <c r="ME24" s="8"/>
      <c r="MF24" s="8"/>
      <c r="MG24" s="8"/>
      <c r="MH24" s="148"/>
      <c r="MI24" s="147"/>
      <c r="MJ24" s="7"/>
      <c r="MK24" s="7"/>
      <c r="ML24" s="8"/>
      <c r="MM24" s="8"/>
      <c r="MN24" s="8"/>
      <c r="MO24" s="8"/>
      <c r="MP24" s="8"/>
      <c r="MQ24" s="7"/>
      <c r="MR24" s="7"/>
      <c r="MS24" s="8"/>
      <c r="MT24" s="8"/>
      <c r="MU24" s="8"/>
      <c r="MV24" s="8"/>
      <c r="MW24" s="8"/>
      <c r="MX24" s="7"/>
      <c r="MY24" s="7"/>
      <c r="MZ24" s="8"/>
      <c r="NA24" s="8"/>
      <c r="NB24" s="8"/>
      <c r="NC24" s="8"/>
      <c r="ND24" s="8"/>
      <c r="NE24" s="7"/>
      <c r="NF24" s="7"/>
      <c r="NG24" s="8"/>
      <c r="NH24" s="8"/>
      <c r="NI24" s="8"/>
      <c r="NJ24" s="8"/>
      <c r="NK24" s="249"/>
      <c r="NL24" s="7"/>
      <c r="NM24" s="184"/>
    </row>
    <row r="25" spans="1:377" customFormat="1" ht="15.75" customHeight="1">
      <c r="A25" s="1"/>
      <c r="B25" s="29" t="s">
        <v>100</v>
      </c>
      <c r="C25" s="29" t="s">
        <v>30</v>
      </c>
      <c r="D25" s="29" t="s">
        <v>98</v>
      </c>
      <c r="E25" s="37">
        <v>0</v>
      </c>
      <c r="F25" s="29">
        <v>23</v>
      </c>
      <c r="G25" s="29">
        <v>0</v>
      </c>
      <c r="H25" s="29">
        <f t="shared" si="4"/>
        <v>8</v>
      </c>
      <c r="I25" s="30">
        <f t="shared" si="5"/>
        <v>0</v>
      </c>
      <c r="J25" s="30">
        <f t="shared" si="6"/>
        <v>0</v>
      </c>
      <c r="K25" s="71">
        <f t="shared" si="7"/>
        <v>0</v>
      </c>
      <c r="L25" s="183"/>
      <c r="M25" s="7"/>
      <c r="N25" s="8"/>
      <c r="O25" s="8"/>
      <c r="P25" s="8"/>
      <c r="Q25" s="8"/>
      <c r="R25" s="69"/>
      <c r="S25" s="7"/>
      <c r="T25" s="7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147"/>
      <c r="IW25" s="7"/>
      <c r="IX25" s="7"/>
      <c r="IY25" s="8"/>
      <c r="IZ25" s="8"/>
      <c r="JA25" s="8"/>
      <c r="JB25" s="8"/>
      <c r="JC25" s="69"/>
      <c r="JD25" s="7"/>
      <c r="JE25" s="7"/>
      <c r="JF25" s="8"/>
      <c r="JG25" s="8"/>
      <c r="JH25" s="8"/>
      <c r="JI25" s="8"/>
      <c r="JJ25" s="8"/>
      <c r="JK25" s="7"/>
      <c r="JL25" s="7"/>
      <c r="JM25" s="8"/>
      <c r="JN25" s="8"/>
      <c r="JO25" s="8"/>
      <c r="JP25" s="8"/>
      <c r="JQ25" s="8"/>
      <c r="JR25" s="7"/>
      <c r="JS25" s="7"/>
      <c r="JT25" s="69"/>
      <c r="JU25" s="8"/>
      <c r="JV25" s="8"/>
      <c r="JW25" s="8"/>
      <c r="JX25" s="8"/>
      <c r="JY25" s="87"/>
      <c r="JZ25" s="184"/>
      <c r="KA25" s="249"/>
      <c r="KB25" s="8"/>
      <c r="KC25" s="8"/>
      <c r="KD25" s="8"/>
      <c r="KE25" s="8"/>
      <c r="KF25" s="7"/>
      <c r="KG25" s="7"/>
      <c r="KH25" s="8"/>
      <c r="KI25" s="8"/>
      <c r="KJ25" s="8"/>
      <c r="KK25" s="8"/>
      <c r="KL25" s="8"/>
      <c r="KM25" s="7"/>
      <c r="KN25" s="7"/>
      <c r="KO25" s="8"/>
      <c r="KP25" s="8"/>
      <c r="KQ25" s="8"/>
      <c r="KR25" s="8"/>
      <c r="KS25" s="8"/>
      <c r="KT25" s="7"/>
      <c r="KU25" s="7"/>
      <c r="KV25" s="8"/>
      <c r="KW25" s="8"/>
      <c r="KX25" s="8"/>
      <c r="KY25" s="8"/>
      <c r="KZ25" s="8"/>
      <c r="LA25" s="7"/>
      <c r="LB25" s="7"/>
      <c r="LC25" s="8"/>
      <c r="LD25" s="8"/>
      <c r="LE25" s="148"/>
      <c r="LF25" s="147"/>
      <c r="LG25" s="8"/>
      <c r="LH25" s="7"/>
      <c r="LI25" s="7"/>
      <c r="LJ25" s="8"/>
      <c r="LK25" s="8"/>
      <c r="LL25" s="8"/>
      <c r="LM25" s="8"/>
      <c r="LN25" s="8"/>
      <c r="LO25" s="7"/>
      <c r="LP25" s="7"/>
      <c r="LQ25" s="66" t="s">
        <v>1</v>
      </c>
      <c r="LR25" s="66" t="s">
        <v>1</v>
      </c>
      <c r="LS25" s="66" t="s">
        <v>1</v>
      </c>
      <c r="LT25" s="66" t="s">
        <v>1</v>
      </c>
      <c r="LU25" s="66" t="s">
        <v>1</v>
      </c>
      <c r="LV25" s="7"/>
      <c r="LW25" s="7"/>
      <c r="LX25" s="66" t="s">
        <v>1</v>
      </c>
      <c r="LY25" s="66" t="s">
        <v>1</v>
      </c>
      <c r="LZ25" s="66" t="s">
        <v>1</v>
      </c>
      <c r="MA25" s="66" t="s">
        <v>1</v>
      </c>
      <c r="MB25" s="66" t="s">
        <v>1</v>
      </c>
      <c r="MC25" s="7"/>
      <c r="MD25" s="7"/>
      <c r="ME25" s="66" t="s">
        <v>1</v>
      </c>
      <c r="MF25" s="66" t="s">
        <v>1</v>
      </c>
      <c r="MG25" s="66" t="s">
        <v>1</v>
      </c>
      <c r="MH25" s="66" t="s">
        <v>1</v>
      </c>
      <c r="MI25" s="66" t="s">
        <v>1</v>
      </c>
      <c r="MJ25" s="7"/>
      <c r="MK25" s="7"/>
      <c r="ML25" s="8"/>
      <c r="MM25" s="8"/>
      <c r="MN25" s="8"/>
      <c r="MO25" s="8"/>
      <c r="MP25" s="8"/>
      <c r="MQ25" s="7"/>
      <c r="MR25" s="7"/>
      <c r="MS25" s="8"/>
      <c r="MT25" s="8"/>
      <c r="MU25" s="8"/>
      <c r="MV25" s="8"/>
      <c r="MW25" s="8"/>
      <c r="MX25" s="7"/>
      <c r="MY25" s="7"/>
      <c r="MZ25" s="8"/>
      <c r="NA25" s="8"/>
      <c r="NB25" s="8"/>
      <c r="NC25" s="8"/>
      <c r="ND25" s="8"/>
      <c r="NE25" s="7"/>
      <c r="NF25" s="7"/>
      <c r="NG25" s="8"/>
      <c r="NH25" s="8"/>
      <c r="NI25" s="8"/>
      <c r="NJ25" s="8"/>
      <c r="NK25" s="249"/>
      <c r="NL25" s="7"/>
      <c r="NM25" s="184"/>
    </row>
    <row r="26" spans="1:377" customFormat="1" ht="15.75" customHeight="1">
      <c r="A26" s="1"/>
      <c r="B26" s="29" t="s">
        <v>82</v>
      </c>
      <c r="C26" s="29" t="s">
        <v>30</v>
      </c>
      <c r="D26" s="29" t="s">
        <v>98</v>
      </c>
      <c r="E26" s="37">
        <v>0</v>
      </c>
      <c r="F26" s="29">
        <v>23</v>
      </c>
      <c r="G26" s="29">
        <v>0</v>
      </c>
      <c r="H26" s="29">
        <f t="shared" si="0"/>
        <v>23</v>
      </c>
      <c r="I26" s="30">
        <f t="shared" si="1"/>
        <v>0</v>
      </c>
      <c r="J26" s="30">
        <f t="shared" si="2"/>
        <v>0</v>
      </c>
      <c r="K26" s="71">
        <f t="shared" si="3"/>
        <v>0</v>
      </c>
      <c r="L26" s="183"/>
      <c r="M26" s="7"/>
      <c r="N26" s="8"/>
      <c r="O26" s="8"/>
      <c r="P26" s="8"/>
      <c r="Q26" s="8"/>
      <c r="R26" s="69"/>
      <c r="S26" s="7"/>
      <c r="T26" s="7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100"/>
      <c r="AO26" s="100"/>
      <c r="AP26" s="209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94"/>
      <c r="BU26" s="122"/>
      <c r="BV26" s="122"/>
      <c r="BW26" s="53"/>
      <c r="BX26" s="53"/>
      <c r="BY26" s="122"/>
      <c r="BZ26" s="122"/>
      <c r="CA26" s="122"/>
      <c r="CB26" s="122"/>
      <c r="CC26" s="122"/>
      <c r="CD26" s="53"/>
      <c r="CE26" s="53"/>
      <c r="CF26" s="122"/>
      <c r="CG26" s="122"/>
      <c r="CH26" s="122"/>
      <c r="CI26" s="122"/>
      <c r="CJ26" s="122"/>
      <c r="CK26" s="53"/>
      <c r="CL26" s="53"/>
      <c r="CM26" s="122"/>
      <c r="CN26" s="219"/>
      <c r="CO26" s="208"/>
      <c r="CP26" s="122"/>
      <c r="CQ26" s="122"/>
      <c r="CR26" s="53"/>
      <c r="CS26" s="53"/>
      <c r="CT26" s="208"/>
      <c r="CU26" s="122"/>
      <c r="CV26" s="122"/>
      <c r="CW26" s="122"/>
      <c r="CX26" s="210"/>
      <c r="CY26" s="157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100"/>
      <c r="EC26" s="158"/>
      <c r="ED26" s="157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208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158"/>
      <c r="FI26" s="157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208"/>
      <c r="GA26" s="208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158"/>
      <c r="GM26" s="157"/>
      <c r="GN26" s="53"/>
      <c r="GO26" s="53"/>
      <c r="GP26" s="53"/>
      <c r="GQ26" s="53"/>
      <c r="GR26" s="53"/>
      <c r="GS26" s="53"/>
      <c r="GT26" s="53"/>
      <c r="GU26" s="208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208"/>
      <c r="HN26" s="53"/>
      <c r="HO26" s="53"/>
      <c r="HP26" s="53"/>
      <c r="HQ26" s="158"/>
      <c r="HR26" s="208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158"/>
      <c r="IV26" s="157"/>
      <c r="IW26" s="53"/>
      <c r="IX26" s="53"/>
      <c r="IY26" s="53"/>
      <c r="IZ26" s="53"/>
      <c r="JA26" s="53"/>
      <c r="JB26" s="53"/>
      <c r="JC26" s="208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208"/>
      <c r="JU26" s="53"/>
      <c r="JV26" s="53"/>
      <c r="JW26" s="53"/>
      <c r="JX26" s="53"/>
      <c r="JY26" s="100"/>
      <c r="JZ26" s="158"/>
      <c r="KA26" s="157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158"/>
      <c r="LF26" s="157"/>
      <c r="LG26" s="53"/>
      <c r="LH26" s="53"/>
      <c r="LI26" s="53"/>
      <c r="LJ26" s="53"/>
      <c r="LK26" s="53"/>
      <c r="LL26" s="53"/>
      <c r="LM26" s="53"/>
      <c r="LN26" s="53"/>
      <c r="LO26" s="53"/>
      <c r="LP26" s="53"/>
      <c r="LQ26" s="53"/>
      <c r="LR26" s="53"/>
      <c r="LS26" s="53"/>
      <c r="LT26" s="53"/>
      <c r="LU26" s="53"/>
      <c r="LV26" s="53"/>
      <c r="LW26" s="53"/>
      <c r="LX26" s="53"/>
      <c r="LY26" s="53"/>
      <c r="LZ26" s="53"/>
      <c r="MA26" s="53"/>
      <c r="MB26" s="53"/>
      <c r="MC26" s="53"/>
      <c r="MD26" s="53"/>
      <c r="ME26" s="53"/>
      <c r="MF26" s="53"/>
      <c r="MG26" s="53"/>
      <c r="MH26" s="158"/>
      <c r="MI26" s="157"/>
      <c r="MJ26" s="53"/>
      <c r="MK26" s="53"/>
      <c r="ML26" s="53"/>
      <c r="MM26" s="53"/>
      <c r="MN26" s="53"/>
      <c r="MO26" s="53"/>
      <c r="MP26" s="53"/>
      <c r="MQ26" s="53"/>
      <c r="MR26" s="53"/>
      <c r="MS26" s="53"/>
      <c r="MT26" s="53"/>
      <c r="MU26" s="53"/>
      <c r="MV26" s="53"/>
      <c r="MW26" s="53"/>
      <c r="MX26" s="53"/>
      <c r="MY26" s="53"/>
      <c r="MZ26" s="53"/>
      <c r="NA26" s="53"/>
      <c r="NB26" s="53"/>
      <c r="NC26" s="53"/>
      <c r="ND26" s="53"/>
      <c r="NE26" s="53"/>
      <c r="NF26" s="53"/>
      <c r="NG26" s="53"/>
      <c r="NH26" s="53"/>
      <c r="NI26" s="53"/>
      <c r="NJ26" s="53"/>
      <c r="NK26" s="53"/>
      <c r="NL26" s="53"/>
      <c r="NM26" s="158"/>
    </row>
    <row r="27" spans="1:377" customFormat="1" ht="15.75" customHeight="1">
      <c r="A27" s="1"/>
      <c r="B27" s="29" t="s">
        <v>32</v>
      </c>
      <c r="C27" s="29" t="s">
        <v>30</v>
      </c>
      <c r="D27" s="29" t="s">
        <v>31</v>
      </c>
      <c r="E27" s="37">
        <v>0</v>
      </c>
      <c r="F27" s="29">
        <v>23</v>
      </c>
      <c r="G27" s="29">
        <v>0</v>
      </c>
      <c r="H27" s="29">
        <f t="shared" si="0"/>
        <v>8</v>
      </c>
      <c r="I27" s="30">
        <f t="shared" si="1"/>
        <v>-3</v>
      </c>
      <c r="J27" s="30">
        <f t="shared" si="2"/>
        <v>0</v>
      </c>
      <c r="K27" s="71">
        <f t="shared" si="3"/>
        <v>0</v>
      </c>
      <c r="L27" s="183"/>
      <c r="M27" s="7"/>
      <c r="N27" s="8"/>
      <c r="O27" s="8"/>
      <c r="P27" s="8"/>
      <c r="Q27" s="8"/>
      <c r="R27" s="69"/>
      <c r="S27" s="7"/>
      <c r="T27" s="7"/>
      <c r="U27" s="8"/>
      <c r="V27" s="8"/>
      <c r="W27" s="8"/>
      <c r="X27" s="8"/>
      <c r="Y27" s="8"/>
      <c r="Z27" s="7"/>
      <c r="AA27" s="7"/>
      <c r="AB27" s="8"/>
      <c r="AC27" s="8"/>
      <c r="AD27" s="8"/>
      <c r="AE27" s="8"/>
      <c r="AF27" s="8"/>
      <c r="AG27" s="7"/>
      <c r="AH27" s="7"/>
      <c r="AI27" s="8"/>
      <c r="AJ27" s="8"/>
      <c r="AK27" s="8"/>
      <c r="AL27" s="8"/>
      <c r="AM27" s="8"/>
      <c r="AN27" s="87"/>
      <c r="AO27" s="87"/>
      <c r="AP27" s="198"/>
      <c r="AQ27" s="8"/>
      <c r="AR27" s="8"/>
      <c r="AS27" s="8"/>
      <c r="AT27" s="8"/>
      <c r="AU27" s="7"/>
      <c r="AV27" s="7"/>
      <c r="AW27" s="8"/>
      <c r="AX27" s="8"/>
      <c r="AY27" s="8"/>
      <c r="AZ27" s="8"/>
      <c r="BA27" s="8"/>
      <c r="BB27" s="7"/>
      <c r="BC27" s="7"/>
      <c r="BD27" s="8"/>
      <c r="BE27" s="8"/>
      <c r="BF27" s="8"/>
      <c r="BG27" s="8"/>
      <c r="BH27" s="8"/>
      <c r="BI27" s="7"/>
      <c r="BJ27" s="7"/>
      <c r="BK27" s="8"/>
      <c r="BL27" s="8"/>
      <c r="BM27" s="8"/>
      <c r="BN27" s="8"/>
      <c r="BO27" s="8"/>
      <c r="BP27" s="7"/>
      <c r="BQ27" s="7"/>
      <c r="BR27" s="8"/>
      <c r="BS27" s="8"/>
      <c r="BT27" s="84"/>
      <c r="BU27" s="28"/>
      <c r="BV27" s="28"/>
      <c r="BW27" s="7"/>
      <c r="BX27" s="7"/>
      <c r="BY27" s="28"/>
      <c r="BZ27" s="28"/>
      <c r="CA27" s="28"/>
      <c r="CB27" s="28"/>
      <c r="CC27" s="28"/>
      <c r="CD27" s="7"/>
      <c r="CE27" s="7"/>
      <c r="CF27" s="28"/>
      <c r="CG27" s="28"/>
      <c r="CH27" s="28"/>
      <c r="CI27" s="28"/>
      <c r="CJ27" s="28"/>
      <c r="CK27" s="7"/>
      <c r="CL27" s="7"/>
      <c r="CM27" s="28"/>
      <c r="CN27" s="218"/>
      <c r="CO27" s="216"/>
      <c r="CP27" s="28"/>
      <c r="CQ27" s="69"/>
      <c r="CR27" s="7"/>
      <c r="CS27" s="7"/>
      <c r="CT27" s="69"/>
      <c r="CU27" s="28"/>
      <c r="CV27" s="28"/>
      <c r="CW27" s="28"/>
      <c r="CX27" s="186"/>
      <c r="CY27" s="183"/>
      <c r="CZ27" s="7"/>
      <c r="DA27" s="8"/>
      <c r="DB27" s="8"/>
      <c r="DC27" s="8"/>
      <c r="DD27" s="8"/>
      <c r="DE27" s="8"/>
      <c r="DF27" s="7"/>
      <c r="DG27" s="7"/>
      <c r="DH27" s="66" t="s">
        <v>3</v>
      </c>
      <c r="DI27" s="66" t="s">
        <v>3</v>
      </c>
      <c r="DJ27" s="8"/>
      <c r="DK27" s="8"/>
      <c r="DL27" s="8"/>
      <c r="DM27" s="7"/>
      <c r="DN27" s="7"/>
      <c r="DO27" s="8"/>
      <c r="DP27" s="8"/>
      <c r="DQ27" s="8"/>
      <c r="DR27" s="8"/>
      <c r="DS27" s="8"/>
      <c r="DT27" s="7"/>
      <c r="DU27" s="7"/>
      <c r="DV27" s="8"/>
      <c r="DW27" s="8"/>
      <c r="DX27" s="8"/>
      <c r="DY27" s="8"/>
      <c r="DZ27" s="8"/>
      <c r="EA27" s="7"/>
      <c r="EB27" s="87"/>
      <c r="EC27" s="148"/>
      <c r="ED27" s="147"/>
      <c r="EE27" s="8"/>
      <c r="EF27" s="8"/>
      <c r="EG27" s="8"/>
      <c r="EH27" s="7"/>
      <c r="EI27" s="7"/>
      <c r="EJ27" s="8"/>
      <c r="EK27" s="8"/>
      <c r="EL27" s="8"/>
      <c r="EM27" s="8"/>
      <c r="EN27" s="8"/>
      <c r="EO27" s="7"/>
      <c r="EP27" s="7"/>
      <c r="EQ27" s="8"/>
      <c r="ER27" s="8"/>
      <c r="ES27" s="8"/>
      <c r="ET27" s="8"/>
      <c r="EU27" s="8"/>
      <c r="EV27" s="7"/>
      <c r="EW27" s="7"/>
      <c r="EX27" s="69"/>
      <c r="EY27" s="8"/>
      <c r="EZ27" s="8"/>
      <c r="FA27" s="8"/>
      <c r="FB27" s="8"/>
      <c r="FC27" s="7"/>
      <c r="FD27" s="7"/>
      <c r="FE27" s="8"/>
      <c r="FF27" s="8"/>
      <c r="FG27" s="8"/>
      <c r="FH27" s="148"/>
      <c r="FI27" s="147"/>
      <c r="FJ27" s="7"/>
      <c r="FK27" s="7"/>
      <c r="FL27" s="8"/>
      <c r="FM27" s="8"/>
      <c r="FN27" s="8"/>
      <c r="FO27" s="8"/>
      <c r="FP27" s="8"/>
      <c r="FQ27" s="7"/>
      <c r="FR27" s="7"/>
      <c r="FS27" s="8"/>
      <c r="FT27" s="8"/>
      <c r="FU27" s="8"/>
      <c r="FV27" s="8"/>
      <c r="FW27" s="8"/>
      <c r="FX27" s="55"/>
      <c r="FY27" s="7"/>
      <c r="FZ27" s="69"/>
      <c r="GA27" s="69"/>
      <c r="GB27" s="8"/>
      <c r="GC27" s="8"/>
      <c r="GD27" s="8"/>
      <c r="GE27" s="7"/>
      <c r="GF27" s="7"/>
      <c r="GG27" s="8"/>
      <c r="GH27" s="8"/>
      <c r="GI27" s="8"/>
      <c r="GJ27" s="8"/>
      <c r="GK27" s="8"/>
      <c r="GL27" s="184"/>
      <c r="GM27" s="183"/>
      <c r="GN27" s="8"/>
      <c r="GO27" s="8"/>
      <c r="GP27" s="8"/>
      <c r="GQ27" s="8"/>
      <c r="GR27" s="8"/>
      <c r="GS27" s="7"/>
      <c r="GT27" s="7"/>
      <c r="GU27" s="69"/>
      <c r="GV27" s="8"/>
      <c r="GW27" s="8"/>
      <c r="GX27" s="8"/>
      <c r="GY27" s="8"/>
      <c r="GZ27" s="7"/>
      <c r="HA27" s="7"/>
      <c r="HB27" s="8"/>
      <c r="HC27" s="8"/>
      <c r="HD27" s="8"/>
      <c r="HE27" s="8"/>
      <c r="HF27" s="8"/>
      <c r="HG27" s="7"/>
      <c r="HH27" s="7"/>
      <c r="HI27" s="8"/>
      <c r="HJ27" s="8"/>
      <c r="HK27" s="8"/>
      <c r="HL27" s="8"/>
      <c r="HM27" s="69"/>
      <c r="HN27" s="7"/>
      <c r="HO27" s="7"/>
      <c r="HP27" s="8"/>
      <c r="HQ27" s="148"/>
      <c r="HR27" s="69"/>
      <c r="HS27" s="8"/>
      <c r="HT27" s="8"/>
      <c r="HU27" s="7"/>
      <c r="HV27" s="7"/>
      <c r="HW27" s="8"/>
      <c r="HX27" s="8"/>
      <c r="HY27" s="8"/>
      <c r="HZ27" s="8"/>
      <c r="IA27" s="8"/>
      <c r="IB27" s="7"/>
      <c r="IC27" s="7"/>
      <c r="ID27" s="8"/>
      <c r="IE27" s="8"/>
      <c r="IF27" s="8"/>
      <c r="IG27" s="8"/>
      <c r="IH27" s="8"/>
      <c r="II27" s="7"/>
      <c r="IJ27" s="7"/>
      <c r="IK27" s="8"/>
      <c r="IL27" s="8"/>
      <c r="IM27" s="8"/>
      <c r="IN27" s="8"/>
      <c r="IO27" s="66" t="s">
        <v>3</v>
      </c>
      <c r="IP27" s="7"/>
      <c r="IQ27" s="7"/>
      <c r="IR27" s="8"/>
      <c r="IS27" s="8"/>
      <c r="IT27" s="8"/>
      <c r="IU27" s="148"/>
      <c r="IV27" s="147"/>
      <c r="IW27" s="7"/>
      <c r="IX27" s="7"/>
      <c r="IY27" s="8"/>
      <c r="IZ27" s="8"/>
      <c r="JA27" s="8"/>
      <c r="JB27" s="8"/>
      <c r="JC27" s="69"/>
      <c r="JD27" s="7"/>
      <c r="JE27" s="7"/>
      <c r="JF27" s="8"/>
      <c r="JG27" s="8"/>
      <c r="JH27" s="8"/>
      <c r="JI27" s="8"/>
      <c r="JJ27" s="8"/>
      <c r="JK27" s="7"/>
      <c r="JL27" s="7"/>
      <c r="JM27" s="8"/>
      <c r="JN27" s="8"/>
      <c r="JO27" s="8"/>
      <c r="JP27" s="8"/>
      <c r="JQ27" s="8"/>
      <c r="JR27" s="7"/>
      <c r="JS27" s="7"/>
      <c r="JT27" s="69"/>
      <c r="JU27" s="8"/>
      <c r="JV27" s="8"/>
      <c r="JW27" s="8"/>
      <c r="JX27" s="8"/>
      <c r="JY27" s="87"/>
      <c r="JZ27" s="184"/>
      <c r="KA27" s="69"/>
      <c r="KB27" s="8"/>
      <c r="KC27" s="8"/>
      <c r="KD27" s="8"/>
      <c r="KE27" s="8"/>
      <c r="KF27" s="7"/>
      <c r="KG27" s="7"/>
      <c r="KH27" s="8"/>
      <c r="KI27" s="8"/>
      <c r="KJ27" s="8"/>
      <c r="KK27" s="8"/>
      <c r="KL27" s="8"/>
      <c r="KM27" s="7"/>
      <c r="KN27" s="7"/>
      <c r="KO27" s="8"/>
      <c r="KP27" s="8"/>
      <c r="KQ27" s="8"/>
      <c r="KR27" s="8"/>
      <c r="KS27" s="8"/>
      <c r="KT27" s="7"/>
      <c r="KU27" s="7"/>
      <c r="KV27" s="8"/>
      <c r="KW27" s="8"/>
      <c r="KX27" s="8"/>
      <c r="KY27" s="8"/>
      <c r="KZ27" s="8"/>
      <c r="LA27" s="7"/>
      <c r="LB27" s="7"/>
      <c r="LC27" s="66" t="s">
        <v>1</v>
      </c>
      <c r="LD27" s="66" t="s">
        <v>1</v>
      </c>
      <c r="LE27" s="66" t="s">
        <v>1</v>
      </c>
      <c r="LF27" s="66" t="s">
        <v>1</v>
      </c>
      <c r="LG27" s="66" t="s">
        <v>1</v>
      </c>
      <c r="LH27" s="7"/>
      <c r="LI27" s="7"/>
      <c r="LJ27" s="66" t="s">
        <v>1</v>
      </c>
      <c r="LK27" s="66" t="s">
        <v>1</v>
      </c>
      <c r="LL27" s="66" t="s">
        <v>1</v>
      </c>
      <c r="LM27" s="66" t="s">
        <v>1</v>
      </c>
      <c r="LN27" s="66" t="s">
        <v>1</v>
      </c>
      <c r="LO27" s="7"/>
      <c r="LP27" s="7"/>
      <c r="LQ27" s="66" t="s">
        <v>1</v>
      </c>
      <c r="LR27" s="66" t="s">
        <v>1</v>
      </c>
      <c r="LS27" s="66" t="s">
        <v>1</v>
      </c>
      <c r="LT27" s="66" t="s">
        <v>1</v>
      </c>
      <c r="LU27" s="66" t="s">
        <v>1</v>
      </c>
      <c r="LV27" s="7"/>
      <c r="LW27" s="7"/>
      <c r="LX27" s="8"/>
      <c r="LY27" s="8"/>
      <c r="LZ27" s="8"/>
      <c r="MA27" s="8"/>
      <c r="MB27" s="8"/>
      <c r="MC27" s="7"/>
      <c r="MD27" s="7"/>
      <c r="ME27" s="8"/>
      <c r="MF27" s="8"/>
      <c r="MG27" s="8"/>
      <c r="MH27" s="148"/>
      <c r="MI27" s="147"/>
      <c r="MJ27" s="7"/>
      <c r="MK27" s="7"/>
      <c r="ML27" s="8"/>
      <c r="MM27" s="8"/>
      <c r="MN27" s="8"/>
      <c r="MO27" s="8"/>
      <c r="MP27" s="8"/>
      <c r="MQ27" s="7"/>
      <c r="MR27" s="7"/>
      <c r="MS27" s="8"/>
      <c r="MT27" s="8"/>
      <c r="MU27" s="8"/>
      <c r="MV27" s="8"/>
      <c r="MW27" s="8"/>
      <c r="MX27" s="7"/>
      <c r="MY27" s="7"/>
      <c r="MZ27" s="8"/>
      <c r="NA27" s="8"/>
      <c r="NB27" s="8"/>
      <c r="NC27" s="8"/>
      <c r="ND27" s="8"/>
      <c r="NE27" s="7"/>
      <c r="NF27" s="7"/>
      <c r="NG27" s="8"/>
      <c r="NH27" s="8"/>
      <c r="NI27" s="8"/>
      <c r="NJ27" s="8"/>
      <c r="NK27" s="69"/>
      <c r="NL27" s="7"/>
      <c r="NM27" s="184"/>
    </row>
    <row r="28" spans="1:377" customFormat="1" ht="15.75" customHeight="1">
      <c r="A28" s="1"/>
      <c r="B28" s="29" t="s">
        <v>55</v>
      </c>
      <c r="C28" s="29" t="s">
        <v>30</v>
      </c>
      <c r="D28" s="29" t="s">
        <v>49</v>
      </c>
      <c r="E28" s="37">
        <v>0</v>
      </c>
      <c r="F28" s="29">
        <v>23</v>
      </c>
      <c r="G28" s="29">
        <v>0</v>
      </c>
      <c r="H28" s="29">
        <f t="shared" si="0"/>
        <v>2</v>
      </c>
      <c r="I28" s="30">
        <f t="shared" si="1"/>
        <v>0</v>
      </c>
      <c r="J28" s="30">
        <f t="shared" si="2"/>
        <v>3</v>
      </c>
      <c r="K28" s="71">
        <f t="shared" si="3"/>
        <v>0</v>
      </c>
      <c r="L28" s="183"/>
      <c r="M28" s="7"/>
      <c r="N28" s="8"/>
      <c r="O28" s="8"/>
      <c r="P28" s="8"/>
      <c r="Q28" s="8"/>
      <c r="R28" s="69"/>
      <c r="S28" s="7"/>
      <c r="T28" s="7"/>
      <c r="U28" s="8"/>
      <c r="V28" s="8"/>
      <c r="W28" s="8"/>
      <c r="X28" s="8"/>
      <c r="Y28" s="8"/>
      <c r="Z28" s="7"/>
      <c r="AA28" s="7"/>
      <c r="AB28" s="8"/>
      <c r="AC28" s="8"/>
      <c r="AD28" s="8"/>
      <c r="AE28" s="8"/>
      <c r="AF28" s="8"/>
      <c r="AG28" s="7"/>
      <c r="AH28" s="7"/>
      <c r="AI28" s="8"/>
      <c r="AJ28" s="8"/>
      <c r="AK28" s="8"/>
      <c r="AL28" s="8"/>
      <c r="AM28" s="8"/>
      <c r="AN28" s="87"/>
      <c r="AO28" s="87"/>
      <c r="AP28" s="198"/>
      <c r="AQ28" s="8"/>
      <c r="AR28" s="8"/>
      <c r="AS28" s="8"/>
      <c r="AT28" s="8"/>
      <c r="AU28" s="7"/>
      <c r="AV28" s="7"/>
      <c r="AW28" s="67" t="s">
        <v>5</v>
      </c>
      <c r="AX28" s="67" t="s">
        <v>5</v>
      </c>
      <c r="AY28" s="66" t="s">
        <v>1</v>
      </c>
      <c r="AZ28" s="66" t="s">
        <v>1</v>
      </c>
      <c r="BA28" s="66" t="s">
        <v>1</v>
      </c>
      <c r="BB28" s="7"/>
      <c r="BC28" s="7"/>
      <c r="BD28" s="8"/>
      <c r="BE28" s="8"/>
      <c r="BF28" s="8"/>
      <c r="BG28" s="8"/>
      <c r="BH28" s="8"/>
      <c r="BI28" s="7"/>
      <c r="BJ28" s="7"/>
      <c r="BK28" s="8"/>
      <c r="BL28" s="8"/>
      <c r="BM28" s="8"/>
      <c r="BN28" s="8"/>
      <c r="BO28" s="67" t="s">
        <v>5</v>
      </c>
      <c r="BP28" s="7"/>
      <c r="BQ28" s="7"/>
      <c r="BR28" s="8"/>
      <c r="BS28" s="8"/>
      <c r="BT28" s="84"/>
      <c r="BU28" s="28"/>
      <c r="BV28" s="28"/>
      <c r="BW28" s="7"/>
      <c r="BX28" s="7"/>
      <c r="BY28" s="28"/>
      <c r="BZ28" s="28"/>
      <c r="CA28" s="28"/>
      <c r="CB28" s="28"/>
      <c r="CC28" s="28"/>
      <c r="CD28" s="7"/>
      <c r="CE28" s="7"/>
      <c r="CF28" s="28"/>
      <c r="CG28" s="28"/>
      <c r="CH28" s="28"/>
      <c r="CI28" s="28"/>
      <c r="CJ28" s="28"/>
      <c r="CK28" s="7"/>
      <c r="CL28" s="7"/>
      <c r="CM28" s="28"/>
      <c r="CN28" s="218"/>
      <c r="CO28" s="216"/>
      <c r="CP28" s="28"/>
      <c r="CQ28" s="69"/>
      <c r="CR28" s="7"/>
      <c r="CS28" s="7"/>
      <c r="CT28" s="69"/>
      <c r="CU28" s="28"/>
      <c r="CV28" s="28"/>
      <c r="CW28" s="28"/>
      <c r="CX28" s="186"/>
      <c r="CY28" s="183"/>
      <c r="CZ28" s="7"/>
      <c r="DA28" s="8"/>
      <c r="DB28" s="8"/>
      <c r="DC28" s="8"/>
      <c r="DD28" s="8"/>
      <c r="DE28" s="8"/>
      <c r="DF28" s="7"/>
      <c r="DG28" s="7"/>
      <c r="DH28" s="8"/>
      <c r="DI28" s="8"/>
      <c r="DJ28" s="8"/>
      <c r="DK28" s="8"/>
      <c r="DL28" s="8"/>
      <c r="DM28" s="7"/>
      <c r="DN28" s="7"/>
      <c r="DO28" s="8"/>
      <c r="DP28" s="8"/>
      <c r="DQ28" s="8"/>
      <c r="DR28" s="8"/>
      <c r="DS28" s="8"/>
      <c r="DT28" s="7"/>
      <c r="DU28" s="7"/>
      <c r="DV28" s="8"/>
      <c r="DW28" s="8"/>
      <c r="DX28" s="8"/>
      <c r="DY28" s="8"/>
      <c r="DZ28" s="8"/>
      <c r="EA28" s="7"/>
      <c r="EB28" s="87"/>
      <c r="EC28" s="148"/>
      <c r="ED28" s="147"/>
      <c r="EE28" s="8"/>
      <c r="EF28" s="8"/>
      <c r="EG28" s="8"/>
      <c r="EH28" s="7"/>
      <c r="EI28" s="7"/>
      <c r="EJ28" s="8"/>
      <c r="EK28" s="8"/>
      <c r="EL28" s="8"/>
      <c r="EM28" s="8"/>
      <c r="EN28" s="8"/>
      <c r="EO28" s="7"/>
      <c r="EP28" s="7"/>
      <c r="EQ28" s="8"/>
      <c r="ER28" s="69"/>
      <c r="ES28" s="8"/>
      <c r="ET28" s="8"/>
      <c r="EU28" s="8"/>
      <c r="EV28" s="7"/>
      <c r="EW28" s="7"/>
      <c r="EX28" s="8"/>
      <c r="EY28" s="8"/>
      <c r="EZ28" s="8"/>
      <c r="FA28" s="8"/>
      <c r="FB28" s="8"/>
      <c r="FC28" s="7"/>
      <c r="FD28" s="7"/>
      <c r="FE28" s="8"/>
      <c r="FF28" s="8"/>
      <c r="FG28" s="8"/>
      <c r="FH28" s="148"/>
      <c r="FI28" s="147"/>
      <c r="FJ28" s="7"/>
      <c r="FK28" s="7"/>
      <c r="FL28" s="8"/>
      <c r="FM28" s="8"/>
      <c r="FN28" s="8"/>
      <c r="FO28" s="8"/>
      <c r="FP28" s="8"/>
      <c r="FQ28" s="7"/>
      <c r="FR28" s="7"/>
      <c r="FS28" s="8"/>
      <c r="FT28" s="8"/>
      <c r="FU28" s="8"/>
      <c r="FV28" s="8"/>
      <c r="FW28" s="8"/>
      <c r="FX28" s="7"/>
      <c r="FY28" s="7"/>
      <c r="FZ28" s="69"/>
      <c r="GA28" s="69"/>
      <c r="GB28" s="66" t="s">
        <v>1</v>
      </c>
      <c r="GC28" s="66" t="s">
        <v>1</v>
      </c>
      <c r="GD28" s="66" t="s">
        <v>1</v>
      </c>
      <c r="GE28" s="7"/>
      <c r="GF28" s="7"/>
      <c r="GG28" s="8"/>
      <c r="GH28" s="8"/>
      <c r="GI28" s="8"/>
      <c r="GJ28" s="8"/>
      <c r="GK28" s="8"/>
      <c r="GL28" s="184"/>
      <c r="GM28" s="183"/>
      <c r="GN28" s="8"/>
      <c r="GO28" s="8"/>
      <c r="GP28" s="8"/>
      <c r="GQ28" s="8"/>
      <c r="GR28" s="8"/>
      <c r="GS28" s="7"/>
      <c r="GT28" s="7"/>
      <c r="GU28" s="69"/>
      <c r="GV28" s="8"/>
      <c r="GW28" s="8"/>
      <c r="GX28" s="8"/>
      <c r="GY28" s="8"/>
      <c r="GZ28" s="7"/>
      <c r="HA28" s="7"/>
      <c r="HB28" s="8"/>
      <c r="HC28" s="8"/>
      <c r="HD28" s="8"/>
      <c r="HE28" s="8"/>
      <c r="HF28" s="8"/>
      <c r="HG28" s="7"/>
      <c r="HH28" s="7"/>
      <c r="HI28" s="8"/>
      <c r="HJ28" s="8"/>
      <c r="HK28" s="8"/>
      <c r="HL28" s="8"/>
      <c r="HM28" s="69"/>
      <c r="HN28" s="7"/>
      <c r="HO28" s="7"/>
      <c r="HP28" s="8"/>
      <c r="HQ28" s="148"/>
      <c r="HR28" s="69"/>
      <c r="HS28" s="8"/>
      <c r="HT28" s="8"/>
      <c r="HU28" s="7"/>
      <c r="HV28" s="7"/>
      <c r="HW28" s="8"/>
      <c r="HX28" s="8"/>
      <c r="HY28" s="8"/>
      <c r="HZ28" s="8"/>
      <c r="IA28" s="8"/>
      <c r="IB28" s="7"/>
      <c r="IC28" s="7"/>
      <c r="ID28" s="8"/>
      <c r="IE28" s="8"/>
      <c r="IF28" s="8"/>
      <c r="IG28" s="8"/>
      <c r="IH28" s="8"/>
      <c r="II28" s="7"/>
      <c r="IJ28" s="7"/>
      <c r="IK28" s="8"/>
      <c r="IL28" s="8"/>
      <c r="IM28" s="8"/>
      <c r="IN28" s="8"/>
      <c r="IO28" s="8"/>
      <c r="IP28" s="7"/>
      <c r="IQ28" s="7"/>
      <c r="IR28" s="8"/>
      <c r="IS28" s="8"/>
      <c r="IT28" s="8"/>
      <c r="IU28" s="148"/>
      <c r="IV28" s="147"/>
      <c r="IW28" s="7"/>
      <c r="IX28" s="7"/>
      <c r="IY28" s="8"/>
      <c r="IZ28" s="8"/>
      <c r="JA28" s="8"/>
      <c r="JB28" s="8"/>
      <c r="JC28" s="69"/>
      <c r="JD28" s="7"/>
      <c r="JE28" s="7"/>
      <c r="JF28" s="8"/>
      <c r="JG28" s="8"/>
      <c r="JH28" s="8"/>
      <c r="JI28" s="8"/>
      <c r="JJ28" s="8"/>
      <c r="JK28" s="7"/>
      <c r="JL28" s="7"/>
      <c r="JM28" s="8"/>
      <c r="JN28" s="8"/>
      <c r="JO28" s="8"/>
      <c r="JP28" s="8"/>
      <c r="JQ28" s="8"/>
      <c r="JR28" s="7"/>
      <c r="JS28" s="7"/>
      <c r="JT28" s="69"/>
      <c r="JU28" s="8"/>
      <c r="JV28" s="8"/>
      <c r="JW28" s="8"/>
      <c r="JX28" s="8"/>
      <c r="JY28" s="87"/>
      <c r="JZ28" s="184"/>
      <c r="KA28" s="69"/>
      <c r="KB28" s="8"/>
      <c r="KC28" s="8"/>
      <c r="KD28" s="8"/>
      <c r="KE28" s="8"/>
      <c r="KF28" s="7"/>
      <c r="KG28" s="7"/>
      <c r="KH28" s="8"/>
      <c r="KI28" s="8"/>
      <c r="KJ28" s="8"/>
      <c r="KK28" s="8"/>
      <c r="KL28" s="8"/>
      <c r="KM28" s="7"/>
      <c r="KN28" s="7"/>
      <c r="KO28" s="8"/>
      <c r="KP28" s="8"/>
      <c r="KQ28" s="8"/>
      <c r="KR28" s="8"/>
      <c r="KS28" s="8"/>
      <c r="KT28" s="7"/>
      <c r="KU28" s="7"/>
      <c r="KV28" s="8"/>
      <c r="KW28" s="8"/>
      <c r="KX28" s="8"/>
      <c r="KY28" s="8"/>
      <c r="KZ28" s="8"/>
      <c r="LA28" s="7"/>
      <c r="LB28" s="7"/>
      <c r="LC28" s="66" t="s">
        <v>1</v>
      </c>
      <c r="LD28" s="66" t="s">
        <v>1</v>
      </c>
      <c r="LE28" s="66" t="s">
        <v>1</v>
      </c>
      <c r="LF28" s="66" t="s">
        <v>1</v>
      </c>
      <c r="LG28" s="66" t="s">
        <v>1</v>
      </c>
      <c r="LH28" s="7"/>
      <c r="LI28" s="7"/>
      <c r="LJ28" s="66" t="s">
        <v>1</v>
      </c>
      <c r="LK28" s="66" t="s">
        <v>1</v>
      </c>
      <c r="LL28" s="66" t="s">
        <v>1</v>
      </c>
      <c r="LM28" s="66" t="s">
        <v>1</v>
      </c>
      <c r="LN28" s="66" t="s">
        <v>1</v>
      </c>
      <c r="LO28" s="7"/>
      <c r="LP28" s="7"/>
      <c r="LQ28" s="66" t="s">
        <v>1</v>
      </c>
      <c r="LR28" s="66" t="s">
        <v>1</v>
      </c>
      <c r="LS28" s="66" t="s">
        <v>1</v>
      </c>
      <c r="LT28" s="66" t="s">
        <v>1</v>
      </c>
      <c r="LU28" s="66" t="s">
        <v>1</v>
      </c>
      <c r="LV28" s="7"/>
      <c r="LW28" s="7"/>
      <c r="LX28" s="8"/>
      <c r="LY28" s="8"/>
      <c r="LZ28" s="8"/>
      <c r="MA28" s="8"/>
      <c r="MB28" s="8"/>
      <c r="MC28" s="7"/>
      <c r="MD28" s="7"/>
      <c r="ME28" s="8"/>
      <c r="MF28" s="8"/>
      <c r="MG28" s="8"/>
      <c r="MH28" s="148"/>
      <c r="MI28" s="147"/>
      <c r="MJ28" s="7"/>
      <c r="MK28" s="7"/>
      <c r="ML28" s="8"/>
      <c r="MM28" s="8"/>
      <c r="MN28" s="8"/>
      <c r="MO28" s="8"/>
      <c r="MP28" s="8"/>
      <c r="MQ28" s="7"/>
      <c r="MR28" s="7"/>
      <c r="MS28" s="8"/>
      <c r="MT28" s="8"/>
      <c r="MU28" s="8"/>
      <c r="MV28" s="8"/>
      <c r="MW28" s="8"/>
      <c r="MX28" s="7"/>
      <c r="MY28" s="7"/>
      <c r="MZ28" s="8"/>
      <c r="NA28" s="8"/>
      <c r="NB28" s="8"/>
      <c r="NC28" s="8"/>
      <c r="ND28" s="8"/>
      <c r="NE28" s="7"/>
      <c r="NF28" s="7"/>
      <c r="NG28" s="8"/>
      <c r="NH28" s="8"/>
      <c r="NI28" s="8"/>
      <c r="NJ28" s="8"/>
      <c r="NK28" s="69"/>
      <c r="NL28" s="7"/>
      <c r="NM28" s="184"/>
    </row>
    <row r="29" spans="1:377" customFormat="1">
      <c r="A29" s="1"/>
      <c r="B29" s="29" t="s">
        <v>63</v>
      </c>
      <c r="C29" s="29" t="s">
        <v>30</v>
      </c>
      <c r="D29" s="29" t="s">
        <v>49</v>
      </c>
      <c r="E29" s="37">
        <v>0</v>
      </c>
      <c r="F29" s="29">
        <v>23</v>
      </c>
      <c r="G29" s="29">
        <v>0</v>
      </c>
      <c r="H29" s="29">
        <f t="shared" si="0"/>
        <v>4</v>
      </c>
      <c r="I29" s="30">
        <f t="shared" si="1"/>
        <v>-3</v>
      </c>
      <c r="J29" s="30">
        <f t="shared" si="2"/>
        <v>0</v>
      </c>
      <c r="K29" s="71">
        <f t="shared" si="3"/>
        <v>39</v>
      </c>
      <c r="L29" s="183"/>
      <c r="M29" s="7"/>
      <c r="N29" s="8"/>
      <c r="O29" s="8"/>
      <c r="P29" s="8"/>
      <c r="Q29" s="8"/>
      <c r="R29" s="69"/>
      <c r="S29" s="7"/>
      <c r="T29" s="7"/>
      <c r="U29" s="8"/>
      <c r="V29" s="8"/>
      <c r="W29" s="8"/>
      <c r="X29" s="8"/>
      <c r="Y29" s="8"/>
      <c r="Z29" s="7"/>
      <c r="AA29" s="7"/>
      <c r="AB29" s="8"/>
      <c r="AC29" s="8"/>
      <c r="AD29" s="8"/>
      <c r="AE29" s="8"/>
      <c r="AF29" s="8"/>
      <c r="AG29" s="7"/>
      <c r="AH29" s="7"/>
      <c r="AI29" s="8"/>
      <c r="AJ29" s="8"/>
      <c r="AK29" s="8"/>
      <c r="AL29" s="8"/>
      <c r="AM29" s="8"/>
      <c r="AN29" s="87"/>
      <c r="AO29" s="87"/>
      <c r="AP29" s="198"/>
      <c r="AQ29" s="8"/>
      <c r="AR29" s="8"/>
      <c r="AS29" s="8"/>
      <c r="AT29" s="8"/>
      <c r="AU29" s="7"/>
      <c r="AV29" s="7"/>
      <c r="AW29" s="8"/>
      <c r="AX29" s="8"/>
      <c r="AY29" s="8"/>
      <c r="AZ29" s="8"/>
      <c r="BA29" s="8"/>
      <c r="BB29" s="7"/>
      <c r="BC29" s="7"/>
      <c r="BD29" s="8"/>
      <c r="BE29" s="8"/>
      <c r="BF29" s="8"/>
      <c r="BG29" s="8"/>
      <c r="BH29" s="8"/>
      <c r="BI29" s="7"/>
      <c r="BJ29" s="7"/>
      <c r="BK29" s="8"/>
      <c r="BL29" s="8"/>
      <c r="BM29" s="8"/>
      <c r="BN29" s="8"/>
      <c r="BO29" s="8"/>
      <c r="BP29" s="7"/>
      <c r="BQ29" s="7"/>
      <c r="BR29" s="8"/>
      <c r="BS29" s="8"/>
      <c r="BT29" s="84"/>
      <c r="BU29" s="28"/>
      <c r="BV29" s="28"/>
      <c r="BW29" s="7"/>
      <c r="BX29" s="7"/>
      <c r="BY29" s="28"/>
      <c r="BZ29" s="28"/>
      <c r="CA29" s="28"/>
      <c r="CB29" s="28"/>
      <c r="CC29" s="28"/>
      <c r="CD29" s="7"/>
      <c r="CE29" s="7"/>
      <c r="CF29" s="28"/>
      <c r="CG29" s="28"/>
      <c r="CH29" s="28"/>
      <c r="CI29" s="28"/>
      <c r="CJ29" s="28"/>
      <c r="CK29" s="7"/>
      <c r="CL29" s="7"/>
      <c r="CM29" s="28"/>
      <c r="CN29" s="218"/>
      <c r="CO29" s="216"/>
      <c r="CP29" s="28"/>
      <c r="CQ29" s="69"/>
      <c r="CR29" s="7"/>
      <c r="CS29" s="7"/>
      <c r="CT29" s="69"/>
      <c r="CU29" s="28"/>
      <c r="CV29" s="28"/>
      <c r="CW29" s="28"/>
      <c r="CX29" s="186"/>
      <c r="CY29" s="183"/>
      <c r="CZ29" s="7"/>
      <c r="DA29" s="66" t="s">
        <v>1</v>
      </c>
      <c r="DB29" s="66" t="s">
        <v>1</v>
      </c>
      <c r="DC29" s="66" t="s">
        <v>1</v>
      </c>
      <c r="DD29" s="66" t="s">
        <v>1</v>
      </c>
      <c r="DE29" s="66" t="s">
        <v>1</v>
      </c>
      <c r="DF29" s="7"/>
      <c r="DG29" s="7"/>
      <c r="DH29" s="8"/>
      <c r="DI29" s="8"/>
      <c r="DJ29" s="8"/>
      <c r="DK29" s="8"/>
      <c r="DL29" s="8"/>
      <c r="DM29" s="7"/>
      <c r="DN29" s="7"/>
      <c r="DO29" s="8"/>
      <c r="DP29" s="8"/>
      <c r="DQ29" s="8"/>
      <c r="DR29" s="8"/>
      <c r="DS29" s="8"/>
      <c r="DT29" s="7"/>
      <c r="DU29" s="7"/>
      <c r="DV29" s="8"/>
      <c r="DW29" s="8"/>
      <c r="DX29" s="66" t="s">
        <v>3</v>
      </c>
      <c r="DY29" s="68" t="s">
        <v>7</v>
      </c>
      <c r="DZ29" s="68" t="s">
        <v>7</v>
      </c>
      <c r="EA29" s="7"/>
      <c r="EB29" s="87"/>
      <c r="EC29" s="68" t="s">
        <v>7</v>
      </c>
      <c r="ED29" s="68" t="s">
        <v>7</v>
      </c>
      <c r="EE29" s="68" t="s">
        <v>7</v>
      </c>
      <c r="EF29" s="68" t="s">
        <v>7</v>
      </c>
      <c r="EG29" s="68" t="s">
        <v>7</v>
      </c>
      <c r="EH29" s="7"/>
      <c r="EI29" s="7"/>
      <c r="EJ29" s="68" t="s">
        <v>7</v>
      </c>
      <c r="EK29" s="68" t="s">
        <v>7</v>
      </c>
      <c r="EL29" s="68" t="s">
        <v>7</v>
      </c>
      <c r="EM29" s="68" t="s">
        <v>7</v>
      </c>
      <c r="EN29" s="68" t="s">
        <v>7</v>
      </c>
      <c r="EO29" s="7"/>
      <c r="EP29" s="7"/>
      <c r="EQ29" s="68" t="s">
        <v>7</v>
      </c>
      <c r="ER29" s="69"/>
      <c r="ES29" s="68" t="s">
        <v>7</v>
      </c>
      <c r="ET29" s="68" t="s">
        <v>7</v>
      </c>
      <c r="EU29" s="68" t="s">
        <v>7</v>
      </c>
      <c r="EV29" s="7"/>
      <c r="EW29" s="7"/>
      <c r="EX29" s="68" t="s">
        <v>7</v>
      </c>
      <c r="EY29" s="68" t="s">
        <v>7</v>
      </c>
      <c r="EZ29" s="68" t="s">
        <v>7</v>
      </c>
      <c r="FA29" s="68" t="s">
        <v>7</v>
      </c>
      <c r="FB29" s="68" t="s">
        <v>7</v>
      </c>
      <c r="FC29" s="7"/>
      <c r="FD29" s="7"/>
      <c r="FE29" s="68" t="s">
        <v>7</v>
      </c>
      <c r="FF29" s="68" t="s">
        <v>7</v>
      </c>
      <c r="FG29" s="68" t="s">
        <v>7</v>
      </c>
      <c r="FH29" s="68" t="s">
        <v>7</v>
      </c>
      <c r="FI29" s="68" t="s">
        <v>7</v>
      </c>
      <c r="FJ29" s="7"/>
      <c r="FK29" s="7"/>
      <c r="FL29" s="68" t="s">
        <v>7</v>
      </c>
      <c r="FM29" s="68" t="s">
        <v>7</v>
      </c>
      <c r="FN29" s="68" t="s">
        <v>7</v>
      </c>
      <c r="FO29" s="68" t="s">
        <v>7</v>
      </c>
      <c r="FP29" s="68" t="s">
        <v>7</v>
      </c>
      <c r="FQ29" s="7"/>
      <c r="FR29" s="7"/>
      <c r="FS29" s="68" t="s">
        <v>7</v>
      </c>
      <c r="FT29" s="68" t="s">
        <v>7</v>
      </c>
      <c r="FU29" s="68" t="s">
        <v>7</v>
      </c>
      <c r="FV29" s="68" t="s">
        <v>7</v>
      </c>
      <c r="FW29" s="68" t="s">
        <v>7</v>
      </c>
      <c r="FX29" s="7"/>
      <c r="FY29" s="7"/>
      <c r="FZ29" s="69"/>
      <c r="GA29" s="69"/>
      <c r="GB29" s="68" t="s">
        <v>7</v>
      </c>
      <c r="GC29" s="68" t="s">
        <v>7</v>
      </c>
      <c r="GD29" s="68" t="s">
        <v>7</v>
      </c>
      <c r="GE29" s="7"/>
      <c r="GF29" s="7"/>
      <c r="GG29" s="8"/>
      <c r="GH29" s="8"/>
      <c r="GI29" s="8"/>
      <c r="GJ29" s="8"/>
      <c r="GK29" s="8"/>
      <c r="GL29" s="184"/>
      <c r="GM29" s="183"/>
      <c r="GN29" s="8"/>
      <c r="GO29" s="8"/>
      <c r="GP29" s="8"/>
      <c r="GQ29" s="8"/>
      <c r="GR29" s="8"/>
      <c r="GS29" s="7"/>
      <c r="GT29" s="7"/>
      <c r="GU29" s="69"/>
      <c r="GV29" s="8"/>
      <c r="GW29" s="8"/>
      <c r="GX29" s="8"/>
      <c r="GY29" s="8"/>
      <c r="GZ29" s="7"/>
      <c r="HA29" s="7"/>
      <c r="HB29" s="8"/>
      <c r="HC29" s="8"/>
      <c r="HD29" s="8"/>
      <c r="HE29" s="8"/>
      <c r="HF29" s="8"/>
      <c r="HG29" s="7"/>
      <c r="HH29" s="7"/>
      <c r="HI29" s="8"/>
      <c r="HJ29" s="8"/>
      <c r="HK29" s="8"/>
      <c r="HL29" s="8"/>
      <c r="HM29" s="69"/>
      <c r="HN29" s="7"/>
      <c r="HO29" s="7"/>
      <c r="HP29" s="8"/>
      <c r="HQ29" s="148"/>
      <c r="HR29" s="69"/>
      <c r="HS29" s="8"/>
      <c r="HT29" s="8"/>
      <c r="HU29" s="7"/>
      <c r="HV29" s="7"/>
      <c r="HW29" s="8"/>
      <c r="HX29" s="8"/>
      <c r="HY29" s="8"/>
      <c r="HZ29" s="8"/>
      <c r="IA29" s="8"/>
      <c r="IB29" s="7"/>
      <c r="IC29" s="7"/>
      <c r="ID29" s="8"/>
      <c r="IE29" s="8"/>
      <c r="IF29" s="8"/>
      <c r="IG29" s="8"/>
      <c r="IH29" s="8"/>
      <c r="II29" s="7"/>
      <c r="IJ29" s="7"/>
      <c r="IK29" s="8"/>
      <c r="IL29" s="8"/>
      <c r="IM29" s="8"/>
      <c r="IN29" s="8"/>
      <c r="IO29" s="8"/>
      <c r="IP29" s="7"/>
      <c r="IQ29" s="7"/>
      <c r="IR29" s="8"/>
      <c r="IS29" s="8"/>
      <c r="IT29" s="8"/>
      <c r="IU29" s="148"/>
      <c r="IV29" s="147"/>
      <c r="IW29" s="7"/>
      <c r="IX29" s="7"/>
      <c r="IY29" s="8"/>
      <c r="IZ29" s="8"/>
      <c r="JA29" s="8"/>
      <c r="JB29" s="8"/>
      <c r="JC29" s="69"/>
      <c r="JD29" s="7"/>
      <c r="JE29" s="7"/>
      <c r="JF29" s="8"/>
      <c r="JG29" s="8"/>
      <c r="JH29" s="8"/>
      <c r="JI29" s="8"/>
      <c r="JJ29" s="8"/>
      <c r="JK29" s="7"/>
      <c r="JL29" s="7"/>
      <c r="JM29" s="8"/>
      <c r="JN29" s="8"/>
      <c r="JO29" s="8"/>
      <c r="JP29" s="66" t="s">
        <v>3</v>
      </c>
      <c r="JQ29" s="66" t="s">
        <v>3</v>
      </c>
      <c r="JR29" s="7"/>
      <c r="JS29" s="7"/>
      <c r="JT29" s="69"/>
      <c r="JU29" s="8"/>
      <c r="JV29" s="8"/>
      <c r="JW29" s="8"/>
      <c r="JX29" s="8"/>
      <c r="JY29" s="87"/>
      <c r="JZ29" s="184"/>
      <c r="KA29" s="69"/>
      <c r="KB29" s="66" t="s">
        <v>1</v>
      </c>
      <c r="KC29" s="66" t="s">
        <v>1</v>
      </c>
      <c r="KD29" s="66" t="s">
        <v>1</v>
      </c>
      <c r="KE29" s="66" t="s">
        <v>1</v>
      </c>
      <c r="KF29" s="7"/>
      <c r="KG29" s="7"/>
      <c r="KH29" s="66" t="s">
        <v>1</v>
      </c>
      <c r="KI29" s="66" t="s">
        <v>1</v>
      </c>
      <c r="KJ29" s="66" t="s">
        <v>1</v>
      </c>
      <c r="KK29" s="66" t="s">
        <v>1</v>
      </c>
      <c r="KL29" s="66" t="s">
        <v>1</v>
      </c>
      <c r="KM29" s="7"/>
      <c r="KN29" s="7"/>
      <c r="KO29" s="66" t="s">
        <v>1</v>
      </c>
      <c r="KP29" s="66" t="s">
        <v>1</v>
      </c>
      <c r="KQ29" s="66" t="s">
        <v>1</v>
      </c>
      <c r="KR29" s="66" t="s">
        <v>1</v>
      </c>
      <c r="KS29" s="66" t="s">
        <v>1</v>
      </c>
      <c r="KT29" s="7"/>
      <c r="KU29" s="7"/>
      <c r="KV29" s="8"/>
      <c r="KW29" s="8"/>
      <c r="KX29" s="8"/>
      <c r="KY29" s="8"/>
      <c r="KZ29" s="8"/>
      <c r="LA29" s="7"/>
      <c r="LB29" s="7"/>
      <c r="LC29" s="8"/>
      <c r="LD29" s="8"/>
      <c r="LE29" s="148"/>
      <c r="LF29" s="147"/>
      <c r="LG29" s="8"/>
      <c r="LH29" s="7"/>
      <c r="LI29" s="7"/>
      <c r="LJ29" s="8"/>
      <c r="LK29" s="8"/>
      <c r="LL29" s="8"/>
      <c r="LM29" s="8"/>
      <c r="LN29" s="8"/>
      <c r="LO29" s="7"/>
      <c r="LP29" s="7"/>
      <c r="LQ29" s="8"/>
      <c r="LR29" s="8"/>
      <c r="LS29" s="8"/>
      <c r="LT29" s="8"/>
      <c r="LU29" s="8"/>
      <c r="LV29" s="7"/>
      <c r="LW29" s="7"/>
      <c r="LX29" s="8"/>
      <c r="LY29" s="8"/>
      <c r="LZ29" s="8"/>
      <c r="MA29" s="8"/>
      <c r="MB29" s="8"/>
      <c r="MC29" s="7"/>
      <c r="MD29" s="7"/>
      <c r="ME29" s="8"/>
      <c r="MF29" s="8"/>
      <c r="MG29" s="8"/>
      <c r="MH29" s="148"/>
      <c r="MI29" s="147"/>
      <c r="MJ29" s="7"/>
      <c r="MK29" s="7"/>
      <c r="ML29" s="8"/>
      <c r="MM29" s="8"/>
      <c r="MN29" s="8"/>
      <c r="MO29" s="8"/>
      <c r="MP29" s="8"/>
      <c r="MQ29" s="7"/>
      <c r="MR29" s="7"/>
      <c r="MS29" s="8"/>
      <c r="MT29" s="8"/>
      <c r="MU29" s="8"/>
      <c r="MV29" s="8"/>
      <c r="MW29" s="8"/>
      <c r="MX29" s="7"/>
      <c r="MY29" s="7"/>
      <c r="MZ29" s="8"/>
      <c r="NA29" s="8"/>
      <c r="NB29" s="8"/>
      <c r="NC29" s="8"/>
      <c r="ND29" s="8"/>
      <c r="NE29" s="7"/>
      <c r="NF29" s="7"/>
      <c r="NG29" s="8"/>
      <c r="NH29" s="8"/>
      <c r="NI29" s="8"/>
      <c r="NJ29" s="8"/>
      <c r="NK29" s="69"/>
      <c r="NL29" s="7"/>
      <c r="NM29" s="184"/>
    </row>
    <row r="30" spans="1:377" customFormat="1" ht="15.75" customHeight="1">
      <c r="A30" s="1"/>
      <c r="B30" s="29" t="s">
        <v>74</v>
      </c>
      <c r="C30" s="29" t="s">
        <v>30</v>
      </c>
      <c r="D30" s="29" t="s">
        <v>49</v>
      </c>
      <c r="E30" s="37">
        <v>0</v>
      </c>
      <c r="F30" s="29">
        <v>23</v>
      </c>
      <c r="G30" s="29">
        <v>0</v>
      </c>
      <c r="H30" s="29">
        <f t="shared" si="0"/>
        <v>23</v>
      </c>
      <c r="I30" s="30">
        <f t="shared" si="1"/>
        <v>0</v>
      </c>
      <c r="J30" s="30">
        <f t="shared" si="2"/>
        <v>0</v>
      </c>
      <c r="K30" s="71">
        <f t="shared" si="3"/>
        <v>0</v>
      </c>
      <c r="L30" s="183"/>
      <c r="M30" s="7"/>
      <c r="N30" s="8"/>
      <c r="O30" s="8"/>
      <c r="P30" s="8"/>
      <c r="Q30" s="8"/>
      <c r="R30" s="69"/>
      <c r="S30" s="7"/>
      <c r="T30" s="7"/>
      <c r="U30" s="8"/>
      <c r="V30" s="8"/>
      <c r="W30" s="8"/>
      <c r="X30" s="8"/>
      <c r="Y30" s="8"/>
      <c r="Z30" s="7"/>
      <c r="AA30" s="7"/>
      <c r="AB30" s="8"/>
      <c r="AC30" s="8"/>
      <c r="AD30" s="8"/>
      <c r="AE30" s="8"/>
      <c r="AF30" s="8"/>
      <c r="AG30" s="7"/>
      <c r="AH30" s="7"/>
      <c r="AI30" s="8"/>
      <c r="AJ30" s="8"/>
      <c r="AK30" s="53"/>
      <c r="AL30" s="53"/>
      <c r="AM30" s="53"/>
      <c r="AN30" s="100"/>
      <c r="AO30" s="100"/>
      <c r="AP30" s="209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94"/>
      <c r="BU30" s="122"/>
      <c r="BV30" s="122"/>
      <c r="BW30" s="53"/>
      <c r="BX30" s="53"/>
      <c r="BY30" s="122"/>
      <c r="BZ30" s="122"/>
      <c r="CA30" s="122"/>
      <c r="CB30" s="122"/>
      <c r="CC30" s="122"/>
      <c r="CD30" s="53"/>
      <c r="CE30" s="53"/>
      <c r="CF30" s="122"/>
      <c r="CG30" s="122"/>
      <c r="CH30" s="122"/>
      <c r="CI30" s="122"/>
      <c r="CJ30" s="122"/>
      <c r="CK30" s="53"/>
      <c r="CL30" s="53"/>
      <c r="CM30" s="122"/>
      <c r="CN30" s="219"/>
      <c r="CO30" s="208"/>
      <c r="CP30" s="122"/>
      <c r="CQ30" s="122"/>
      <c r="CR30" s="53"/>
      <c r="CS30" s="53"/>
      <c r="CT30" s="208"/>
      <c r="CU30" s="122"/>
      <c r="CV30" s="122"/>
      <c r="CW30" s="122"/>
      <c r="CX30" s="210"/>
      <c r="CY30" s="157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100"/>
      <c r="EC30" s="158"/>
      <c r="ED30" s="157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208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158"/>
      <c r="FI30" s="157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208"/>
      <c r="GA30" s="208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158"/>
      <c r="GM30" s="157"/>
      <c r="GN30" s="53"/>
      <c r="GO30" s="53"/>
      <c r="GP30" s="53"/>
      <c r="GQ30" s="53"/>
      <c r="GR30" s="53"/>
      <c r="GS30" s="53"/>
      <c r="GT30" s="53"/>
      <c r="GU30" s="208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208"/>
      <c r="HN30" s="53"/>
      <c r="HO30" s="53"/>
      <c r="HP30" s="53"/>
      <c r="HQ30" s="158"/>
      <c r="HR30" s="208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158"/>
      <c r="IV30" s="157"/>
      <c r="IW30" s="53"/>
      <c r="IX30" s="53"/>
      <c r="IY30" s="53"/>
      <c r="IZ30" s="53"/>
      <c r="JA30" s="53"/>
      <c r="JB30" s="53"/>
      <c r="JC30" s="208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208"/>
      <c r="JU30" s="53"/>
      <c r="JV30" s="53"/>
      <c r="JW30" s="53"/>
      <c r="JX30" s="53"/>
      <c r="JY30" s="100"/>
      <c r="JZ30" s="158"/>
      <c r="KA30" s="157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158"/>
      <c r="LF30" s="157"/>
      <c r="LG30" s="53"/>
      <c r="LH30" s="53"/>
      <c r="LI30" s="53"/>
      <c r="LJ30" s="53"/>
      <c r="LK30" s="53"/>
      <c r="LL30" s="53"/>
      <c r="LM30" s="53"/>
      <c r="LN30" s="53"/>
      <c r="LO30" s="53"/>
      <c r="LP30" s="53"/>
      <c r="LQ30" s="53"/>
      <c r="LR30" s="53"/>
      <c r="LS30" s="53"/>
      <c r="LT30" s="53"/>
      <c r="LU30" s="53"/>
      <c r="LV30" s="53"/>
      <c r="LW30" s="53"/>
      <c r="LX30" s="53"/>
      <c r="LY30" s="53"/>
      <c r="LZ30" s="53"/>
      <c r="MA30" s="53"/>
      <c r="MB30" s="53"/>
      <c r="MC30" s="53"/>
      <c r="MD30" s="53"/>
      <c r="ME30" s="53"/>
      <c r="MF30" s="53"/>
      <c r="MG30" s="53"/>
      <c r="MH30" s="158"/>
      <c r="MI30" s="157"/>
      <c r="MJ30" s="53"/>
      <c r="MK30" s="53"/>
      <c r="ML30" s="53"/>
      <c r="MM30" s="53"/>
      <c r="MN30" s="53"/>
      <c r="MO30" s="53"/>
      <c r="MP30" s="53"/>
      <c r="MQ30" s="53"/>
      <c r="MR30" s="53"/>
      <c r="MS30" s="53"/>
      <c r="MT30" s="53"/>
      <c r="MU30" s="53"/>
      <c r="MV30" s="53"/>
      <c r="MW30" s="53"/>
      <c r="MX30" s="53"/>
      <c r="MY30" s="53"/>
      <c r="MZ30" s="53"/>
      <c r="NA30" s="53"/>
      <c r="NB30" s="53"/>
      <c r="NC30" s="53"/>
      <c r="ND30" s="53"/>
      <c r="NE30" s="53"/>
      <c r="NF30" s="53"/>
      <c r="NG30" s="53"/>
      <c r="NH30" s="53"/>
      <c r="NI30" s="53"/>
      <c r="NJ30" s="53"/>
      <c r="NK30" s="53"/>
      <c r="NL30" s="53"/>
      <c r="NM30" s="158"/>
    </row>
    <row r="31" spans="1:377" customFormat="1" ht="15.75" customHeight="1" thickBot="1">
      <c r="A31" s="1"/>
      <c r="B31" s="29" t="s">
        <v>78</v>
      </c>
      <c r="C31" s="29" t="s">
        <v>30</v>
      </c>
      <c r="D31" s="29" t="s">
        <v>49</v>
      </c>
      <c r="E31" s="37">
        <v>0</v>
      </c>
      <c r="F31" s="29">
        <v>23</v>
      </c>
      <c r="G31" s="29">
        <v>0</v>
      </c>
      <c r="H31" s="29">
        <f t="shared" si="0"/>
        <v>23</v>
      </c>
      <c r="I31" s="30">
        <f t="shared" si="1"/>
        <v>0</v>
      </c>
      <c r="J31" s="30">
        <f t="shared" si="2"/>
        <v>0</v>
      </c>
      <c r="K31" s="71">
        <f t="shared" si="3"/>
        <v>0</v>
      </c>
      <c r="L31" s="183"/>
      <c r="M31" s="7"/>
      <c r="N31" s="8"/>
      <c r="O31" s="8"/>
      <c r="P31" s="8"/>
      <c r="Q31" s="8"/>
      <c r="R31" s="69"/>
      <c r="S31" s="7"/>
      <c r="T31" s="7"/>
      <c r="U31" s="8"/>
      <c r="V31" s="8"/>
      <c r="W31" s="8"/>
      <c r="X31" s="8"/>
      <c r="Y31" s="8"/>
      <c r="Z31" s="7"/>
      <c r="AA31" s="7"/>
      <c r="AB31" s="8"/>
      <c r="AC31" s="8"/>
      <c r="AD31" s="8"/>
      <c r="AE31" s="8"/>
      <c r="AF31" s="8"/>
      <c r="AG31" s="7"/>
      <c r="AH31" s="7"/>
      <c r="AI31" s="8"/>
      <c r="AJ31" s="8"/>
      <c r="AK31" s="8"/>
      <c r="AL31" s="8"/>
      <c r="AM31" s="8"/>
      <c r="AN31" s="87"/>
      <c r="AO31" s="87"/>
      <c r="AP31" s="199"/>
      <c r="AQ31" s="81"/>
      <c r="AR31" s="81"/>
      <c r="AS31" s="81"/>
      <c r="AT31" s="81"/>
      <c r="AU31" s="80"/>
      <c r="AV31" s="80"/>
      <c r="AW31" s="81"/>
      <c r="AX31" s="81"/>
      <c r="AY31" s="81"/>
      <c r="AZ31" s="81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3"/>
      <c r="LN31" s="53"/>
      <c r="LO31" s="53"/>
      <c r="LP31" s="53"/>
      <c r="LQ31" s="53"/>
      <c r="LR31" s="53"/>
      <c r="LS31" s="53"/>
      <c r="LT31" s="53"/>
      <c r="LU31" s="53"/>
      <c r="LV31" s="53"/>
      <c r="LW31" s="53"/>
      <c r="LX31" s="53"/>
      <c r="LY31" s="53"/>
      <c r="LZ31" s="53"/>
      <c r="MA31" s="53"/>
      <c r="MB31" s="53"/>
      <c r="MC31" s="53"/>
      <c r="MD31" s="53"/>
      <c r="ME31" s="53"/>
      <c r="MF31" s="53"/>
      <c r="MG31" s="53"/>
      <c r="MH31" s="53"/>
      <c r="MI31" s="53"/>
      <c r="MJ31" s="53"/>
      <c r="MK31" s="53"/>
      <c r="ML31" s="53"/>
      <c r="MM31" s="53"/>
      <c r="MN31" s="53"/>
      <c r="MO31" s="53"/>
      <c r="MP31" s="53"/>
      <c r="MQ31" s="53"/>
      <c r="MR31" s="53"/>
      <c r="MS31" s="53"/>
      <c r="MT31" s="53"/>
      <c r="MU31" s="53"/>
      <c r="MV31" s="53"/>
      <c r="MW31" s="53"/>
      <c r="MX31" s="53"/>
      <c r="MY31" s="53"/>
      <c r="MZ31" s="53"/>
      <c r="NA31" s="53"/>
      <c r="NB31" s="53"/>
      <c r="NC31" s="53"/>
      <c r="ND31" s="53"/>
      <c r="NE31" s="53"/>
      <c r="NF31" s="53"/>
      <c r="NG31" s="53"/>
      <c r="NH31" s="53"/>
      <c r="NI31" s="53"/>
      <c r="NJ31" s="53"/>
      <c r="NK31" s="53"/>
      <c r="NL31" s="53"/>
      <c r="NM31" s="53"/>
    </row>
    <row r="32" spans="1:377" customFormat="1" ht="15.75" customHeight="1">
      <c r="A32" s="1"/>
      <c r="B32" s="29" t="s">
        <v>101</v>
      </c>
      <c r="C32" s="29" t="s">
        <v>30</v>
      </c>
      <c r="D32" s="29" t="s">
        <v>49</v>
      </c>
      <c r="E32" s="37">
        <v>0</v>
      </c>
      <c r="F32" s="29">
        <v>23</v>
      </c>
      <c r="G32" s="29">
        <v>0</v>
      </c>
      <c r="H32" s="29">
        <f t="shared" ref="H32" si="8">E32+F32-COUNTIF(L32:NM32,$C$2)</f>
        <v>8</v>
      </c>
      <c r="I32" s="30">
        <f t="shared" ref="I32" si="9">G32-COUNTIF(L32:NM32,$C$3)</f>
        <v>0</v>
      </c>
      <c r="J32" s="30">
        <f t="shared" ref="J32" si="10">COUNTIF(K32:NH32,$C$4)</f>
        <v>0</v>
      </c>
      <c r="K32" s="71">
        <f t="shared" ref="K32" si="11">COUNTIF(L32:NM32,$C$5)</f>
        <v>0</v>
      </c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8"/>
      <c r="HD32" s="8"/>
      <c r="HE32" s="8"/>
      <c r="HF32" s="8"/>
      <c r="HG32" s="7"/>
      <c r="HH32" s="7"/>
      <c r="HI32" s="8"/>
      <c r="HJ32" s="8"/>
      <c r="HK32" s="8"/>
      <c r="HL32" s="8"/>
      <c r="HM32" s="69"/>
      <c r="HN32" s="7"/>
      <c r="HO32" s="7"/>
      <c r="HP32" s="8"/>
      <c r="HQ32" s="148"/>
      <c r="HR32" s="69"/>
      <c r="HS32" s="8"/>
      <c r="HT32" s="8"/>
      <c r="HU32" s="7"/>
      <c r="HV32" s="7"/>
      <c r="HW32" s="8"/>
      <c r="HX32" s="8"/>
      <c r="HY32" s="8"/>
      <c r="HZ32" s="8"/>
      <c r="IA32" s="8"/>
      <c r="IB32" s="7"/>
      <c r="IC32" s="7"/>
      <c r="ID32" s="8"/>
      <c r="IE32" s="8"/>
      <c r="IF32" s="8"/>
      <c r="IG32" s="8"/>
      <c r="IH32" s="8"/>
      <c r="II32" s="7"/>
      <c r="IJ32" s="7"/>
      <c r="IK32" s="8"/>
      <c r="IL32" s="8"/>
      <c r="IM32" s="8"/>
      <c r="IN32" s="8"/>
      <c r="IO32" s="8"/>
      <c r="IP32" s="7"/>
      <c r="IQ32" s="7"/>
      <c r="IR32" s="8"/>
      <c r="IS32" s="8"/>
      <c r="IT32" s="8"/>
      <c r="IU32" s="148"/>
      <c r="IV32" s="147"/>
      <c r="IW32" s="7"/>
      <c r="IX32" s="7"/>
      <c r="IY32" s="8"/>
      <c r="IZ32" s="8"/>
      <c r="JA32" s="8"/>
      <c r="JB32" s="8"/>
      <c r="JC32" s="69"/>
      <c r="JD32" s="7"/>
      <c r="JE32" s="7"/>
      <c r="JF32" s="8"/>
      <c r="JG32" s="8"/>
      <c r="JH32" s="8"/>
      <c r="JI32" s="8"/>
      <c r="JJ32" s="8"/>
      <c r="JK32" s="7"/>
      <c r="JL32" s="7"/>
      <c r="JM32" s="8"/>
      <c r="JN32" s="8"/>
      <c r="JO32" s="8"/>
      <c r="JP32" s="8"/>
      <c r="JQ32" s="8"/>
      <c r="JR32" s="7"/>
      <c r="JS32" s="7"/>
      <c r="JT32" s="69"/>
      <c r="JU32" s="8"/>
      <c r="JV32" s="8"/>
      <c r="JW32" s="8"/>
      <c r="JX32" s="8"/>
      <c r="JY32" s="87"/>
      <c r="JZ32" s="184"/>
      <c r="KA32" s="69"/>
      <c r="KB32" s="8"/>
      <c r="KC32" s="8"/>
      <c r="KD32" s="8"/>
      <c r="KE32" s="8"/>
      <c r="KF32" s="7"/>
      <c r="KG32" s="7"/>
      <c r="KH32" s="8"/>
      <c r="KI32" s="8"/>
      <c r="KJ32" s="8"/>
      <c r="KK32" s="8"/>
      <c r="KL32" s="8"/>
      <c r="KM32" s="7"/>
      <c r="KN32" s="7"/>
      <c r="KO32" s="66" t="s">
        <v>1</v>
      </c>
      <c r="KP32" s="66" t="s">
        <v>1</v>
      </c>
      <c r="KQ32" s="66" t="s">
        <v>1</v>
      </c>
      <c r="KR32" s="66" t="s">
        <v>1</v>
      </c>
      <c r="KS32" s="66" t="s">
        <v>1</v>
      </c>
      <c r="KT32" s="7"/>
      <c r="KU32" s="7"/>
      <c r="KV32" s="66" t="s">
        <v>1</v>
      </c>
      <c r="KW32" s="66" t="s">
        <v>1</v>
      </c>
      <c r="KX32" s="66" t="s">
        <v>1</v>
      </c>
      <c r="KY32" s="66" t="s">
        <v>1</v>
      </c>
      <c r="KZ32" s="66" t="s">
        <v>1</v>
      </c>
      <c r="LA32" s="7"/>
      <c r="LB32" s="7"/>
      <c r="LC32" s="66" t="s">
        <v>1</v>
      </c>
      <c r="LD32" s="66" t="s">
        <v>1</v>
      </c>
      <c r="LE32" s="66" t="s">
        <v>1</v>
      </c>
      <c r="LF32" s="66" t="s">
        <v>1</v>
      </c>
      <c r="LG32" s="66" t="s">
        <v>1</v>
      </c>
      <c r="LH32" s="7"/>
      <c r="LI32" s="7"/>
      <c r="LJ32" s="8"/>
      <c r="LK32" s="8"/>
      <c r="LL32" s="8"/>
      <c r="LM32" s="8"/>
      <c r="LN32" s="8"/>
      <c r="LO32" s="7"/>
      <c r="LP32" s="7"/>
      <c r="LQ32" s="8"/>
      <c r="LR32" s="8"/>
      <c r="LS32" s="8"/>
      <c r="LT32" s="8"/>
      <c r="LU32" s="8"/>
      <c r="LV32" s="7"/>
      <c r="LW32" s="7"/>
      <c r="LX32" s="8"/>
      <c r="LY32" s="8"/>
      <c r="LZ32" s="8"/>
      <c r="MA32" s="8"/>
      <c r="MB32" s="8"/>
      <c r="MC32" s="7"/>
      <c r="MD32" s="7"/>
      <c r="ME32" s="8"/>
      <c r="MF32" s="8"/>
      <c r="MG32" s="8"/>
      <c r="MH32" s="148"/>
      <c r="MI32" s="147"/>
      <c r="MJ32" s="7"/>
      <c r="MK32" s="7"/>
      <c r="ML32" s="8"/>
      <c r="MM32" s="8"/>
      <c r="MN32" s="8"/>
      <c r="MO32" s="8"/>
      <c r="MP32" s="8"/>
      <c r="MQ32" s="7"/>
      <c r="MR32" s="7"/>
      <c r="MS32" s="8"/>
      <c r="MT32" s="8"/>
      <c r="MU32" s="8"/>
      <c r="MV32" s="8"/>
      <c r="MW32" s="8"/>
      <c r="MX32" s="7"/>
      <c r="MY32" s="7"/>
      <c r="MZ32" s="8"/>
      <c r="NA32" s="8"/>
      <c r="NB32" s="8"/>
      <c r="NC32" s="8"/>
      <c r="ND32" s="8"/>
      <c r="NE32" s="7"/>
      <c r="NF32" s="7"/>
      <c r="NG32" s="8"/>
      <c r="NH32" s="8"/>
      <c r="NI32" s="8"/>
      <c r="NJ32" s="8"/>
      <c r="NK32" s="69"/>
      <c r="NL32" s="7"/>
      <c r="NM32" s="184"/>
    </row>
    <row r="33" spans="1:377" customFormat="1" ht="15.75" customHeight="1">
      <c r="A33" s="1"/>
      <c r="B33" s="29" t="s">
        <v>102</v>
      </c>
      <c r="C33" s="29" t="s">
        <v>30</v>
      </c>
      <c r="D33" s="29" t="s">
        <v>49</v>
      </c>
      <c r="E33" s="37">
        <v>0</v>
      </c>
      <c r="F33" s="29">
        <v>23</v>
      </c>
      <c r="G33" s="29">
        <v>0</v>
      </c>
      <c r="H33" s="29">
        <f t="shared" ref="H33" si="12">E33+F33-COUNTIF(L33:NM33,$C$2)</f>
        <v>5</v>
      </c>
      <c r="I33" s="30">
        <f t="shared" ref="I33" si="13">G33-COUNTIF(L33:NM33,$C$3)</f>
        <v>0</v>
      </c>
      <c r="J33" s="30">
        <f t="shared" ref="J33" si="14">COUNTIF(K33:NH33,$C$4)</f>
        <v>0</v>
      </c>
      <c r="K33" s="71">
        <f t="shared" ref="K33" si="15">COUNTIF(L33:NM33,$C$5)</f>
        <v>0</v>
      </c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8"/>
      <c r="HC33" s="8"/>
      <c r="HD33" s="8"/>
      <c r="HE33" s="8"/>
      <c r="HF33" s="8"/>
      <c r="HG33" s="7"/>
      <c r="HH33" s="7"/>
      <c r="HI33" s="8"/>
      <c r="HJ33" s="8"/>
      <c r="HK33" s="8"/>
      <c r="HL33" s="8"/>
      <c r="HM33" s="69"/>
      <c r="HN33" s="7"/>
      <c r="HO33" s="7"/>
      <c r="HP33" s="8"/>
      <c r="HQ33" s="148"/>
      <c r="HR33" s="69"/>
      <c r="HS33" s="8"/>
      <c r="HT33" s="8"/>
      <c r="HU33" s="7"/>
      <c r="HV33" s="7"/>
      <c r="HW33" s="8"/>
      <c r="HX33" s="8"/>
      <c r="HY33" s="8"/>
      <c r="HZ33" s="8"/>
      <c r="IA33" s="8"/>
      <c r="IB33" s="7"/>
      <c r="IC33" s="7"/>
      <c r="ID33" s="8"/>
      <c r="IE33" s="8"/>
      <c r="IF33" s="8"/>
      <c r="IG33" s="8"/>
      <c r="IH33" s="8"/>
      <c r="II33" s="7"/>
      <c r="IJ33" s="7"/>
      <c r="IK33" s="8"/>
      <c r="IL33" s="8"/>
      <c r="IM33" s="8"/>
      <c r="IN33" s="8"/>
      <c r="IO33" s="8"/>
      <c r="IP33" s="7"/>
      <c r="IQ33" s="7"/>
      <c r="IR33" s="8"/>
      <c r="IS33" s="8"/>
      <c r="IT33" s="8"/>
      <c r="IU33" s="148"/>
      <c r="IV33" s="147"/>
      <c r="IW33" s="7"/>
      <c r="IX33" s="7"/>
      <c r="IY33" s="8"/>
      <c r="IZ33" s="8"/>
      <c r="JA33" s="8"/>
      <c r="JB33" s="8"/>
      <c r="JC33" s="69"/>
      <c r="JD33" s="7"/>
      <c r="JE33" s="7"/>
      <c r="JF33" s="8"/>
      <c r="JG33" s="8"/>
      <c r="JH33" s="8"/>
      <c r="JI33" s="8"/>
      <c r="JJ33" s="8"/>
      <c r="JK33" s="7"/>
      <c r="JL33" s="7"/>
      <c r="JM33" s="8"/>
      <c r="JN33" s="8"/>
      <c r="JO33" s="8"/>
      <c r="JP33" s="8"/>
      <c r="JQ33" s="8"/>
      <c r="JR33" s="7"/>
      <c r="JS33" s="7"/>
      <c r="JT33" s="69"/>
      <c r="JU33" s="66" t="s">
        <v>1</v>
      </c>
      <c r="JV33" s="66" t="s">
        <v>1</v>
      </c>
      <c r="JW33" s="66" t="s">
        <v>1</v>
      </c>
      <c r="JX33" s="66" t="s">
        <v>1</v>
      </c>
      <c r="JY33" s="87"/>
      <c r="JZ33" s="184"/>
      <c r="KA33" s="69"/>
      <c r="KB33" s="66" t="s">
        <v>1</v>
      </c>
      <c r="KC33" s="66" t="s">
        <v>1</v>
      </c>
      <c r="KD33" s="66" t="s">
        <v>1</v>
      </c>
      <c r="KE33" s="66" t="s">
        <v>1</v>
      </c>
      <c r="KF33" s="7"/>
      <c r="KG33" s="7"/>
      <c r="KH33" s="8"/>
      <c r="KI33" s="8"/>
      <c r="KJ33" s="8"/>
      <c r="KK33" s="8"/>
      <c r="KL33" s="8"/>
      <c r="KM33" s="7"/>
      <c r="KN33" s="7"/>
      <c r="KO33" s="8"/>
      <c r="KP33" s="8"/>
      <c r="KQ33" s="8"/>
      <c r="KR33" s="8"/>
      <c r="KS33" s="8"/>
      <c r="KT33" s="7"/>
      <c r="KU33" s="7"/>
      <c r="KV33" s="8"/>
      <c r="KW33" s="8"/>
      <c r="KX33" s="8"/>
      <c r="KY33" s="8"/>
      <c r="KZ33" s="8"/>
      <c r="LA33" s="7"/>
      <c r="LB33" s="7"/>
      <c r="LC33" s="8"/>
      <c r="LD33" s="8"/>
      <c r="LE33" s="148"/>
      <c r="LF33" s="147"/>
      <c r="LG33" s="8"/>
      <c r="LH33" s="7"/>
      <c r="LI33" s="7"/>
      <c r="LJ33" s="8"/>
      <c r="LK33" s="8"/>
      <c r="LL33" s="8"/>
      <c r="LM33" s="8"/>
      <c r="LN33" s="8"/>
      <c r="LO33" s="7"/>
      <c r="LP33" s="7"/>
      <c r="LQ33" s="8"/>
      <c r="LR33" s="8"/>
      <c r="LS33" s="8"/>
      <c r="LT33" s="8"/>
      <c r="LU33" s="8"/>
      <c r="LV33" s="7"/>
      <c r="LW33" s="7"/>
      <c r="LX33" s="66" t="s">
        <v>1</v>
      </c>
      <c r="LY33" s="66" t="s">
        <v>1</v>
      </c>
      <c r="LZ33" s="66" t="s">
        <v>1</v>
      </c>
      <c r="MA33" s="66" t="s">
        <v>1</v>
      </c>
      <c r="MB33" s="66" t="s">
        <v>1</v>
      </c>
      <c r="MC33" s="7"/>
      <c r="MD33" s="7"/>
      <c r="ME33" s="66" t="s">
        <v>1</v>
      </c>
      <c r="MF33" s="66" t="s">
        <v>1</v>
      </c>
      <c r="MG33" s="66" t="s">
        <v>1</v>
      </c>
      <c r="MH33" s="66" t="s">
        <v>1</v>
      </c>
      <c r="MI33" s="66" t="s">
        <v>1</v>
      </c>
      <c r="MJ33" s="7"/>
      <c r="MK33" s="7"/>
      <c r="ML33" s="8"/>
      <c r="MM33" s="8"/>
      <c r="MN33" s="8"/>
      <c r="MO33" s="8"/>
      <c r="MP33" s="8"/>
      <c r="MQ33" s="7"/>
      <c r="MR33" s="7"/>
      <c r="MS33" s="8"/>
      <c r="MT33" s="8"/>
      <c r="MU33" s="8"/>
      <c r="MV33" s="8"/>
      <c r="MW33" s="8"/>
      <c r="MX33" s="7"/>
      <c r="MY33" s="7"/>
      <c r="MZ33" s="8"/>
      <c r="NA33" s="8"/>
      <c r="NB33" s="8"/>
      <c r="NC33" s="8"/>
      <c r="ND33" s="8"/>
      <c r="NE33" s="7"/>
      <c r="NF33" s="7"/>
      <c r="NG33" s="8"/>
      <c r="NH33" s="8"/>
      <c r="NI33" s="8"/>
      <c r="NJ33" s="8"/>
      <c r="NK33" s="69"/>
      <c r="NL33" s="7"/>
      <c r="NM33" s="184"/>
    </row>
    <row r="34" spans="1:377" customFormat="1" ht="15.75" customHeight="1">
      <c r="A34" s="1"/>
      <c r="B34" s="29" t="s">
        <v>103</v>
      </c>
      <c r="C34" s="29" t="s">
        <v>30</v>
      </c>
      <c r="D34" s="29" t="s">
        <v>49</v>
      </c>
      <c r="E34" s="37">
        <v>0</v>
      </c>
      <c r="F34" s="29">
        <v>23</v>
      </c>
      <c r="G34" s="29">
        <v>0</v>
      </c>
      <c r="H34" s="29">
        <f t="shared" ref="H34" si="16">E34+F34-COUNTIF(L34:NM34,$C$2)</f>
        <v>18</v>
      </c>
      <c r="I34" s="30">
        <f t="shared" ref="I34" si="17">G34-COUNTIF(L34:NM34,$C$3)</f>
        <v>0</v>
      </c>
      <c r="J34" s="30">
        <f t="shared" ref="J34" si="18">COUNTIF(K34:NH34,$C$4)</f>
        <v>0</v>
      </c>
      <c r="K34" s="71">
        <f t="shared" ref="K34" si="19">COUNTIF(L34:NM34,$C$5)</f>
        <v>0</v>
      </c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7"/>
      <c r="IJ34" s="7"/>
      <c r="IK34" s="8"/>
      <c r="IL34" s="8"/>
      <c r="IM34" s="8"/>
      <c r="IN34" s="8"/>
      <c r="IO34" s="8"/>
      <c r="IP34" s="7"/>
      <c r="IQ34" s="7"/>
      <c r="IR34" s="8"/>
      <c r="IS34" s="8"/>
      <c r="IT34" s="8"/>
      <c r="IU34" s="148"/>
      <c r="IV34" s="147"/>
      <c r="IW34" s="7"/>
      <c r="IX34" s="7"/>
      <c r="IY34" s="8"/>
      <c r="IZ34" s="8"/>
      <c r="JA34" s="8"/>
      <c r="JB34" s="8"/>
      <c r="JC34" s="69"/>
      <c r="JD34" s="7"/>
      <c r="JE34" s="7"/>
      <c r="JF34" s="8"/>
      <c r="JG34" s="8"/>
      <c r="JH34" s="8"/>
      <c r="JI34" s="8"/>
      <c r="JJ34" s="8"/>
      <c r="JK34" s="7"/>
      <c r="JL34" s="7"/>
      <c r="JM34" s="8"/>
      <c r="JN34" s="8"/>
      <c r="JO34" s="8"/>
      <c r="JP34" s="8"/>
      <c r="JQ34" s="8"/>
      <c r="JR34" s="7"/>
      <c r="JS34" s="7"/>
      <c r="JT34" s="69"/>
      <c r="JU34" s="8"/>
      <c r="JV34" s="8"/>
      <c r="JW34" s="8"/>
      <c r="JX34" s="8"/>
      <c r="JY34" s="87"/>
      <c r="JZ34" s="184"/>
      <c r="KA34" s="69"/>
      <c r="KB34" s="8"/>
      <c r="KC34" s="8"/>
      <c r="KD34" s="8"/>
      <c r="KE34" s="8"/>
      <c r="KF34" s="7"/>
      <c r="KG34" s="7"/>
      <c r="KH34" s="66" t="s">
        <v>1</v>
      </c>
      <c r="KI34" s="66" t="s">
        <v>1</v>
      </c>
      <c r="KJ34" s="66" t="s">
        <v>1</v>
      </c>
      <c r="KK34" s="66" t="s">
        <v>1</v>
      </c>
      <c r="KL34" s="66" t="s">
        <v>1</v>
      </c>
      <c r="KM34" s="7"/>
      <c r="KN34" s="7"/>
      <c r="KO34" s="8"/>
      <c r="KP34" s="8"/>
      <c r="KQ34" s="8"/>
      <c r="KR34" s="8"/>
      <c r="KS34" s="8"/>
      <c r="KT34" s="7"/>
      <c r="KU34" s="7"/>
      <c r="KV34" s="8"/>
      <c r="KW34" s="8"/>
      <c r="KX34" s="8"/>
      <c r="KY34" s="8"/>
      <c r="KZ34" s="8"/>
      <c r="LA34" s="7"/>
      <c r="LB34" s="7"/>
      <c r="LC34" s="8"/>
      <c r="LD34" s="8"/>
      <c r="LE34" s="148"/>
      <c r="LF34" s="147"/>
      <c r="LG34" s="8"/>
      <c r="LH34" s="7"/>
      <c r="LI34" s="7"/>
      <c r="LJ34" s="8"/>
      <c r="LK34" s="8"/>
      <c r="LL34" s="8"/>
      <c r="LM34" s="8"/>
      <c r="LN34" s="8"/>
      <c r="LO34" s="7"/>
      <c r="LP34" s="7"/>
      <c r="LQ34" s="8"/>
      <c r="LR34" s="8"/>
      <c r="LS34" s="8"/>
      <c r="LT34" s="8"/>
      <c r="LU34" s="8"/>
      <c r="LV34" s="7"/>
      <c r="LW34" s="7"/>
      <c r="LX34" s="8"/>
      <c r="LY34" s="8"/>
      <c r="LZ34" s="8"/>
      <c r="MA34" s="8"/>
      <c r="MB34" s="8"/>
      <c r="MC34" s="7"/>
      <c r="MD34" s="7"/>
      <c r="ME34" s="8"/>
      <c r="MF34" s="8"/>
      <c r="MG34" s="8"/>
      <c r="MH34" s="148"/>
      <c r="MI34" s="147"/>
      <c r="MJ34" s="7"/>
      <c r="MK34" s="7"/>
      <c r="ML34" s="8"/>
      <c r="MM34" s="8"/>
      <c r="MN34" s="8"/>
      <c r="MO34" s="8"/>
      <c r="MP34" s="8"/>
      <c r="MQ34" s="7"/>
      <c r="MR34" s="7"/>
      <c r="MS34" s="8"/>
      <c r="MT34" s="8"/>
      <c r="MU34" s="8"/>
      <c r="MV34" s="8"/>
      <c r="MW34" s="8"/>
      <c r="MX34" s="7"/>
      <c r="MY34" s="7"/>
      <c r="MZ34" s="8"/>
      <c r="NA34" s="8"/>
      <c r="NB34" s="8"/>
      <c r="NC34" s="8"/>
      <c r="ND34" s="8"/>
      <c r="NE34" s="7"/>
      <c r="NF34" s="7"/>
      <c r="NG34" s="8"/>
      <c r="NH34" s="8"/>
      <c r="NI34" s="8"/>
      <c r="NJ34" s="8"/>
      <c r="NK34" s="69"/>
      <c r="NL34" s="7"/>
      <c r="NM34" s="184"/>
    </row>
    <row r="35" spans="1:377" customFormat="1" ht="15.75" customHeight="1" thickBot="1">
      <c r="A35" s="1"/>
      <c r="B35" s="29" t="s">
        <v>104</v>
      </c>
      <c r="C35" s="29" t="s">
        <v>30</v>
      </c>
      <c r="D35" s="29" t="s">
        <v>49</v>
      </c>
      <c r="E35" s="37">
        <v>0</v>
      </c>
      <c r="F35" s="29">
        <v>23</v>
      </c>
      <c r="G35" s="29">
        <v>0</v>
      </c>
      <c r="H35" s="29">
        <f t="shared" ref="H35" si="20">E35+F35-COUNTIF(L35:NM35,$C$2)</f>
        <v>23</v>
      </c>
      <c r="I35" s="30">
        <f t="shared" ref="I35" si="21">G35-COUNTIF(L35:NM35,$C$3)</f>
        <v>0</v>
      </c>
      <c r="J35" s="30">
        <f t="shared" ref="J35" si="22">COUNTIF(K35:NH35,$C$4)</f>
        <v>0</v>
      </c>
      <c r="K35" s="71">
        <f t="shared" ref="K35" si="23">COUNTIF(L35:NM35,$C$5)</f>
        <v>0</v>
      </c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8"/>
      <c r="JG35" s="8"/>
      <c r="JH35" s="8"/>
      <c r="JI35" s="8"/>
      <c r="JJ35" s="8"/>
      <c r="JK35" s="7"/>
      <c r="JL35" s="7"/>
      <c r="JM35" s="8"/>
      <c r="JN35" s="8"/>
      <c r="JO35" s="8"/>
      <c r="JP35" s="8"/>
      <c r="JQ35" s="8"/>
      <c r="JR35" s="7"/>
      <c r="JS35" s="7"/>
      <c r="JT35" s="69"/>
      <c r="JU35" s="8"/>
      <c r="JV35" s="8"/>
      <c r="JW35" s="8"/>
      <c r="JX35" s="8"/>
      <c r="JY35" s="87"/>
      <c r="JZ35" s="184"/>
      <c r="KA35" s="69"/>
      <c r="KB35" s="8"/>
      <c r="KC35" s="8"/>
      <c r="KD35" s="8"/>
      <c r="KE35" s="8"/>
      <c r="KF35" s="7"/>
      <c r="KG35" s="7"/>
      <c r="KH35" s="8"/>
      <c r="KI35" s="8"/>
      <c r="KJ35" s="8"/>
      <c r="KK35" s="8"/>
      <c r="KL35" s="8"/>
      <c r="KM35" s="7"/>
      <c r="KN35" s="7"/>
      <c r="KO35" s="8"/>
      <c r="KP35" s="8"/>
      <c r="KQ35" s="8"/>
      <c r="KR35" s="8"/>
      <c r="KS35" s="8"/>
      <c r="KT35" s="7"/>
      <c r="KU35" s="7"/>
      <c r="KV35" s="8"/>
      <c r="KW35" s="8"/>
      <c r="KX35" s="8"/>
      <c r="KY35" s="8"/>
      <c r="KZ35" s="8"/>
      <c r="LA35" s="7"/>
      <c r="LB35" s="7"/>
      <c r="LC35" s="8"/>
      <c r="LD35" s="8"/>
      <c r="LE35" s="148"/>
      <c r="LF35" s="147"/>
      <c r="LG35" s="8"/>
      <c r="LH35" s="7"/>
      <c r="LI35" s="7"/>
      <c r="LJ35" s="8"/>
      <c r="LK35" s="8"/>
      <c r="LL35" s="8"/>
      <c r="LM35" s="8"/>
      <c r="LN35" s="8"/>
      <c r="LO35" s="7"/>
      <c r="LP35" s="7"/>
      <c r="LQ35" s="8"/>
      <c r="LR35" s="8"/>
      <c r="LS35" s="8"/>
      <c r="LT35" s="8"/>
      <c r="LU35" s="8"/>
      <c r="LV35" s="7"/>
      <c r="LW35" s="7"/>
      <c r="LX35" s="8"/>
      <c r="LY35" s="8"/>
      <c r="LZ35" s="8"/>
      <c r="MA35" s="8"/>
      <c r="MB35" s="8"/>
      <c r="MC35" s="7"/>
      <c r="MD35" s="7"/>
      <c r="ME35" s="8"/>
      <c r="MF35" s="8"/>
      <c r="MG35" s="8"/>
      <c r="MH35" s="148"/>
      <c r="MI35" s="147"/>
      <c r="MJ35" s="7"/>
      <c r="MK35" s="7"/>
      <c r="ML35" s="8"/>
      <c r="MM35" s="8"/>
      <c r="MN35" s="8"/>
      <c r="MO35" s="8"/>
      <c r="MP35" s="8"/>
      <c r="MQ35" s="7"/>
      <c r="MR35" s="7"/>
      <c r="MS35" s="8"/>
      <c r="MT35" s="8"/>
      <c r="MU35" s="8"/>
      <c r="MV35" s="8"/>
      <c r="MW35" s="8"/>
      <c r="MX35" s="7"/>
      <c r="MY35" s="7"/>
      <c r="MZ35" s="8"/>
      <c r="NA35" s="8"/>
      <c r="NB35" s="8"/>
      <c r="NC35" s="8"/>
      <c r="ND35" s="8"/>
      <c r="NE35" s="7"/>
      <c r="NF35" s="7"/>
      <c r="NG35" s="8"/>
      <c r="NH35" s="8"/>
      <c r="NI35" s="8"/>
      <c r="NJ35" s="8"/>
      <c r="NK35" s="69"/>
      <c r="NL35" s="7"/>
      <c r="NM35" s="184"/>
    </row>
    <row r="36" spans="1:377" customFormat="1" ht="15" hidden="1" customHeight="1">
      <c r="A36" s="1"/>
      <c r="B36" s="29" t="s">
        <v>79</v>
      </c>
      <c r="C36" s="29" t="s">
        <v>36</v>
      </c>
      <c r="D36" s="29" t="s">
        <v>49</v>
      </c>
      <c r="E36" s="37">
        <v>0</v>
      </c>
      <c r="F36" s="29">
        <v>23</v>
      </c>
      <c r="G36" s="29">
        <v>2</v>
      </c>
      <c r="H36" s="29">
        <f t="shared" si="0"/>
        <v>8</v>
      </c>
      <c r="I36" s="30">
        <f t="shared" si="1"/>
        <v>2</v>
      </c>
      <c r="J36" s="30">
        <f t="shared" si="2"/>
        <v>0</v>
      </c>
      <c r="K36" s="71">
        <f t="shared" si="3"/>
        <v>0</v>
      </c>
      <c r="L36" s="183"/>
      <c r="M36" s="7"/>
      <c r="N36" s="8"/>
      <c r="O36" s="8"/>
      <c r="P36" s="8"/>
      <c r="Q36" s="8"/>
      <c r="R36" s="69"/>
      <c r="S36" s="7"/>
      <c r="T36" s="7"/>
      <c r="U36" s="69"/>
      <c r="V36" s="8"/>
      <c r="W36" s="8"/>
      <c r="X36" s="8"/>
      <c r="Y36" s="8"/>
      <c r="Z36" s="7"/>
      <c r="AA36" s="7"/>
      <c r="AB36" s="69"/>
      <c r="AC36" s="8"/>
      <c r="AD36" s="8"/>
      <c r="AE36" s="8"/>
      <c r="AF36" s="8"/>
      <c r="AG36" s="7"/>
      <c r="AH36" s="7"/>
      <c r="AI36" s="69"/>
      <c r="AJ36" s="8"/>
      <c r="AK36" s="8"/>
      <c r="AL36" s="8"/>
      <c r="AM36" s="8"/>
      <c r="AN36" s="87"/>
      <c r="AO36" s="184"/>
      <c r="AP36" s="206"/>
      <c r="AQ36" s="61"/>
      <c r="AR36" s="61"/>
      <c r="AS36" s="61"/>
      <c r="AT36" s="61"/>
      <c r="AU36" s="135"/>
      <c r="AV36" s="135"/>
      <c r="AW36" s="61"/>
      <c r="AX36" s="61"/>
      <c r="AY36" s="61"/>
      <c r="AZ36" s="61"/>
      <c r="BA36" s="61"/>
      <c r="BB36" s="135"/>
      <c r="BC36" s="135"/>
      <c r="BD36" s="61"/>
      <c r="BE36" s="61"/>
      <c r="BF36" s="61"/>
      <c r="BG36" s="61"/>
      <c r="BH36" s="61"/>
      <c r="BI36" s="135"/>
      <c r="BJ36" s="135"/>
      <c r="BK36" s="61"/>
      <c r="BL36" s="61"/>
      <c r="BM36" s="61"/>
      <c r="BN36" s="61"/>
      <c r="BO36" s="61"/>
      <c r="BP36" s="135"/>
      <c r="BQ36" s="135"/>
      <c r="BR36" s="61"/>
      <c r="BS36" s="61"/>
      <c r="BT36" s="207"/>
      <c r="BU36" s="147"/>
      <c r="BV36" s="28"/>
      <c r="BW36" s="7"/>
      <c r="BX36" s="7"/>
      <c r="BY36" s="28"/>
      <c r="BZ36" s="28"/>
      <c r="CA36" s="28"/>
      <c r="CB36" s="28"/>
      <c r="CC36" s="28"/>
      <c r="CD36" s="7"/>
      <c r="CE36" s="7"/>
      <c r="CF36" s="28"/>
      <c r="CG36" s="28"/>
      <c r="CH36" s="28"/>
      <c r="CI36" s="28"/>
      <c r="CJ36" s="28"/>
      <c r="CK36" s="7"/>
      <c r="CL36" s="7"/>
      <c r="CM36" s="28"/>
      <c r="CN36" s="28"/>
      <c r="CO36" s="222"/>
      <c r="CP36" s="28"/>
      <c r="CQ36" s="28"/>
      <c r="CR36" s="7"/>
      <c r="CS36" s="7"/>
      <c r="CT36" s="28"/>
      <c r="CU36" s="28"/>
      <c r="CV36" s="28"/>
      <c r="CW36" s="28"/>
      <c r="CX36" s="186"/>
      <c r="CY36" s="183"/>
      <c r="CZ36" s="7"/>
      <c r="DA36" s="8"/>
      <c r="DB36" s="8"/>
      <c r="DC36" s="8"/>
      <c r="DD36" s="8"/>
      <c r="DE36" s="8"/>
      <c r="DF36" s="7"/>
      <c r="DG36" s="7"/>
      <c r="DH36" s="8"/>
      <c r="DI36" s="8"/>
      <c r="DJ36" s="8"/>
      <c r="DK36" s="8"/>
      <c r="DL36" s="8"/>
      <c r="DM36" s="7"/>
      <c r="DN36" s="7"/>
      <c r="DO36" s="8"/>
      <c r="DP36" s="8"/>
      <c r="DQ36" s="8"/>
      <c r="DR36" s="8"/>
      <c r="DS36" s="8"/>
      <c r="DT36" s="7"/>
      <c r="DU36" s="7"/>
      <c r="DV36" s="8"/>
      <c r="DW36" s="8"/>
      <c r="DX36" s="8"/>
      <c r="DY36" s="8"/>
      <c r="DZ36" s="8"/>
      <c r="EA36" s="7"/>
      <c r="EB36" s="87"/>
      <c r="EC36" s="148"/>
      <c r="ED36" s="147"/>
      <c r="EE36" s="8"/>
      <c r="EF36" s="8"/>
      <c r="EG36" s="8"/>
      <c r="EH36" s="7"/>
      <c r="EI36" s="7"/>
      <c r="EJ36" s="8"/>
      <c r="EK36" s="8"/>
      <c r="EL36" s="8"/>
      <c r="EM36" s="8"/>
      <c r="EN36" s="8"/>
      <c r="EO36" s="7"/>
      <c r="EP36" s="7"/>
      <c r="EQ36" s="8"/>
      <c r="ER36" s="69"/>
      <c r="ES36" s="8"/>
      <c r="ET36" s="8"/>
      <c r="EU36" s="8"/>
      <c r="EV36" s="7"/>
      <c r="EW36" s="7"/>
      <c r="EX36" s="8"/>
      <c r="EY36" s="8"/>
      <c r="EZ36" s="8"/>
      <c r="FA36" s="8"/>
      <c r="FB36" s="8"/>
      <c r="FC36" s="7"/>
      <c r="FD36" s="7"/>
      <c r="FE36" s="66" t="s">
        <v>1</v>
      </c>
      <c r="FF36" s="66" t="s">
        <v>1</v>
      </c>
      <c r="FG36" s="66" t="s">
        <v>1</v>
      </c>
      <c r="FH36" s="66" t="s">
        <v>1</v>
      </c>
      <c r="FI36" s="66" t="s">
        <v>1</v>
      </c>
      <c r="FJ36" s="7"/>
      <c r="FK36" s="7"/>
      <c r="FL36" s="66" t="s">
        <v>1</v>
      </c>
      <c r="FM36" s="66" t="s">
        <v>1</v>
      </c>
      <c r="FN36" s="66" t="s">
        <v>1</v>
      </c>
      <c r="FO36" s="66" t="s">
        <v>1</v>
      </c>
      <c r="FP36" s="66" t="s">
        <v>1</v>
      </c>
      <c r="FQ36" s="7"/>
      <c r="FR36" s="7"/>
      <c r="FS36" s="66" t="s">
        <v>1</v>
      </c>
      <c r="FT36" s="66" t="s">
        <v>1</v>
      </c>
      <c r="FU36" s="66" t="s">
        <v>1</v>
      </c>
      <c r="FV36" s="66" t="s">
        <v>1</v>
      </c>
      <c r="FW36" s="66" t="s">
        <v>1</v>
      </c>
      <c r="FX36" s="7"/>
      <c r="FY36" s="7"/>
      <c r="FZ36" s="28"/>
      <c r="GA36" s="28"/>
      <c r="GB36" s="8"/>
      <c r="GC36" s="8"/>
      <c r="GD36" s="8"/>
      <c r="GE36" s="7"/>
      <c r="GF36" s="7"/>
      <c r="GG36" s="8"/>
      <c r="GH36" s="8"/>
      <c r="GI36" s="8"/>
      <c r="GJ36" s="8"/>
      <c r="GK36" s="8"/>
      <c r="GL36" s="184"/>
      <c r="GM36" s="183"/>
      <c r="GN36" s="8"/>
      <c r="GO36" s="8"/>
      <c r="GP36" s="8"/>
      <c r="GQ36" s="8"/>
      <c r="GR36" s="8"/>
      <c r="GS36" s="7"/>
      <c r="GT36" s="7"/>
      <c r="GU36" s="69"/>
      <c r="GV36" s="8"/>
      <c r="GW36" s="8"/>
      <c r="GX36" s="69"/>
      <c r="GY36" s="8"/>
      <c r="GZ36" s="7"/>
      <c r="HA36" s="7"/>
      <c r="HB36" s="8"/>
      <c r="HC36" s="8"/>
      <c r="HD36" s="8"/>
      <c r="HE36" s="8"/>
      <c r="HF36" s="8"/>
      <c r="HG36" s="7"/>
      <c r="HH36" s="7"/>
      <c r="HI36" s="8"/>
      <c r="HJ36" s="8"/>
      <c r="HK36" s="8"/>
      <c r="HL36" s="8"/>
      <c r="HM36" s="28"/>
      <c r="HN36" s="7"/>
      <c r="HO36" s="7"/>
      <c r="HP36" s="8"/>
      <c r="HQ36" s="148"/>
      <c r="HR36" s="69"/>
      <c r="HS36" s="8"/>
      <c r="HT36" s="8"/>
      <c r="HU36" s="7"/>
      <c r="HV36" s="7"/>
      <c r="HW36" s="8"/>
      <c r="HX36" s="8"/>
      <c r="HY36" s="8"/>
      <c r="HZ36" s="8"/>
      <c r="IA36" s="8"/>
      <c r="IB36" s="7"/>
      <c r="IC36" s="7"/>
      <c r="ID36" s="8"/>
      <c r="IE36" s="8"/>
      <c r="IF36" s="8"/>
      <c r="IG36" s="8"/>
      <c r="IH36" s="8"/>
      <c r="II36" s="7"/>
      <c r="IJ36" s="7"/>
      <c r="IK36" s="8"/>
      <c r="IL36" s="8"/>
      <c r="IM36" s="8"/>
      <c r="IN36" s="8"/>
      <c r="IO36" s="8"/>
      <c r="IP36" s="7"/>
      <c r="IQ36" s="7"/>
      <c r="IR36" s="8"/>
      <c r="IS36" s="8"/>
      <c r="IT36" s="8"/>
      <c r="IU36" s="148"/>
      <c r="IV36" s="147"/>
      <c r="IW36" s="7"/>
      <c r="IX36" s="7"/>
      <c r="IY36" s="8"/>
      <c r="IZ36" s="8"/>
      <c r="JA36" s="69"/>
      <c r="JB36" s="8"/>
      <c r="JC36" s="69"/>
      <c r="JD36" s="7"/>
      <c r="JE36" s="7"/>
      <c r="JF36" s="8"/>
      <c r="JG36" s="8"/>
      <c r="JH36" s="8"/>
      <c r="JI36" s="8"/>
      <c r="JJ36" s="8"/>
      <c r="JK36" s="7"/>
      <c r="JL36" s="7"/>
      <c r="JM36" s="8"/>
      <c r="JN36" s="8"/>
      <c r="JO36" s="8"/>
      <c r="JP36" s="8"/>
      <c r="JQ36" s="8"/>
      <c r="JR36" s="7"/>
      <c r="JS36" s="7"/>
      <c r="JT36" s="69"/>
      <c r="JU36" s="8"/>
      <c r="JV36" s="8"/>
      <c r="JW36" s="8"/>
      <c r="JX36" s="8"/>
      <c r="JY36" s="87"/>
      <c r="JZ36" s="184"/>
      <c r="KA36" s="69"/>
      <c r="KB36" s="8"/>
      <c r="KC36" s="8"/>
      <c r="KD36" s="8"/>
      <c r="KE36" s="8"/>
      <c r="KF36" s="7"/>
      <c r="KG36" s="7"/>
      <c r="KH36" s="8"/>
      <c r="KI36" s="8"/>
      <c r="KJ36" s="8"/>
      <c r="KK36" s="8"/>
      <c r="KL36" s="8"/>
      <c r="KM36" s="7"/>
      <c r="KN36" s="7"/>
      <c r="KO36" s="8"/>
      <c r="KP36" s="8"/>
      <c r="KQ36" s="8"/>
      <c r="KR36" s="8"/>
      <c r="KS36" s="8"/>
      <c r="KT36" s="7"/>
      <c r="KU36" s="7"/>
      <c r="KV36" s="8"/>
      <c r="KW36" s="8"/>
      <c r="KX36" s="8"/>
      <c r="KY36" s="8"/>
      <c r="KZ36" s="8"/>
      <c r="LA36" s="7"/>
      <c r="LB36" s="7"/>
      <c r="LC36" s="8"/>
      <c r="LD36" s="8"/>
      <c r="LE36" s="148"/>
      <c r="LF36" s="147"/>
      <c r="LG36" s="8"/>
      <c r="LH36" s="7"/>
      <c r="LI36" s="7"/>
      <c r="LJ36" s="8"/>
      <c r="LK36" s="8"/>
      <c r="LL36" s="8"/>
      <c r="LM36" s="8"/>
      <c r="LN36" s="8"/>
      <c r="LO36" s="7"/>
      <c r="LP36" s="7"/>
      <c r="LQ36" s="8"/>
      <c r="LR36" s="8"/>
      <c r="LS36" s="8"/>
      <c r="LT36" s="8"/>
      <c r="LU36" s="8"/>
      <c r="LV36" s="7"/>
      <c r="LW36" s="7"/>
      <c r="LX36" s="8"/>
      <c r="LY36" s="8"/>
      <c r="LZ36" s="8"/>
      <c r="MA36" s="8"/>
      <c r="MB36" s="8"/>
      <c r="MC36" s="7"/>
      <c r="MD36" s="7"/>
      <c r="ME36" s="8"/>
      <c r="MF36" s="8"/>
      <c r="MG36" s="8"/>
      <c r="MH36" s="148"/>
      <c r="MI36" s="147"/>
      <c r="MJ36" s="7"/>
      <c r="MK36" s="7"/>
      <c r="ML36" s="8"/>
      <c r="MM36" s="8"/>
      <c r="MN36" s="8"/>
      <c r="MO36" s="8"/>
      <c r="MP36" s="8"/>
      <c r="MQ36" s="7"/>
      <c r="MR36" s="7"/>
      <c r="MS36" s="8"/>
      <c r="MT36" s="8"/>
      <c r="MU36" s="8"/>
      <c r="MV36" s="8"/>
      <c r="MW36" s="8"/>
      <c r="MX36" s="7"/>
      <c r="MY36" s="7"/>
      <c r="MZ36" s="8"/>
      <c r="NA36" s="8"/>
      <c r="NB36" s="8"/>
      <c r="NC36" s="8"/>
      <c r="ND36" s="8"/>
      <c r="NE36" s="7"/>
      <c r="NF36" s="7"/>
      <c r="NG36" s="8"/>
      <c r="NH36" s="8"/>
      <c r="NI36" s="8"/>
      <c r="NJ36" s="8"/>
      <c r="NK36" s="8"/>
      <c r="NL36" s="7"/>
      <c r="NM36" s="184"/>
    </row>
    <row r="37" spans="1:377" customFormat="1" ht="15.75" hidden="1" customHeight="1">
      <c r="A37" s="1"/>
      <c r="B37" s="29" t="s">
        <v>80</v>
      </c>
      <c r="C37" s="29" t="s">
        <v>36</v>
      </c>
      <c r="D37" s="29" t="s">
        <v>49</v>
      </c>
      <c r="E37" s="37">
        <v>0</v>
      </c>
      <c r="F37" s="29">
        <v>23</v>
      </c>
      <c r="G37" s="29">
        <v>2</v>
      </c>
      <c r="H37" s="29">
        <f t="shared" si="0"/>
        <v>23</v>
      </c>
      <c r="I37" s="30">
        <f t="shared" si="1"/>
        <v>2</v>
      </c>
      <c r="J37" s="30">
        <f t="shared" si="2"/>
        <v>0</v>
      </c>
      <c r="K37" s="71">
        <f t="shared" si="3"/>
        <v>0</v>
      </c>
      <c r="L37" s="183"/>
      <c r="M37" s="7"/>
      <c r="N37" s="8"/>
      <c r="O37" s="8"/>
      <c r="P37" s="8"/>
      <c r="Q37" s="8"/>
      <c r="R37" s="69"/>
      <c r="S37" s="7"/>
      <c r="T37" s="7"/>
      <c r="U37" s="69"/>
      <c r="V37" s="8"/>
      <c r="W37" s="8"/>
      <c r="X37" s="8"/>
      <c r="Y37" s="8"/>
      <c r="Z37" s="7"/>
      <c r="AA37" s="7"/>
      <c r="AB37" s="69"/>
      <c r="AC37" s="8"/>
      <c r="AD37" s="8"/>
      <c r="AE37" s="8"/>
      <c r="AF37" s="8"/>
      <c r="AG37" s="7"/>
      <c r="AH37" s="7"/>
      <c r="AI37" s="69"/>
      <c r="AJ37" s="8"/>
      <c r="AK37" s="8"/>
      <c r="AL37" s="8"/>
      <c r="AM37" s="8"/>
      <c r="AN37" s="87"/>
      <c r="AO37" s="184"/>
      <c r="AP37" s="202"/>
      <c r="AQ37" s="114"/>
      <c r="AR37" s="114"/>
      <c r="AS37" s="114"/>
      <c r="AT37" s="114"/>
      <c r="AU37" s="115"/>
      <c r="AV37" s="115"/>
      <c r="AW37" s="114"/>
      <c r="AX37" s="114"/>
      <c r="AY37" s="114"/>
      <c r="AZ37" s="114"/>
      <c r="BA37" s="114"/>
      <c r="BB37" s="115"/>
      <c r="BC37" s="115"/>
      <c r="BD37" s="114"/>
      <c r="BE37" s="114"/>
      <c r="BF37" s="114"/>
      <c r="BG37" s="114"/>
      <c r="BH37" s="114"/>
      <c r="BI37" s="115"/>
      <c r="BJ37" s="115"/>
      <c r="BK37" s="114"/>
      <c r="BL37" s="64"/>
      <c r="BM37" s="64"/>
      <c r="BN37" s="64"/>
      <c r="BO37" s="64"/>
      <c r="BP37" s="64"/>
      <c r="BQ37" s="64"/>
      <c r="BR37" s="64"/>
      <c r="BS37" s="64"/>
      <c r="BT37" s="213"/>
      <c r="BU37" s="157"/>
      <c r="BV37" s="122"/>
      <c r="BW37" s="53"/>
      <c r="BX37" s="53"/>
      <c r="BY37" s="122"/>
      <c r="BZ37" s="122"/>
      <c r="CA37" s="122"/>
      <c r="CB37" s="122"/>
      <c r="CC37" s="122"/>
      <c r="CD37" s="53"/>
      <c r="CE37" s="53"/>
      <c r="CF37" s="122"/>
      <c r="CG37" s="122"/>
      <c r="CH37" s="122"/>
      <c r="CI37" s="122"/>
      <c r="CJ37" s="122"/>
      <c r="CK37" s="53"/>
      <c r="CL37" s="53"/>
      <c r="CM37" s="122"/>
      <c r="CN37" s="122"/>
      <c r="CO37" s="123"/>
      <c r="CP37" s="122"/>
      <c r="CQ37" s="122"/>
      <c r="CR37" s="53"/>
      <c r="CS37" s="53"/>
      <c r="CT37" s="122"/>
      <c r="CU37" s="122"/>
      <c r="CV37" s="122"/>
      <c r="CW37" s="122"/>
      <c r="CX37" s="210"/>
      <c r="CY37" s="157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100"/>
      <c r="EC37" s="158"/>
      <c r="ED37" s="157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208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158"/>
      <c r="FI37" s="157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122"/>
      <c r="FY37" s="53"/>
      <c r="FZ37" s="122"/>
      <c r="GA37" s="122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158"/>
      <c r="GM37" s="157"/>
      <c r="GN37" s="53"/>
      <c r="GO37" s="53"/>
      <c r="GP37" s="53"/>
      <c r="GQ37" s="53"/>
      <c r="GR37" s="53"/>
      <c r="GS37" s="53"/>
      <c r="GT37" s="53"/>
      <c r="GU37" s="208"/>
      <c r="GV37" s="53"/>
      <c r="GW37" s="53"/>
      <c r="GX37" s="208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122"/>
      <c r="HN37" s="53"/>
      <c r="HO37" s="53"/>
      <c r="HP37" s="53"/>
      <c r="HQ37" s="158"/>
      <c r="HR37" s="208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158"/>
      <c r="IV37" s="157"/>
      <c r="IW37" s="53"/>
      <c r="IX37" s="53"/>
      <c r="IY37" s="53"/>
      <c r="IZ37" s="53"/>
      <c r="JA37" s="208"/>
      <c r="JB37" s="53"/>
      <c r="JC37" s="208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122"/>
      <c r="JU37" s="53"/>
      <c r="JV37" s="53"/>
      <c r="JW37" s="53"/>
      <c r="JX37" s="53"/>
      <c r="JY37" s="100"/>
      <c r="JZ37" s="158"/>
      <c r="KA37" s="157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158"/>
      <c r="LF37" s="157"/>
      <c r="LG37" s="53"/>
      <c r="LH37" s="53"/>
      <c r="LI37" s="53"/>
      <c r="LJ37" s="53"/>
      <c r="LK37" s="53"/>
      <c r="LL37" s="53"/>
      <c r="LM37" s="53"/>
      <c r="LN37" s="53"/>
      <c r="LO37" s="53"/>
      <c r="LP37" s="53"/>
      <c r="LQ37" s="53"/>
      <c r="LR37" s="53"/>
      <c r="LS37" s="53"/>
      <c r="LT37" s="53"/>
      <c r="LU37" s="53"/>
      <c r="LV37" s="53"/>
      <c r="LW37" s="53"/>
      <c r="LX37" s="53"/>
      <c r="LY37" s="53"/>
      <c r="LZ37" s="53"/>
      <c r="MA37" s="53"/>
      <c r="MB37" s="53"/>
      <c r="MC37" s="53"/>
      <c r="MD37" s="53"/>
      <c r="ME37" s="53"/>
      <c r="MF37" s="53"/>
      <c r="MG37" s="53"/>
      <c r="MH37" s="158"/>
      <c r="MI37" s="157"/>
      <c r="MJ37" s="53"/>
      <c r="MK37" s="53"/>
      <c r="ML37" s="53"/>
      <c r="MM37" s="53"/>
      <c r="MN37" s="53"/>
      <c r="MO37" s="53"/>
      <c r="MP37" s="53"/>
      <c r="MQ37" s="53"/>
      <c r="MR37" s="53"/>
      <c r="MS37" s="53"/>
      <c r="MT37" s="53"/>
      <c r="MU37" s="53"/>
      <c r="MV37" s="53"/>
      <c r="MW37" s="53"/>
      <c r="MX37" s="53"/>
      <c r="MY37" s="53"/>
      <c r="MZ37" s="53"/>
      <c r="NA37" s="53"/>
      <c r="NB37" s="53"/>
      <c r="NC37" s="53"/>
      <c r="ND37" s="53"/>
      <c r="NE37" s="53"/>
      <c r="NF37" s="53"/>
      <c r="NG37" s="53"/>
      <c r="NH37" s="53"/>
      <c r="NI37" s="53"/>
      <c r="NJ37" s="53"/>
      <c r="NK37" s="53"/>
      <c r="NL37" s="53"/>
      <c r="NM37" s="158"/>
    </row>
    <row r="38" spans="1:377" customFormat="1" ht="15" customHeight="1">
      <c r="A38" s="1"/>
      <c r="B38" s="29" t="s">
        <v>95</v>
      </c>
      <c r="C38" s="29" t="s">
        <v>30</v>
      </c>
      <c r="D38" s="29" t="s">
        <v>96</v>
      </c>
      <c r="E38" s="37">
        <v>0</v>
      </c>
      <c r="F38" s="29">
        <v>23</v>
      </c>
      <c r="G38" s="29">
        <v>0</v>
      </c>
      <c r="H38" s="29">
        <f t="shared" si="0"/>
        <v>23</v>
      </c>
      <c r="I38" s="30">
        <f t="shared" si="1"/>
        <v>0</v>
      </c>
      <c r="J38" s="30">
        <f t="shared" si="2"/>
        <v>0</v>
      </c>
      <c r="K38" s="71">
        <f t="shared" si="3"/>
        <v>0</v>
      </c>
      <c r="L38" s="183"/>
      <c r="M38" s="7"/>
      <c r="N38" s="8"/>
      <c r="O38" s="8"/>
      <c r="P38" s="8"/>
      <c r="Q38" s="8"/>
      <c r="R38" s="69"/>
      <c r="S38" s="7"/>
      <c r="T38" s="7"/>
      <c r="U38" s="8"/>
      <c r="V38" s="8"/>
      <c r="W38" s="8"/>
      <c r="X38" s="8"/>
      <c r="Y38" s="8"/>
      <c r="Z38" s="7"/>
      <c r="AA38" s="7"/>
      <c r="AB38" s="8"/>
      <c r="AC38" s="8"/>
      <c r="AD38" s="8"/>
      <c r="AE38" s="8"/>
      <c r="AF38" s="8"/>
      <c r="AG38" s="7"/>
      <c r="AH38" s="7"/>
      <c r="AI38" s="8"/>
      <c r="AJ38" s="8"/>
      <c r="AK38" s="8"/>
      <c r="AL38" s="8"/>
      <c r="AM38" s="8"/>
      <c r="AN38" s="87"/>
      <c r="AO38" s="87"/>
      <c r="AP38" s="194"/>
      <c r="AQ38" s="195"/>
      <c r="AR38" s="195"/>
      <c r="AS38" s="195"/>
      <c r="AT38" s="195"/>
      <c r="AU38" s="196"/>
      <c r="AV38" s="196"/>
      <c r="AW38" s="195"/>
      <c r="AX38" s="195"/>
      <c r="AY38" s="195"/>
      <c r="AZ38" s="195"/>
      <c r="BA38" s="195"/>
      <c r="BB38" s="196"/>
      <c r="BC38" s="196"/>
      <c r="BD38" s="195"/>
      <c r="BE38" s="195"/>
      <c r="BF38" s="195"/>
      <c r="BG38" s="195"/>
      <c r="BH38" s="195"/>
      <c r="BI38" s="196"/>
      <c r="BJ38" s="196"/>
      <c r="BK38" s="195"/>
      <c r="BL38" s="195"/>
      <c r="BM38" s="195"/>
      <c r="BN38" s="195"/>
      <c r="BO38" s="195"/>
      <c r="BP38" s="196"/>
      <c r="BQ38" s="196"/>
      <c r="BR38" s="214"/>
      <c r="BS38" s="214"/>
      <c r="BT38" s="215"/>
      <c r="BU38" s="122"/>
      <c r="BV38" s="122"/>
      <c r="BW38" s="53"/>
      <c r="BX38" s="53"/>
      <c r="BY38" s="122"/>
      <c r="BZ38" s="122"/>
      <c r="CA38" s="122"/>
      <c r="CB38" s="122"/>
      <c r="CC38" s="122"/>
      <c r="CD38" s="53"/>
      <c r="CE38" s="53"/>
      <c r="CF38" s="122"/>
      <c r="CG38" s="122"/>
      <c r="CH38" s="122"/>
      <c r="CI38" s="122"/>
      <c r="CJ38" s="122"/>
      <c r="CK38" s="53"/>
      <c r="CL38" s="53"/>
      <c r="CM38" s="122"/>
      <c r="CN38" s="219"/>
      <c r="CO38" s="217"/>
      <c r="CP38" s="122"/>
      <c r="CQ38" s="208"/>
      <c r="CR38" s="53"/>
      <c r="CS38" s="53"/>
      <c r="CT38" s="208"/>
      <c r="CU38" s="122"/>
      <c r="CV38" s="122"/>
      <c r="CW38" s="122"/>
      <c r="CX38" s="210"/>
      <c r="CY38" s="157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100"/>
      <c r="EC38" s="158"/>
      <c r="ED38" s="157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208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158"/>
      <c r="FI38" s="157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208"/>
      <c r="GA38" s="208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158"/>
      <c r="GM38" s="157"/>
      <c r="GN38" s="53"/>
      <c r="GO38" s="53"/>
      <c r="GP38" s="53"/>
      <c r="GQ38" s="53"/>
      <c r="GR38" s="53"/>
      <c r="GS38" s="53"/>
      <c r="GT38" s="53"/>
      <c r="GU38" s="208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208"/>
      <c r="HN38" s="53"/>
      <c r="HO38" s="53"/>
      <c r="HP38" s="53"/>
      <c r="HQ38" s="158"/>
      <c r="HR38" s="208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158"/>
      <c r="IV38" s="157"/>
      <c r="IW38" s="53"/>
      <c r="IX38" s="53"/>
      <c r="IY38" s="53"/>
      <c r="IZ38" s="53"/>
      <c r="JA38" s="53"/>
      <c r="JB38" s="53"/>
      <c r="JC38" s="208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208"/>
      <c r="JU38" s="53"/>
      <c r="JV38" s="53"/>
      <c r="JW38" s="53"/>
      <c r="JX38" s="53"/>
      <c r="JY38" s="100"/>
      <c r="JZ38" s="158"/>
      <c r="KA38" s="157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158"/>
      <c r="LF38" s="157"/>
      <c r="LG38" s="53"/>
      <c r="LH38" s="53"/>
      <c r="LI38" s="53"/>
      <c r="LJ38" s="53"/>
      <c r="LK38" s="53"/>
      <c r="LL38" s="53"/>
      <c r="LM38" s="53"/>
      <c r="LN38" s="53"/>
      <c r="LO38" s="53"/>
      <c r="LP38" s="53"/>
      <c r="LQ38" s="53"/>
      <c r="LR38" s="53"/>
      <c r="LS38" s="53"/>
      <c r="LT38" s="53"/>
      <c r="LU38" s="53"/>
      <c r="LV38" s="53"/>
      <c r="LW38" s="53"/>
      <c r="LX38" s="53"/>
      <c r="LY38" s="53"/>
      <c r="LZ38" s="53"/>
      <c r="MA38" s="53"/>
      <c r="MB38" s="53"/>
      <c r="MC38" s="53"/>
      <c r="MD38" s="53"/>
      <c r="ME38" s="53"/>
      <c r="MF38" s="53"/>
      <c r="MG38" s="53"/>
      <c r="MH38" s="158"/>
      <c r="MI38" s="157"/>
      <c r="MJ38" s="53"/>
      <c r="MK38" s="53"/>
      <c r="ML38" s="53"/>
      <c r="MM38" s="53"/>
      <c r="MN38" s="53"/>
      <c r="MO38" s="53"/>
      <c r="MP38" s="53"/>
      <c r="MQ38" s="53"/>
      <c r="MR38" s="53"/>
      <c r="MS38" s="53"/>
      <c r="MT38" s="53"/>
      <c r="MU38" s="53"/>
      <c r="MV38" s="53"/>
      <c r="MW38" s="53"/>
      <c r="MX38" s="53"/>
      <c r="MY38" s="53"/>
      <c r="MZ38" s="53"/>
      <c r="NA38" s="53"/>
      <c r="NB38" s="53"/>
      <c r="NC38" s="53"/>
      <c r="ND38" s="53"/>
      <c r="NE38" s="53"/>
      <c r="NF38" s="53"/>
      <c r="NG38" s="53"/>
      <c r="NH38" s="53"/>
      <c r="NI38" s="53"/>
      <c r="NJ38" s="53"/>
      <c r="NK38" s="53"/>
      <c r="NL38" s="53"/>
      <c r="NM38" s="158"/>
    </row>
    <row r="39" spans="1:377" customFormat="1" ht="15" customHeight="1">
      <c r="A39" s="1"/>
      <c r="B39" s="29" t="s">
        <v>61</v>
      </c>
      <c r="C39" s="29" t="s">
        <v>30</v>
      </c>
      <c r="D39" s="29" t="s">
        <v>49</v>
      </c>
      <c r="E39" s="37">
        <v>0</v>
      </c>
      <c r="F39" s="29">
        <v>23</v>
      </c>
      <c r="G39" s="29">
        <v>0</v>
      </c>
      <c r="H39" s="29">
        <f t="shared" si="0"/>
        <v>8</v>
      </c>
      <c r="I39" s="30">
        <f t="shared" si="1"/>
        <v>0</v>
      </c>
      <c r="J39" s="30">
        <f t="shared" si="2"/>
        <v>0</v>
      </c>
      <c r="K39" s="71">
        <f t="shared" si="3"/>
        <v>0</v>
      </c>
      <c r="L39" s="183"/>
      <c r="M39" s="7"/>
      <c r="N39" s="8"/>
      <c r="O39" s="8"/>
      <c r="P39" s="8"/>
      <c r="Q39" s="8"/>
      <c r="R39" s="69"/>
      <c r="S39" s="7"/>
      <c r="T39" s="7"/>
      <c r="U39" s="8"/>
      <c r="V39" s="8"/>
      <c r="W39" s="8"/>
      <c r="X39" s="8"/>
      <c r="Y39" s="8"/>
      <c r="Z39" s="7"/>
      <c r="AA39" s="7"/>
      <c r="AB39" s="8"/>
      <c r="AC39" s="8"/>
      <c r="AD39" s="8"/>
      <c r="AE39" s="8"/>
      <c r="AF39" s="8"/>
      <c r="AG39" s="7"/>
      <c r="AH39" s="7"/>
      <c r="AI39" s="8"/>
      <c r="AJ39" s="8"/>
      <c r="AK39" s="8"/>
      <c r="AL39" s="8"/>
      <c r="AM39" s="8"/>
      <c r="AN39" s="87"/>
      <c r="AO39" s="87"/>
      <c r="AP39" s="198"/>
      <c r="AQ39" s="8"/>
      <c r="AR39" s="8"/>
      <c r="AS39" s="8"/>
      <c r="AT39" s="8"/>
      <c r="AU39" s="7"/>
      <c r="AV39" s="7"/>
      <c r="AW39" s="8"/>
      <c r="AX39" s="8"/>
      <c r="AY39" s="8"/>
      <c r="AZ39" s="8"/>
      <c r="BA39" s="8"/>
      <c r="BB39" s="7"/>
      <c r="BC39" s="7"/>
      <c r="BD39" s="8"/>
      <c r="BE39" s="8"/>
      <c r="BF39" s="8"/>
      <c r="BG39" s="8"/>
      <c r="BH39" s="8"/>
      <c r="BI39" s="7"/>
      <c r="BJ39" s="7"/>
      <c r="BK39" s="8"/>
      <c r="BL39" s="8"/>
      <c r="BM39" s="8"/>
      <c r="BN39" s="8"/>
      <c r="BO39" s="8"/>
      <c r="BP39" s="7"/>
      <c r="BQ39" s="7"/>
      <c r="BR39" s="8"/>
      <c r="BS39" s="8"/>
      <c r="BT39" s="84"/>
      <c r="BU39" s="28"/>
      <c r="BV39" s="28"/>
      <c r="BW39" s="7"/>
      <c r="BX39" s="7"/>
      <c r="BY39" s="28"/>
      <c r="BZ39" s="28"/>
      <c r="CA39" s="28"/>
      <c r="CB39" s="28"/>
      <c r="CC39" s="28"/>
      <c r="CD39" s="7"/>
      <c r="CE39" s="7"/>
      <c r="CF39" s="28"/>
      <c r="CG39" s="28"/>
      <c r="CH39" s="28"/>
      <c r="CI39" s="28"/>
      <c r="CJ39" s="28"/>
      <c r="CK39" s="7"/>
      <c r="CL39" s="7"/>
      <c r="CM39" s="28"/>
      <c r="CN39" s="218"/>
      <c r="CO39" s="216"/>
      <c r="CP39" s="28"/>
      <c r="CQ39" s="69"/>
      <c r="CR39" s="7"/>
      <c r="CS39" s="7"/>
      <c r="CT39" s="69"/>
      <c r="CU39" s="28"/>
      <c r="CV39" s="28"/>
      <c r="CW39" s="28"/>
      <c r="CX39" s="186"/>
      <c r="CY39" s="183"/>
      <c r="CZ39" s="7"/>
      <c r="DA39" s="8"/>
      <c r="DB39" s="8"/>
      <c r="DC39" s="8"/>
      <c r="DD39" s="8"/>
      <c r="DE39" s="8"/>
      <c r="DF39" s="7"/>
      <c r="DG39" s="7"/>
      <c r="DH39" s="8"/>
      <c r="DI39" s="8"/>
      <c r="DJ39" s="8"/>
      <c r="DK39" s="8"/>
      <c r="DL39" s="8"/>
      <c r="DM39" s="7"/>
      <c r="DN39" s="7"/>
      <c r="DO39" s="66" t="s">
        <v>1</v>
      </c>
      <c r="DP39" s="66" t="s">
        <v>1</v>
      </c>
      <c r="DQ39" s="66" t="s">
        <v>1</v>
      </c>
      <c r="DR39" s="66" t="s">
        <v>1</v>
      </c>
      <c r="DS39" s="66" t="s">
        <v>1</v>
      </c>
      <c r="DT39" s="7"/>
      <c r="DU39" s="7"/>
      <c r="DV39" s="8"/>
      <c r="DW39" s="8"/>
      <c r="DX39" s="8"/>
      <c r="DY39" s="8"/>
      <c r="DZ39" s="8"/>
      <c r="EA39" s="7"/>
      <c r="EB39" s="87"/>
      <c r="EC39" s="148"/>
      <c r="ED39" s="147"/>
      <c r="EE39" s="8"/>
      <c r="EF39" s="8"/>
      <c r="EG39" s="8"/>
      <c r="EH39" s="7"/>
      <c r="EI39" s="7"/>
      <c r="EJ39" s="8"/>
      <c r="EK39" s="8"/>
      <c r="EL39" s="8"/>
      <c r="EM39" s="8"/>
      <c r="EN39" s="8"/>
      <c r="EO39" s="7"/>
      <c r="EP39" s="7"/>
      <c r="EQ39" s="8"/>
      <c r="ER39" s="69"/>
      <c r="ES39" s="8"/>
      <c r="ET39" s="8"/>
      <c r="EU39" s="8"/>
      <c r="EV39" s="7"/>
      <c r="EW39" s="7"/>
      <c r="EX39" s="8"/>
      <c r="EY39" s="8"/>
      <c r="EZ39" s="8"/>
      <c r="FA39" s="8"/>
      <c r="FB39" s="8"/>
      <c r="FC39" s="7"/>
      <c r="FD39" s="7"/>
      <c r="FE39" s="8"/>
      <c r="FF39" s="8"/>
      <c r="FG39" s="8"/>
      <c r="FH39" s="148"/>
      <c r="FI39" s="147"/>
      <c r="FJ39" s="7"/>
      <c r="FK39" s="7"/>
      <c r="FL39" s="8"/>
      <c r="FM39" s="8"/>
      <c r="FN39" s="8"/>
      <c r="FO39" s="8"/>
      <c r="FP39" s="8"/>
      <c r="FQ39" s="7"/>
      <c r="FR39" s="7"/>
      <c r="FS39" s="8"/>
      <c r="FT39" s="8"/>
      <c r="FU39" s="8"/>
      <c r="FV39" s="8"/>
      <c r="FW39" s="8"/>
      <c r="FX39" s="7"/>
      <c r="FY39" s="7"/>
      <c r="FZ39" s="69"/>
      <c r="GA39" s="69"/>
      <c r="GB39" s="8"/>
      <c r="GC39" s="8"/>
      <c r="GD39" s="8"/>
      <c r="GE39" s="7"/>
      <c r="GF39" s="7"/>
      <c r="GG39" s="8"/>
      <c r="GH39" s="8"/>
      <c r="GI39" s="8"/>
      <c r="GJ39" s="8"/>
      <c r="GK39" s="8"/>
      <c r="GL39" s="184"/>
      <c r="GM39" s="183"/>
      <c r="GN39" s="8"/>
      <c r="GO39" s="8"/>
      <c r="GP39" s="8"/>
      <c r="GQ39" s="8"/>
      <c r="GR39" s="8"/>
      <c r="GS39" s="7"/>
      <c r="GT39" s="7"/>
      <c r="GU39" s="69"/>
      <c r="GV39" s="8"/>
      <c r="GW39" s="8"/>
      <c r="GX39" s="8"/>
      <c r="GY39" s="8"/>
      <c r="GZ39" s="7"/>
      <c r="HA39" s="7"/>
      <c r="HB39" s="8"/>
      <c r="HC39" s="8"/>
      <c r="HD39" s="8"/>
      <c r="HE39" s="8"/>
      <c r="HF39" s="8"/>
      <c r="HG39" s="7"/>
      <c r="HH39" s="7"/>
      <c r="HI39" s="8"/>
      <c r="HJ39" s="8"/>
      <c r="HK39" s="8"/>
      <c r="HL39" s="8"/>
      <c r="HM39" s="69"/>
      <c r="HN39" s="7"/>
      <c r="HO39" s="7"/>
      <c r="HP39" s="8"/>
      <c r="HQ39" s="148"/>
      <c r="HR39" s="69"/>
      <c r="HS39" s="8"/>
      <c r="HT39" s="8"/>
      <c r="HU39" s="7"/>
      <c r="HV39" s="7"/>
      <c r="HW39" s="8"/>
      <c r="HX39" s="8"/>
      <c r="HY39" s="8"/>
      <c r="HZ39" s="8"/>
      <c r="IA39" s="8"/>
      <c r="IB39" s="7"/>
      <c r="IC39" s="7"/>
      <c r="ID39" s="8"/>
      <c r="IE39" s="8"/>
      <c r="IF39" s="8"/>
      <c r="IG39" s="8"/>
      <c r="IH39" s="8"/>
      <c r="II39" s="7"/>
      <c r="IJ39" s="7"/>
      <c r="IK39" s="8"/>
      <c r="IL39" s="8"/>
      <c r="IM39" s="8"/>
      <c r="IN39" s="8"/>
      <c r="IO39" s="8"/>
      <c r="IP39" s="7"/>
      <c r="IQ39" s="7"/>
      <c r="IR39" s="8"/>
      <c r="IS39" s="8"/>
      <c r="IT39" s="8"/>
      <c r="IU39" s="148"/>
      <c r="IV39" s="147"/>
      <c r="IW39" s="7"/>
      <c r="IX39" s="7"/>
      <c r="IY39" s="8"/>
      <c r="IZ39" s="8"/>
      <c r="JA39" s="8"/>
      <c r="JB39" s="8"/>
      <c r="JC39" s="69"/>
      <c r="JD39" s="7"/>
      <c r="JE39" s="7"/>
      <c r="JF39" s="8"/>
      <c r="JG39" s="8"/>
      <c r="JH39" s="8"/>
      <c r="JI39" s="8"/>
      <c r="JJ39" s="8"/>
      <c r="JK39" s="7"/>
      <c r="JL39" s="7"/>
      <c r="JM39" s="8"/>
      <c r="JN39" s="8"/>
      <c r="JO39" s="8"/>
      <c r="JP39" s="8"/>
      <c r="JQ39" s="8"/>
      <c r="JR39" s="7"/>
      <c r="JS39" s="7"/>
      <c r="JT39" s="69"/>
      <c r="JU39" s="8"/>
      <c r="JV39" s="8"/>
      <c r="JW39" s="8"/>
      <c r="JX39" s="8"/>
      <c r="JY39" s="87"/>
      <c r="JZ39" s="184"/>
      <c r="KA39" s="69"/>
      <c r="KB39" s="8"/>
      <c r="KC39" s="8"/>
      <c r="KD39" s="8"/>
      <c r="KE39" s="8"/>
      <c r="KF39" s="7"/>
      <c r="KG39" s="7"/>
      <c r="KH39" s="8"/>
      <c r="KI39" s="8"/>
      <c r="KJ39" s="8"/>
      <c r="KK39" s="8"/>
      <c r="KL39" s="8"/>
      <c r="KM39" s="7"/>
      <c r="KN39" s="7"/>
      <c r="KO39" s="66" t="s">
        <v>1</v>
      </c>
      <c r="KP39" s="66" t="s">
        <v>1</v>
      </c>
      <c r="KQ39" s="66" t="s">
        <v>1</v>
      </c>
      <c r="KR39" s="66" t="s">
        <v>1</v>
      </c>
      <c r="KS39" s="66" t="s">
        <v>1</v>
      </c>
      <c r="KT39" s="7"/>
      <c r="KU39" s="7"/>
      <c r="KV39" s="66" t="s">
        <v>1</v>
      </c>
      <c r="KW39" s="66" t="s">
        <v>1</v>
      </c>
      <c r="KX39" s="66" t="s">
        <v>1</v>
      </c>
      <c r="KY39" s="66" t="s">
        <v>1</v>
      </c>
      <c r="KZ39" s="66" t="s">
        <v>1</v>
      </c>
      <c r="LA39" s="7"/>
      <c r="LB39" s="7"/>
      <c r="LC39" s="8"/>
      <c r="LD39" s="8"/>
      <c r="LE39" s="148"/>
      <c r="LF39" s="147"/>
      <c r="LG39" s="8"/>
      <c r="LH39" s="7"/>
      <c r="LI39" s="7"/>
      <c r="LJ39" s="8"/>
      <c r="LK39" s="8"/>
      <c r="LL39" s="8"/>
      <c r="LM39" s="8"/>
      <c r="LN39" s="8"/>
      <c r="LO39" s="7"/>
      <c r="LP39" s="7"/>
      <c r="LQ39" s="8"/>
      <c r="LR39" s="8"/>
      <c r="LS39" s="8"/>
      <c r="LT39" s="8"/>
      <c r="LU39" s="8"/>
      <c r="LV39" s="7"/>
      <c r="LW39" s="7"/>
      <c r="LX39" s="8"/>
      <c r="LY39" s="8"/>
      <c r="LZ39" s="8"/>
      <c r="MA39" s="8"/>
      <c r="MB39" s="8"/>
      <c r="MC39" s="7"/>
      <c r="MD39" s="7"/>
      <c r="ME39" s="8"/>
      <c r="MF39" s="8"/>
      <c r="MG39" s="8"/>
      <c r="MH39" s="148"/>
      <c r="MI39" s="147"/>
      <c r="MJ39" s="7"/>
      <c r="MK39" s="7"/>
      <c r="ML39" s="8"/>
      <c r="MM39" s="8"/>
      <c r="MN39" s="8"/>
      <c r="MO39" s="8"/>
      <c r="MP39" s="8"/>
      <c r="MQ39" s="7"/>
      <c r="MR39" s="7"/>
      <c r="MS39" s="8"/>
      <c r="MT39" s="8"/>
      <c r="MU39" s="8"/>
      <c r="MV39" s="8"/>
      <c r="MW39" s="8"/>
      <c r="MX39" s="7"/>
      <c r="MY39" s="7"/>
      <c r="MZ39" s="8"/>
      <c r="NA39" s="8"/>
      <c r="NB39" s="8"/>
      <c r="NC39" s="8"/>
      <c r="ND39" s="8"/>
      <c r="NE39" s="7"/>
      <c r="NF39" s="7"/>
      <c r="NG39" s="8"/>
      <c r="NH39" s="8"/>
      <c r="NI39" s="8"/>
      <c r="NJ39" s="8"/>
      <c r="NK39" s="69"/>
      <c r="NL39" s="7"/>
      <c r="NM39" s="184"/>
    </row>
    <row r="40" spans="1:377" customFormat="1" ht="15" customHeight="1">
      <c r="A40" s="1"/>
      <c r="B40" s="29" t="s">
        <v>83</v>
      </c>
      <c r="C40" s="29" t="s">
        <v>30</v>
      </c>
      <c r="D40" s="29" t="s">
        <v>58</v>
      </c>
      <c r="E40" s="37">
        <v>0</v>
      </c>
      <c r="F40" s="29">
        <v>23</v>
      </c>
      <c r="G40" s="29">
        <v>0</v>
      </c>
      <c r="H40" s="29">
        <f t="shared" si="0"/>
        <v>19</v>
      </c>
      <c r="I40" s="30">
        <f t="shared" si="1"/>
        <v>0</v>
      </c>
      <c r="J40" s="30">
        <f t="shared" si="2"/>
        <v>0</v>
      </c>
      <c r="K40" s="71">
        <f t="shared" si="3"/>
        <v>0</v>
      </c>
      <c r="L40" s="253"/>
      <c r="M40" s="115"/>
      <c r="N40" s="114"/>
      <c r="O40" s="114"/>
      <c r="P40" s="114"/>
      <c r="Q40" s="114"/>
      <c r="R40" s="202"/>
      <c r="S40" s="115"/>
      <c r="T40" s="115"/>
      <c r="U40" s="114"/>
      <c r="V40" s="114"/>
      <c r="W40" s="114"/>
      <c r="X40" s="114"/>
      <c r="Y40" s="114"/>
      <c r="Z40" s="115"/>
      <c r="AA40" s="115"/>
      <c r="AB40" s="114"/>
      <c r="AC40" s="114"/>
      <c r="AD40" s="114"/>
      <c r="AE40" s="114"/>
      <c r="AF40" s="114"/>
      <c r="AG40" s="115"/>
      <c r="AH40" s="115"/>
      <c r="AI40" s="114"/>
      <c r="AJ40" s="114"/>
      <c r="AK40" s="114"/>
      <c r="AL40" s="114"/>
      <c r="AM40" s="114"/>
      <c r="AN40" s="254"/>
      <c r="AO40" s="254"/>
      <c r="AP40" s="255"/>
      <c r="AQ40" s="114"/>
      <c r="AR40" s="114"/>
      <c r="AS40" s="114"/>
      <c r="AT40" s="114"/>
      <c r="AU40" s="115"/>
      <c r="AV40" s="115"/>
      <c r="AW40" s="114"/>
      <c r="AX40" s="114"/>
      <c r="AY40" s="114"/>
      <c r="AZ40" s="114"/>
      <c r="BA40" s="114"/>
      <c r="BB40" s="115"/>
      <c r="BC40" s="115"/>
      <c r="BD40" s="114"/>
      <c r="BE40" s="114"/>
      <c r="BF40" s="114"/>
      <c r="BG40" s="114"/>
      <c r="BH40" s="114"/>
      <c r="BI40" s="115"/>
      <c r="BJ40" s="115"/>
      <c r="BK40" s="114"/>
      <c r="BL40" s="114"/>
      <c r="BM40" s="114"/>
      <c r="BN40" s="114"/>
      <c r="BO40" s="114"/>
      <c r="BP40" s="115"/>
      <c r="BQ40" s="115"/>
      <c r="BR40" s="114"/>
      <c r="BS40" s="114"/>
      <c r="BT40" s="256"/>
      <c r="BU40" s="123"/>
      <c r="BV40" s="123"/>
      <c r="BW40" s="64"/>
      <c r="BX40" s="64"/>
      <c r="BY40" s="123"/>
      <c r="BZ40" s="123"/>
      <c r="CA40" s="123"/>
      <c r="CB40" s="123"/>
      <c r="CC40" s="123"/>
      <c r="CD40" s="64"/>
      <c r="CE40" s="64"/>
      <c r="CF40" s="123"/>
      <c r="CG40" s="123"/>
      <c r="CH40" s="123"/>
      <c r="CI40" s="123"/>
      <c r="CJ40" s="123"/>
      <c r="CK40" s="64"/>
      <c r="CL40" s="64"/>
      <c r="CM40" s="123"/>
      <c r="CN40" s="257"/>
      <c r="CO40" s="258"/>
      <c r="CP40" s="123"/>
      <c r="CQ40" s="259"/>
      <c r="CR40" s="64"/>
      <c r="CS40" s="64"/>
      <c r="CT40" s="259"/>
      <c r="CU40" s="220" t="s">
        <v>1</v>
      </c>
      <c r="CV40" s="220" t="s">
        <v>1</v>
      </c>
      <c r="CW40" s="220" t="s">
        <v>1</v>
      </c>
      <c r="CX40" s="220" t="s">
        <v>1</v>
      </c>
      <c r="CY40" s="260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125"/>
      <c r="EC40" s="213"/>
      <c r="ED40" s="260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259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213"/>
      <c r="FI40" s="260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259"/>
      <c r="GA40" s="259"/>
      <c r="GB40" s="64"/>
      <c r="GC40" s="64"/>
      <c r="GD40" s="64"/>
      <c r="GE40" s="64"/>
      <c r="GF40" s="64"/>
      <c r="GG40" s="64"/>
      <c r="GH40" s="64"/>
      <c r="GI40" s="64"/>
      <c r="GJ40" s="64"/>
      <c r="GK40" s="64"/>
      <c r="GL40" s="213"/>
      <c r="GM40" s="260"/>
      <c r="GN40" s="64"/>
      <c r="GO40" s="64"/>
      <c r="GP40" s="64"/>
      <c r="GQ40" s="64"/>
      <c r="GR40" s="64"/>
      <c r="GS40" s="64"/>
      <c r="GT40" s="64"/>
      <c r="GU40" s="259"/>
      <c r="GV40" s="64"/>
      <c r="GW40" s="64"/>
      <c r="GX40" s="64"/>
      <c r="GY40" s="64"/>
      <c r="GZ40" s="64"/>
      <c r="HA40" s="64"/>
      <c r="HB40" s="64"/>
      <c r="HC40" s="64"/>
      <c r="HD40" s="64"/>
      <c r="HE40" s="64"/>
      <c r="HF40" s="64"/>
      <c r="HG40" s="64"/>
      <c r="HH40" s="64"/>
      <c r="HI40" s="64"/>
      <c r="HJ40" s="64"/>
      <c r="HK40" s="64"/>
      <c r="HL40" s="64"/>
      <c r="HM40" s="259"/>
      <c r="HN40" s="64"/>
      <c r="HO40" s="64"/>
      <c r="HP40" s="64"/>
      <c r="HQ40" s="213"/>
      <c r="HR40" s="259"/>
      <c r="HS40" s="64"/>
      <c r="HT40" s="64"/>
      <c r="HU40" s="64"/>
      <c r="HV40" s="64"/>
      <c r="HW40" s="64"/>
      <c r="HX40" s="64"/>
      <c r="HY40" s="64"/>
      <c r="HZ40" s="64"/>
      <c r="IA40" s="64"/>
      <c r="IB40" s="64"/>
      <c r="IC40" s="64"/>
      <c r="ID40" s="64"/>
      <c r="IE40" s="64"/>
      <c r="IF40" s="64"/>
      <c r="IG40" s="64"/>
      <c r="IH40" s="64"/>
      <c r="II40" s="64"/>
      <c r="IJ40" s="64"/>
      <c r="IK40" s="64"/>
      <c r="IL40" s="64"/>
      <c r="IM40" s="64"/>
      <c r="IN40" s="64"/>
      <c r="IO40" s="64"/>
      <c r="IP40" s="64"/>
      <c r="IQ40" s="64"/>
      <c r="IR40" s="64"/>
      <c r="IS40" s="64"/>
      <c r="IT40" s="64"/>
      <c r="IU40" s="213"/>
      <c r="IV40" s="260"/>
      <c r="IW40" s="64"/>
      <c r="IX40" s="64"/>
      <c r="IY40" s="64"/>
      <c r="IZ40" s="64"/>
      <c r="JA40" s="64"/>
      <c r="JB40" s="64"/>
      <c r="JC40" s="259"/>
      <c r="JD40" s="64"/>
      <c r="JE40" s="64"/>
      <c r="JF40" s="64"/>
      <c r="JG40" s="64"/>
      <c r="JH40" s="64"/>
      <c r="JI40" s="64"/>
      <c r="JJ40" s="64"/>
      <c r="JK40" s="64"/>
      <c r="JL40" s="64"/>
      <c r="JM40" s="64"/>
      <c r="JN40" s="64"/>
      <c r="JO40" s="64"/>
      <c r="JP40" s="64"/>
      <c r="JQ40" s="64"/>
      <c r="JR40" s="64"/>
      <c r="JS40" s="64"/>
      <c r="JT40" s="259"/>
      <c r="JU40" s="64"/>
      <c r="JV40" s="64"/>
      <c r="JW40" s="64"/>
      <c r="JX40" s="64"/>
      <c r="JY40" s="125"/>
      <c r="JZ40" s="213"/>
      <c r="KA40" s="260"/>
      <c r="KB40" s="64"/>
      <c r="KC40" s="64"/>
      <c r="KD40" s="64"/>
      <c r="KE40" s="64"/>
      <c r="KF40" s="64"/>
      <c r="KG40" s="64"/>
      <c r="KH40" s="64"/>
      <c r="KI40" s="64"/>
      <c r="KJ40" s="64"/>
      <c r="KK40" s="64"/>
      <c r="KL40" s="64"/>
      <c r="KM40" s="64"/>
      <c r="KN40" s="64"/>
      <c r="KO40" s="64"/>
      <c r="KP40" s="64"/>
      <c r="KQ40" s="64"/>
      <c r="KR40" s="64"/>
      <c r="KS40" s="64"/>
      <c r="KT40" s="64"/>
      <c r="KU40" s="64"/>
      <c r="KV40" s="64"/>
      <c r="KW40" s="64"/>
      <c r="KX40" s="64"/>
      <c r="KY40" s="64"/>
      <c r="KZ40" s="64"/>
      <c r="LA40" s="64"/>
      <c r="LB40" s="64"/>
      <c r="LC40" s="64"/>
      <c r="LD40" s="64"/>
      <c r="LE40" s="213"/>
      <c r="LF40" s="260"/>
      <c r="LG40" s="64"/>
      <c r="LH40" s="64"/>
      <c r="LI40" s="64"/>
      <c r="LJ40" s="64"/>
      <c r="LK40" s="64"/>
      <c r="LL40" s="64"/>
      <c r="LM40" s="64"/>
      <c r="LN40" s="64"/>
      <c r="LO40" s="64"/>
      <c r="LP40" s="64"/>
      <c r="LQ40" s="64"/>
      <c r="LR40" s="64"/>
      <c r="LS40" s="64"/>
      <c r="LT40" s="64"/>
      <c r="LU40" s="64"/>
      <c r="LV40" s="64"/>
      <c r="LW40" s="64"/>
      <c r="LX40" s="64"/>
      <c r="LY40" s="64"/>
      <c r="LZ40" s="64"/>
      <c r="MA40" s="64"/>
      <c r="MB40" s="64"/>
      <c r="MC40" s="64"/>
      <c r="MD40" s="64"/>
      <c r="ME40" s="64"/>
      <c r="MF40" s="64"/>
      <c r="MG40" s="64"/>
      <c r="MH40" s="213"/>
      <c r="MI40" s="260"/>
      <c r="MJ40" s="64"/>
      <c r="MK40" s="64"/>
      <c r="ML40" s="64"/>
      <c r="MM40" s="64"/>
      <c r="MN40" s="64"/>
      <c r="MO40" s="64"/>
      <c r="MP40" s="64"/>
      <c r="MQ40" s="64"/>
      <c r="MR40" s="64"/>
      <c r="MS40" s="64"/>
      <c r="MT40" s="64"/>
      <c r="MU40" s="64"/>
      <c r="MV40" s="64"/>
      <c r="MW40" s="64"/>
      <c r="MX40" s="64"/>
      <c r="MY40" s="64"/>
      <c r="MZ40" s="64"/>
      <c r="NA40" s="64"/>
      <c r="NB40" s="64"/>
      <c r="NC40" s="64"/>
      <c r="ND40" s="64"/>
      <c r="NE40" s="64"/>
      <c r="NF40" s="64"/>
      <c r="NG40" s="64"/>
      <c r="NH40" s="64"/>
      <c r="NI40" s="64"/>
      <c r="NJ40" s="64"/>
      <c r="NK40" s="64"/>
      <c r="NL40" s="64"/>
      <c r="NM40" s="158"/>
    </row>
    <row r="41" spans="1:377" customFormat="1" ht="15" customHeight="1" thickBot="1">
      <c r="A41" s="1"/>
      <c r="B41" s="29" t="s">
        <v>59</v>
      </c>
      <c r="C41" s="29" t="s">
        <v>30</v>
      </c>
      <c r="D41" s="29" t="s">
        <v>60</v>
      </c>
      <c r="E41" s="37">
        <v>0</v>
      </c>
      <c r="F41" s="29">
        <v>23</v>
      </c>
      <c r="G41" s="29">
        <v>0</v>
      </c>
      <c r="H41" s="29">
        <f t="shared" si="0"/>
        <v>5</v>
      </c>
      <c r="I41" s="30">
        <f t="shared" si="1"/>
        <v>-3</v>
      </c>
      <c r="J41" s="30">
        <f t="shared" si="2"/>
        <v>0</v>
      </c>
      <c r="K41" s="71">
        <f t="shared" si="3"/>
        <v>0</v>
      </c>
      <c r="L41" s="250"/>
      <c r="M41" s="250"/>
      <c r="N41" s="251"/>
      <c r="O41" s="251"/>
      <c r="P41" s="251"/>
      <c r="Q41" s="251"/>
      <c r="R41" s="69"/>
      <c r="S41" s="250"/>
      <c r="T41" s="250"/>
      <c r="U41" s="251"/>
      <c r="V41" s="251"/>
      <c r="W41" s="251"/>
      <c r="X41" s="251"/>
      <c r="Y41" s="251"/>
      <c r="Z41" s="250"/>
      <c r="AA41" s="250"/>
      <c r="AB41" s="251"/>
      <c r="AC41" s="251"/>
      <c r="AD41" s="251"/>
      <c r="AE41" s="251"/>
      <c r="AF41" s="251"/>
      <c r="AG41" s="250"/>
      <c r="AH41" s="250"/>
      <c r="AI41" s="251"/>
      <c r="AJ41" s="251"/>
      <c r="AK41" s="251"/>
      <c r="AL41" s="251"/>
      <c r="AM41" s="251"/>
      <c r="AN41" s="250"/>
      <c r="AO41" s="250"/>
      <c r="AP41" s="69"/>
      <c r="AQ41" s="251"/>
      <c r="AR41" s="251"/>
      <c r="AS41" s="251"/>
      <c r="AT41" s="251"/>
      <c r="AU41" s="250"/>
      <c r="AV41" s="250"/>
      <c r="AW41" s="251"/>
      <c r="AX41" s="251"/>
      <c r="AY41" s="251"/>
      <c r="AZ41" s="251"/>
      <c r="BA41" s="66" t="s">
        <v>1</v>
      </c>
      <c r="BB41" s="250"/>
      <c r="BC41" s="250"/>
      <c r="BD41" s="66" t="s">
        <v>1</v>
      </c>
      <c r="BE41" s="251"/>
      <c r="BF41" s="251"/>
      <c r="BG41" s="251"/>
      <c r="BH41" s="251"/>
      <c r="BI41" s="250"/>
      <c r="BJ41" s="250"/>
      <c r="BK41" s="251"/>
      <c r="BL41" s="251"/>
      <c r="BM41" s="251"/>
      <c r="BN41" s="251"/>
      <c r="BO41" s="251"/>
      <c r="BP41" s="250"/>
      <c r="BQ41" s="250"/>
      <c r="BR41" s="251"/>
      <c r="BS41" s="251"/>
      <c r="BT41" s="251"/>
      <c r="BU41" s="251"/>
      <c r="BV41" s="251"/>
      <c r="BW41" s="250"/>
      <c r="BX41" s="250"/>
      <c r="BY41" s="251"/>
      <c r="BZ41" s="251"/>
      <c r="CA41" s="251"/>
      <c r="CB41" s="251"/>
      <c r="CC41" s="251"/>
      <c r="CD41" s="250"/>
      <c r="CE41" s="250"/>
      <c r="CF41" s="251"/>
      <c r="CG41" s="251"/>
      <c r="CH41" s="251"/>
      <c r="CI41" s="251"/>
      <c r="CJ41" s="251"/>
      <c r="CK41" s="250"/>
      <c r="CL41" s="250"/>
      <c r="CM41" s="251"/>
      <c r="CN41" s="251"/>
      <c r="CO41" s="216"/>
      <c r="CP41" s="251"/>
      <c r="CQ41" s="69"/>
      <c r="CR41" s="250"/>
      <c r="CS41" s="250"/>
      <c r="CT41" s="69"/>
      <c r="CU41" s="251"/>
      <c r="CV41" s="251"/>
      <c r="CW41" s="251"/>
      <c r="CX41" s="251"/>
      <c r="CY41" s="250"/>
      <c r="CZ41" s="250"/>
      <c r="DA41" s="251"/>
      <c r="DB41" s="251"/>
      <c r="DC41" s="251"/>
      <c r="DD41" s="251"/>
      <c r="DE41" s="251"/>
      <c r="DF41" s="250"/>
      <c r="DG41" s="250"/>
      <c r="DH41" s="251"/>
      <c r="DI41" s="251"/>
      <c r="DJ41" s="251"/>
      <c r="DK41" s="251"/>
      <c r="DL41" s="251"/>
      <c r="DM41" s="250"/>
      <c r="DN41" s="250"/>
      <c r="DO41" s="251"/>
      <c r="DP41" s="251"/>
      <c r="DQ41" s="251"/>
      <c r="DR41" s="251"/>
      <c r="DS41" s="251"/>
      <c r="DT41" s="250"/>
      <c r="DU41" s="250"/>
      <c r="DV41" s="251"/>
      <c r="DW41" s="251"/>
      <c r="DX41" s="251"/>
      <c r="DY41" s="251"/>
      <c r="DZ41" s="251"/>
      <c r="EA41" s="250"/>
      <c r="EB41" s="250"/>
      <c r="EC41" s="251"/>
      <c r="ED41" s="251"/>
      <c r="EE41" s="251"/>
      <c r="EF41" s="251"/>
      <c r="EG41" s="251"/>
      <c r="EH41" s="250"/>
      <c r="EI41" s="250"/>
      <c r="EJ41" s="251"/>
      <c r="EK41" s="251"/>
      <c r="EL41" s="251"/>
      <c r="EM41" s="251"/>
      <c r="EN41" s="251"/>
      <c r="EO41" s="250"/>
      <c r="EP41" s="250"/>
      <c r="EQ41" s="251"/>
      <c r="ER41" s="69"/>
      <c r="ES41" s="251"/>
      <c r="ET41" s="251"/>
      <c r="EU41" s="251"/>
      <c r="EV41" s="250"/>
      <c r="EW41" s="250"/>
      <c r="EX41" s="251"/>
      <c r="EY41" s="251"/>
      <c r="EZ41" s="251"/>
      <c r="FA41" s="251"/>
      <c r="FB41" s="251"/>
      <c r="FC41" s="250"/>
      <c r="FD41" s="250"/>
      <c r="FE41" s="251"/>
      <c r="FF41" s="251"/>
      <c r="FG41" s="251"/>
      <c r="FH41" s="251"/>
      <c r="FI41" s="251"/>
      <c r="FJ41" s="250"/>
      <c r="FK41" s="250"/>
      <c r="FL41" s="251"/>
      <c r="FM41" s="251"/>
      <c r="FN41" s="251"/>
      <c r="FO41" s="251"/>
      <c r="FP41" s="251"/>
      <c r="FQ41" s="250"/>
      <c r="FR41" s="250"/>
      <c r="FS41" s="251"/>
      <c r="FT41" s="251"/>
      <c r="FU41" s="251"/>
      <c r="FV41" s="251"/>
      <c r="FW41" s="251"/>
      <c r="FX41" s="250"/>
      <c r="FY41" s="250"/>
      <c r="FZ41" s="69"/>
      <c r="GA41" s="69"/>
      <c r="GB41" s="66" t="s">
        <v>3</v>
      </c>
      <c r="GC41" s="251"/>
      <c r="GD41" s="251"/>
      <c r="GE41" s="250"/>
      <c r="GF41" s="250"/>
      <c r="GG41" s="251"/>
      <c r="GH41" s="251"/>
      <c r="GI41" s="251"/>
      <c r="GJ41" s="251"/>
      <c r="GK41" s="251"/>
      <c r="GL41" s="250"/>
      <c r="GM41" s="250"/>
      <c r="GN41" s="251"/>
      <c r="GO41" s="251"/>
      <c r="GP41" s="251"/>
      <c r="GQ41" s="251"/>
      <c r="GR41" s="251"/>
      <c r="GS41" s="250"/>
      <c r="GT41" s="250"/>
      <c r="GU41" s="69"/>
      <c r="GV41" s="251"/>
      <c r="GW41" s="251"/>
      <c r="GX41" s="251"/>
      <c r="GY41" s="251"/>
      <c r="GZ41" s="250"/>
      <c r="HA41" s="250"/>
      <c r="HB41" s="66" t="s">
        <v>1</v>
      </c>
      <c r="HC41" s="66" t="s">
        <v>1</v>
      </c>
      <c r="HD41" s="66" t="s">
        <v>1</v>
      </c>
      <c r="HE41" s="66" t="s">
        <v>1</v>
      </c>
      <c r="HF41" s="66" t="s">
        <v>1</v>
      </c>
      <c r="HG41" s="250"/>
      <c r="HH41" s="250"/>
      <c r="HI41" s="66" t="s">
        <v>1</v>
      </c>
      <c r="HJ41" s="66" t="s">
        <v>1</v>
      </c>
      <c r="HK41" s="66" t="s">
        <v>1</v>
      </c>
      <c r="HL41" s="251"/>
      <c r="HM41" s="69"/>
      <c r="HN41" s="250"/>
      <c r="HO41" s="250"/>
      <c r="HP41" s="251"/>
      <c r="HQ41" s="251"/>
      <c r="HR41" s="69"/>
      <c r="HS41" s="251"/>
      <c r="HT41" s="251"/>
      <c r="HU41" s="250"/>
      <c r="HV41" s="250"/>
      <c r="HW41" s="251"/>
      <c r="HX41" s="251"/>
      <c r="HY41" s="251"/>
      <c r="HZ41" s="251"/>
      <c r="IA41" s="251"/>
      <c r="IB41" s="250"/>
      <c r="IC41" s="250"/>
      <c r="ID41" s="251"/>
      <c r="IE41" s="251"/>
      <c r="IF41" s="251"/>
      <c r="IG41" s="251"/>
      <c r="IH41" s="251"/>
      <c r="II41" s="250"/>
      <c r="IJ41" s="250"/>
      <c r="IK41" s="251"/>
      <c r="IL41" s="251"/>
      <c r="IM41" s="251"/>
      <c r="IN41" s="251"/>
      <c r="IO41" s="251"/>
      <c r="IP41" s="250"/>
      <c r="IQ41" s="250"/>
      <c r="IR41" s="251"/>
      <c r="IS41" s="251"/>
      <c r="IT41" s="251"/>
      <c r="IU41" s="251"/>
      <c r="IV41" s="251"/>
      <c r="IW41" s="250"/>
      <c r="IX41" s="250"/>
      <c r="IY41" s="251"/>
      <c r="IZ41" s="251"/>
      <c r="JA41" s="251"/>
      <c r="JB41" s="251"/>
      <c r="JC41" s="69"/>
      <c r="JD41" s="250"/>
      <c r="JE41" s="250"/>
      <c r="JF41" s="251"/>
      <c r="JG41" s="251"/>
      <c r="JH41" s="251"/>
      <c r="JI41" s="251"/>
      <c r="JJ41" s="251"/>
      <c r="JK41" s="250"/>
      <c r="JL41" s="250"/>
      <c r="JM41" s="251"/>
      <c r="JN41" s="251"/>
      <c r="JO41" s="251"/>
      <c r="JP41" s="251"/>
      <c r="JQ41" s="251"/>
      <c r="JR41" s="250"/>
      <c r="JS41" s="250"/>
      <c r="JT41" s="69"/>
      <c r="JU41" s="251"/>
      <c r="JV41" s="251"/>
      <c r="JW41" s="251"/>
      <c r="JX41" s="251"/>
      <c r="JY41" s="250"/>
      <c r="JZ41" s="250"/>
      <c r="KA41" s="69"/>
      <c r="KB41" s="251"/>
      <c r="KC41" s="251"/>
      <c r="KD41" s="251"/>
      <c r="KE41" s="251"/>
      <c r="KF41" s="250"/>
      <c r="KG41" s="250"/>
      <c r="KH41" s="251"/>
      <c r="KI41" s="251"/>
      <c r="KJ41" s="251"/>
      <c r="KK41" s="251"/>
      <c r="KL41" s="251"/>
      <c r="KM41" s="250"/>
      <c r="KN41" s="250"/>
      <c r="KO41" s="251"/>
      <c r="KP41" s="251"/>
      <c r="KQ41" s="251"/>
      <c r="KR41" s="251"/>
      <c r="KS41" s="251"/>
      <c r="KT41" s="250"/>
      <c r="KU41" s="250"/>
      <c r="KV41" s="251"/>
      <c r="KW41" s="251"/>
      <c r="KX41" s="251"/>
      <c r="KY41" s="251"/>
      <c r="KZ41" s="251"/>
      <c r="LA41" s="250"/>
      <c r="LB41" s="250"/>
      <c r="LC41" s="66" t="s">
        <v>1</v>
      </c>
      <c r="LD41" s="66" t="s">
        <v>1</v>
      </c>
      <c r="LE41" s="66" t="s">
        <v>1</v>
      </c>
      <c r="LF41" s="66" t="s">
        <v>1</v>
      </c>
      <c r="LG41" s="66" t="s">
        <v>1</v>
      </c>
      <c r="LH41" s="250"/>
      <c r="LI41" s="250"/>
      <c r="LJ41" s="66" t="s">
        <v>1</v>
      </c>
      <c r="LK41" s="66" t="s">
        <v>1</v>
      </c>
      <c r="LL41" s="66" t="s">
        <v>1</v>
      </c>
      <c r="LM41" s="66" t="s">
        <v>3</v>
      </c>
      <c r="LN41" s="66" t="s">
        <v>3</v>
      </c>
      <c r="LO41" s="250"/>
      <c r="LP41" s="250"/>
      <c r="LQ41" s="251"/>
      <c r="LR41" s="251"/>
      <c r="LS41" s="251"/>
      <c r="LT41" s="251"/>
      <c r="LU41" s="251"/>
      <c r="LV41" s="250"/>
      <c r="LW41" s="250"/>
      <c r="LX41" s="251"/>
      <c r="LY41" s="251"/>
      <c r="LZ41" s="251"/>
      <c r="MA41" s="251"/>
      <c r="MB41" s="251"/>
      <c r="MC41" s="250"/>
      <c r="MD41" s="250"/>
      <c r="ME41" s="251"/>
      <c r="MF41" s="251"/>
      <c r="MG41" s="251"/>
      <c r="MH41" s="251"/>
      <c r="MI41" s="251"/>
      <c r="MJ41" s="250"/>
      <c r="MK41" s="250"/>
      <c r="ML41" s="251"/>
      <c r="MM41" s="251"/>
      <c r="MN41" s="251"/>
      <c r="MO41" s="251"/>
      <c r="MP41" s="251"/>
      <c r="MQ41" s="250"/>
      <c r="MR41" s="250"/>
      <c r="MS41" s="251"/>
      <c r="MT41" s="251"/>
      <c r="MU41" s="251"/>
      <c r="MV41" s="251"/>
      <c r="MW41" s="251"/>
      <c r="MX41" s="250"/>
      <c r="MY41" s="250"/>
      <c r="MZ41" s="251"/>
      <c r="NA41" s="251"/>
      <c r="NB41" s="251"/>
      <c r="NC41" s="251"/>
      <c r="ND41" s="251"/>
      <c r="NE41" s="250"/>
      <c r="NF41" s="250"/>
      <c r="NG41" s="251"/>
      <c r="NH41" s="251"/>
      <c r="NI41" s="251"/>
      <c r="NJ41" s="251"/>
      <c r="NK41" s="69"/>
      <c r="NL41" s="250"/>
      <c r="NM41" s="252"/>
    </row>
    <row r="42" spans="1:377" customFormat="1" ht="15" customHeight="1" thickBot="1">
      <c r="A42" s="1"/>
      <c r="B42" s="29" t="s">
        <v>105</v>
      </c>
      <c r="C42" s="29" t="s">
        <v>30</v>
      </c>
      <c r="D42" s="29" t="s">
        <v>106</v>
      </c>
      <c r="E42" s="37">
        <v>0</v>
      </c>
      <c r="F42" s="29">
        <v>23</v>
      </c>
      <c r="G42" s="29">
        <v>0</v>
      </c>
      <c r="H42" s="29">
        <f t="shared" ref="H42" si="24">E42+F42-COUNTIF(L42:NM42,$C$2)</f>
        <v>8</v>
      </c>
      <c r="I42" s="30">
        <f t="shared" ref="I42" si="25">G42-COUNTIF(L42:NM42,$C$3)</f>
        <v>0</v>
      </c>
      <c r="J42" s="30">
        <f t="shared" ref="J42" si="26">COUNTIF(K42:NH42,$C$4)</f>
        <v>0</v>
      </c>
      <c r="K42" s="71">
        <f t="shared" ref="K42" si="27">COUNTIF(L42:NM42,$C$5)</f>
        <v>0</v>
      </c>
      <c r="L42" s="250"/>
      <c r="M42" s="250"/>
      <c r="N42" s="251"/>
      <c r="O42" s="251"/>
      <c r="P42" s="251"/>
      <c r="Q42" s="251"/>
      <c r="R42" s="69"/>
      <c r="S42" s="250"/>
      <c r="T42" s="250"/>
      <c r="U42" s="251"/>
      <c r="V42" s="251"/>
      <c r="W42" s="251"/>
      <c r="X42" s="251"/>
      <c r="Y42" s="251"/>
      <c r="Z42" s="250"/>
      <c r="AA42" s="250"/>
      <c r="AB42" s="251"/>
      <c r="AC42" s="251"/>
      <c r="AD42" s="251"/>
      <c r="AE42" s="251"/>
      <c r="AF42" s="251"/>
      <c r="AG42" s="250"/>
      <c r="AH42" s="250"/>
      <c r="AI42" s="251"/>
      <c r="AJ42" s="251"/>
      <c r="AK42" s="251"/>
      <c r="AL42" s="251"/>
      <c r="AM42" s="251"/>
      <c r="AN42" s="250"/>
      <c r="AO42" s="250"/>
      <c r="AP42" s="69"/>
      <c r="AQ42" s="251"/>
      <c r="AR42" s="251"/>
      <c r="AS42" s="251"/>
      <c r="AT42" s="251"/>
      <c r="AU42" s="250"/>
      <c r="AV42" s="250"/>
      <c r="AW42" s="251"/>
      <c r="AX42" s="251"/>
      <c r="AY42" s="251"/>
      <c r="AZ42" s="251"/>
      <c r="BA42" s="251"/>
      <c r="BB42" s="250"/>
      <c r="BC42" s="250"/>
      <c r="BD42" s="251"/>
      <c r="BE42" s="251"/>
      <c r="BF42" s="251"/>
      <c r="BG42" s="251"/>
      <c r="BH42" s="251"/>
      <c r="BI42" s="250"/>
      <c r="BJ42" s="250"/>
      <c r="BK42" s="251"/>
      <c r="BL42" s="251"/>
      <c r="BM42" s="251"/>
      <c r="BN42" s="251"/>
      <c r="BO42" s="251"/>
      <c r="BP42" s="250"/>
      <c r="BQ42" s="250"/>
      <c r="BR42" s="251"/>
      <c r="BS42" s="251"/>
      <c r="BT42" s="251"/>
      <c r="BU42" s="251"/>
      <c r="BV42" s="251"/>
      <c r="BW42" s="250"/>
      <c r="BX42" s="250"/>
      <c r="BY42" s="251"/>
      <c r="BZ42" s="251"/>
      <c r="CA42" s="251"/>
      <c r="CB42" s="251"/>
      <c r="CC42" s="251"/>
      <c r="CD42" s="250"/>
      <c r="CE42" s="250"/>
      <c r="CF42" s="251"/>
      <c r="CG42" s="251"/>
      <c r="CH42" s="251"/>
      <c r="CI42" s="251"/>
      <c r="CJ42" s="251"/>
      <c r="CK42" s="250"/>
      <c r="CL42" s="250"/>
      <c r="CM42" s="251"/>
      <c r="CN42" s="251"/>
      <c r="CO42" s="216"/>
      <c r="CP42" s="251"/>
      <c r="CQ42" s="69"/>
      <c r="CR42" s="250"/>
      <c r="CS42" s="250"/>
      <c r="CT42" s="69"/>
      <c r="CU42" s="251"/>
      <c r="CV42" s="251"/>
      <c r="CW42" s="251"/>
      <c r="CX42" s="251"/>
      <c r="CY42" s="250"/>
      <c r="CZ42" s="250"/>
      <c r="DA42" s="251"/>
      <c r="DB42" s="251"/>
      <c r="DC42" s="251"/>
      <c r="DD42" s="251"/>
      <c r="DE42" s="251"/>
      <c r="DF42" s="250"/>
      <c r="DG42" s="250"/>
      <c r="DH42" s="251"/>
      <c r="DI42" s="251"/>
      <c r="DJ42" s="251"/>
      <c r="DK42" s="251"/>
      <c r="DL42" s="251"/>
      <c r="DM42" s="250"/>
      <c r="DN42" s="250"/>
      <c r="DO42" s="251"/>
      <c r="DP42" s="251"/>
      <c r="DQ42" s="251"/>
      <c r="DR42" s="251"/>
      <c r="DS42" s="251"/>
      <c r="DT42" s="250"/>
      <c r="DU42" s="250"/>
      <c r="DV42" s="251"/>
      <c r="DW42" s="251"/>
      <c r="DX42" s="251"/>
      <c r="DY42" s="251"/>
      <c r="DZ42" s="251"/>
      <c r="EA42" s="250"/>
      <c r="EB42" s="250"/>
      <c r="EC42" s="251"/>
      <c r="ED42" s="251"/>
      <c r="EE42" s="251"/>
      <c r="EF42" s="251"/>
      <c r="EG42" s="251"/>
      <c r="EH42" s="250"/>
      <c r="EI42" s="250"/>
      <c r="EJ42" s="251"/>
      <c r="EK42" s="251"/>
      <c r="EL42" s="251"/>
      <c r="EM42" s="251"/>
      <c r="EN42" s="251"/>
      <c r="EO42" s="250"/>
      <c r="EP42" s="250"/>
      <c r="EQ42" s="251"/>
      <c r="ER42" s="69"/>
      <c r="ES42" s="251"/>
      <c r="ET42" s="251"/>
      <c r="EU42" s="251"/>
      <c r="EV42" s="250"/>
      <c r="EW42" s="250"/>
      <c r="EX42" s="251"/>
      <c r="EY42" s="251"/>
      <c r="EZ42" s="251"/>
      <c r="FA42" s="251"/>
      <c r="FB42" s="251"/>
      <c r="FC42" s="250"/>
      <c r="FD42" s="250"/>
      <c r="FE42" s="251"/>
      <c r="FF42" s="251"/>
      <c r="FG42" s="251"/>
      <c r="FH42" s="251"/>
      <c r="FI42" s="251"/>
      <c r="FJ42" s="250"/>
      <c r="FK42" s="250"/>
      <c r="FL42" s="251"/>
      <c r="FM42" s="251"/>
      <c r="FN42" s="251"/>
      <c r="FO42" s="251"/>
      <c r="FP42" s="251"/>
      <c r="FQ42" s="250"/>
      <c r="FR42" s="250"/>
      <c r="FS42" s="251"/>
      <c r="FT42" s="251"/>
      <c r="FU42" s="251"/>
      <c r="FV42" s="251"/>
      <c r="FW42" s="251"/>
      <c r="FX42" s="250"/>
      <c r="FY42" s="250"/>
      <c r="FZ42" s="69"/>
      <c r="GA42" s="69"/>
      <c r="GB42" s="251"/>
      <c r="GC42" s="251"/>
      <c r="GD42" s="251"/>
      <c r="GE42" s="250"/>
      <c r="GF42" s="250"/>
      <c r="GG42" s="251"/>
      <c r="GH42" s="251"/>
      <c r="GI42" s="251"/>
      <c r="GJ42" s="251"/>
      <c r="GK42" s="251"/>
      <c r="GL42" s="250"/>
      <c r="GM42" s="250"/>
      <c r="GN42" s="251"/>
      <c r="GO42" s="251"/>
      <c r="GP42" s="251"/>
      <c r="GQ42" s="251"/>
      <c r="GR42" s="251"/>
      <c r="GS42" s="250"/>
      <c r="GT42" s="250"/>
      <c r="GU42" s="69"/>
      <c r="GV42" s="251"/>
      <c r="GW42" s="251"/>
      <c r="GX42" s="251"/>
      <c r="GY42" s="251"/>
      <c r="GZ42" s="250"/>
      <c r="HA42" s="250"/>
      <c r="HB42" s="251"/>
      <c r="HC42" s="251"/>
      <c r="HD42" s="251"/>
      <c r="HE42" s="251"/>
      <c r="HF42" s="251"/>
      <c r="HG42" s="250"/>
      <c r="HH42" s="250"/>
      <c r="HI42" s="251"/>
      <c r="HJ42" s="251"/>
      <c r="HK42" s="251"/>
      <c r="HL42" s="251"/>
      <c r="HM42" s="69"/>
      <c r="HN42" s="250"/>
      <c r="HO42" s="250"/>
      <c r="HP42" s="251"/>
      <c r="HQ42" s="251"/>
      <c r="HR42" s="69"/>
      <c r="HS42" s="251"/>
      <c r="HT42" s="251"/>
      <c r="HU42" s="250"/>
      <c r="HV42" s="250"/>
      <c r="HW42" s="251"/>
      <c r="HX42" s="251"/>
      <c r="HY42" s="251"/>
      <c r="HZ42" s="251"/>
      <c r="IA42" s="251"/>
      <c r="IB42" s="250"/>
      <c r="IC42" s="250"/>
      <c r="ID42" s="251"/>
      <c r="IE42" s="251"/>
      <c r="IF42" s="251"/>
      <c r="IG42" s="251"/>
      <c r="IH42" s="251"/>
      <c r="II42" s="250"/>
      <c r="IJ42" s="250"/>
      <c r="IK42" s="251"/>
      <c r="IL42" s="251"/>
      <c r="IM42" s="251"/>
      <c r="IN42" s="251"/>
      <c r="IO42" s="251"/>
      <c r="IP42" s="250"/>
      <c r="IQ42" s="250"/>
      <c r="IR42" s="251"/>
      <c r="IS42" s="251"/>
      <c r="IT42" s="251"/>
      <c r="IU42" s="251"/>
      <c r="IV42" s="251"/>
      <c r="IW42" s="250"/>
      <c r="IX42" s="250"/>
      <c r="IY42" s="251"/>
      <c r="IZ42" s="251"/>
      <c r="JA42" s="251"/>
      <c r="JB42" s="251"/>
      <c r="JC42" s="69"/>
      <c r="JD42" s="250"/>
      <c r="JE42" s="250"/>
      <c r="JF42" s="251"/>
      <c r="JG42" s="251"/>
      <c r="JH42" s="251"/>
      <c r="JI42" s="251"/>
      <c r="JJ42" s="251"/>
      <c r="JK42" s="250"/>
      <c r="JL42" s="250"/>
      <c r="JM42" s="251"/>
      <c r="JN42" s="251"/>
      <c r="JO42" s="251"/>
      <c r="JP42" s="251"/>
      <c r="JQ42" s="251"/>
      <c r="JR42" s="250"/>
      <c r="JS42" s="250"/>
      <c r="JT42" s="69"/>
      <c r="JU42" s="251"/>
      <c r="JV42" s="251"/>
      <c r="JW42" s="251"/>
      <c r="JX42" s="251"/>
      <c r="JY42" s="250"/>
      <c r="JZ42" s="250"/>
      <c r="KA42" s="69"/>
      <c r="KB42" s="251"/>
      <c r="KC42" s="251"/>
      <c r="KD42" s="251"/>
      <c r="KE42" s="251"/>
      <c r="KF42" s="250"/>
      <c r="KG42" s="250"/>
      <c r="KH42" s="251"/>
      <c r="KI42" s="251"/>
      <c r="KJ42" s="251"/>
      <c r="KK42" s="251"/>
      <c r="KL42" s="251"/>
      <c r="KM42" s="250"/>
      <c r="KN42" s="250"/>
      <c r="KO42" s="251"/>
      <c r="KP42" s="251"/>
      <c r="KQ42" s="251"/>
      <c r="KR42" s="251"/>
      <c r="KS42" s="251"/>
      <c r="KT42" s="250"/>
      <c r="KU42" s="250"/>
      <c r="KV42" s="251"/>
      <c r="KW42" s="251"/>
      <c r="KX42" s="251"/>
      <c r="KY42" s="251"/>
      <c r="KZ42" s="251"/>
      <c r="LA42" s="250"/>
      <c r="LB42" s="250"/>
      <c r="LC42" s="251"/>
      <c r="LD42" s="251"/>
      <c r="LE42" s="251"/>
      <c r="LF42" s="251"/>
      <c r="LG42" s="251"/>
      <c r="LH42" s="250"/>
      <c r="LI42" s="250"/>
      <c r="LJ42" s="66" t="s">
        <v>1</v>
      </c>
      <c r="LK42" s="66" t="s">
        <v>1</v>
      </c>
      <c r="LL42" s="66" t="s">
        <v>1</v>
      </c>
      <c r="LM42" s="66" t="s">
        <v>1</v>
      </c>
      <c r="LN42" s="66" t="s">
        <v>1</v>
      </c>
      <c r="LO42" s="250"/>
      <c r="LP42" s="250"/>
      <c r="LQ42" s="66" t="s">
        <v>1</v>
      </c>
      <c r="LR42" s="66" t="s">
        <v>1</v>
      </c>
      <c r="LS42" s="66" t="s">
        <v>1</v>
      </c>
      <c r="LT42" s="66" t="s">
        <v>1</v>
      </c>
      <c r="LU42" s="66" t="s">
        <v>1</v>
      </c>
      <c r="LV42" s="250"/>
      <c r="LW42" s="250"/>
      <c r="LX42" s="66" t="s">
        <v>1</v>
      </c>
      <c r="LY42" s="66" t="s">
        <v>1</v>
      </c>
      <c r="LZ42" s="66" t="s">
        <v>1</v>
      </c>
      <c r="MA42" s="66" t="s">
        <v>1</v>
      </c>
      <c r="MB42" s="66" t="s">
        <v>1</v>
      </c>
      <c r="MC42" s="250"/>
      <c r="MD42" s="250"/>
      <c r="ME42" s="251"/>
      <c r="MF42" s="251"/>
      <c r="MG42" s="251"/>
      <c r="MH42" s="251"/>
      <c r="MI42" s="251"/>
      <c r="MJ42" s="250"/>
      <c r="MK42" s="250"/>
      <c r="ML42" s="251"/>
      <c r="MM42" s="251"/>
      <c r="MN42" s="251"/>
      <c r="MO42" s="251"/>
      <c r="MP42" s="251"/>
      <c r="MQ42" s="250"/>
      <c r="MR42" s="250"/>
      <c r="MS42" s="251"/>
      <c r="MT42" s="251"/>
      <c r="MU42" s="251"/>
      <c r="MV42" s="251"/>
      <c r="MW42" s="251"/>
      <c r="MX42" s="250"/>
      <c r="MY42" s="250"/>
      <c r="MZ42" s="251"/>
      <c r="NA42" s="251"/>
      <c r="NB42" s="251"/>
      <c r="NC42" s="251"/>
      <c r="ND42" s="251"/>
      <c r="NE42" s="250"/>
      <c r="NF42" s="250"/>
      <c r="NG42" s="251"/>
      <c r="NH42" s="251"/>
      <c r="NI42" s="251"/>
      <c r="NJ42" s="251"/>
      <c r="NK42" s="69"/>
      <c r="NL42" s="250"/>
      <c r="NM42" s="252"/>
    </row>
    <row r="43" spans="1:377" customFormat="1" ht="15" customHeight="1">
      <c r="A43" s="1"/>
      <c r="B43" s="29" t="s">
        <v>107</v>
      </c>
      <c r="C43" s="29" t="s">
        <v>30</v>
      </c>
      <c r="D43" s="29" t="s">
        <v>106</v>
      </c>
      <c r="E43" s="37">
        <v>0</v>
      </c>
      <c r="F43" s="29">
        <v>23</v>
      </c>
      <c r="G43" s="29">
        <v>0</v>
      </c>
      <c r="H43" s="29">
        <f t="shared" ref="H43" si="28">E43+F43-COUNTIF(L43:NM43,$C$2)</f>
        <v>8</v>
      </c>
      <c r="I43" s="30">
        <f t="shared" ref="I43" si="29">G43-COUNTIF(L43:NM43,$C$3)</f>
        <v>0</v>
      </c>
      <c r="J43" s="30">
        <f t="shared" ref="J43" si="30">COUNTIF(K43:NH43,$C$4)</f>
        <v>0</v>
      </c>
      <c r="K43" s="71">
        <f t="shared" ref="K43" si="31">COUNTIF(L43:NM43,$C$5)</f>
        <v>0</v>
      </c>
      <c r="L43" s="250"/>
      <c r="M43" s="250"/>
      <c r="N43" s="251"/>
      <c r="O43" s="251"/>
      <c r="P43" s="251"/>
      <c r="Q43" s="251"/>
      <c r="R43" s="69"/>
      <c r="S43" s="250"/>
      <c r="T43" s="250"/>
      <c r="U43" s="251"/>
      <c r="V43" s="251"/>
      <c r="W43" s="251"/>
      <c r="X43" s="251"/>
      <c r="Y43" s="251"/>
      <c r="Z43" s="250"/>
      <c r="AA43" s="250"/>
      <c r="AB43" s="251"/>
      <c r="AC43" s="251"/>
      <c r="AD43" s="251"/>
      <c r="AE43" s="251"/>
      <c r="AF43" s="251"/>
      <c r="AG43" s="250"/>
      <c r="AH43" s="250"/>
      <c r="AI43" s="251"/>
      <c r="AJ43" s="251"/>
      <c r="AK43" s="251"/>
      <c r="AL43" s="251"/>
      <c r="AM43" s="251"/>
      <c r="AN43" s="250"/>
      <c r="AO43" s="250"/>
      <c r="AP43" s="69"/>
      <c r="AQ43" s="251"/>
      <c r="AR43" s="251"/>
      <c r="AS43" s="251"/>
      <c r="AT43" s="251"/>
      <c r="AU43" s="250"/>
      <c r="AV43" s="250"/>
      <c r="AW43" s="251"/>
      <c r="AX43" s="251"/>
      <c r="AY43" s="251"/>
      <c r="AZ43" s="251"/>
      <c r="BA43" s="251"/>
      <c r="BB43" s="250"/>
      <c r="BC43" s="250"/>
      <c r="BD43" s="251"/>
      <c r="BE43" s="251"/>
      <c r="BF43" s="251"/>
      <c r="BG43" s="251"/>
      <c r="BH43" s="251"/>
      <c r="BI43" s="250"/>
      <c r="BJ43" s="250"/>
      <c r="BK43" s="251"/>
      <c r="BL43" s="251"/>
      <c r="BM43" s="251"/>
      <c r="BN43" s="251"/>
      <c r="BO43" s="251"/>
      <c r="BP43" s="250"/>
      <c r="BQ43" s="250"/>
      <c r="BR43" s="251"/>
      <c r="BS43" s="251"/>
      <c r="BT43" s="251"/>
      <c r="BU43" s="251"/>
      <c r="BV43" s="251"/>
      <c r="BW43" s="250"/>
      <c r="BX43" s="250"/>
      <c r="BY43" s="251"/>
      <c r="BZ43" s="251"/>
      <c r="CA43" s="251"/>
      <c r="CB43" s="251"/>
      <c r="CC43" s="251"/>
      <c r="CD43" s="250"/>
      <c r="CE43" s="250"/>
      <c r="CF43" s="251"/>
      <c r="CG43" s="251"/>
      <c r="CH43" s="251"/>
      <c r="CI43" s="251"/>
      <c r="CJ43" s="251"/>
      <c r="CK43" s="250"/>
      <c r="CL43" s="250"/>
      <c r="CM43" s="251"/>
      <c r="CN43" s="251"/>
      <c r="CO43" s="216"/>
      <c r="CP43" s="251"/>
      <c r="CQ43" s="69"/>
      <c r="CR43" s="250"/>
      <c r="CS43" s="250"/>
      <c r="CT43" s="69"/>
      <c r="CU43" s="251"/>
      <c r="CV43" s="251"/>
      <c r="CW43" s="251"/>
      <c r="CX43" s="251"/>
      <c r="CY43" s="250"/>
      <c r="CZ43" s="250"/>
      <c r="DA43" s="251"/>
      <c r="DB43" s="251"/>
      <c r="DC43" s="251"/>
      <c r="DD43" s="251"/>
      <c r="DE43" s="251"/>
      <c r="DF43" s="250"/>
      <c r="DG43" s="250"/>
      <c r="DH43" s="220" t="s">
        <v>1</v>
      </c>
      <c r="DI43" s="220" t="s">
        <v>1</v>
      </c>
      <c r="DJ43" s="220" t="s">
        <v>1</v>
      </c>
      <c r="DK43" s="220" t="s">
        <v>1</v>
      </c>
      <c r="DL43" s="220" t="s">
        <v>1</v>
      </c>
      <c r="DM43" s="250"/>
      <c r="DN43" s="250"/>
      <c r="DO43" s="251"/>
      <c r="DP43" s="251"/>
      <c r="DQ43" s="251"/>
      <c r="DR43" s="251"/>
      <c r="DS43" s="251"/>
      <c r="DT43" s="250"/>
      <c r="DU43" s="250"/>
      <c r="DV43" s="251"/>
      <c r="DW43" s="251"/>
      <c r="DX43" s="251"/>
      <c r="DY43" s="251"/>
      <c r="DZ43" s="251"/>
      <c r="EA43" s="250"/>
      <c r="EB43" s="250"/>
      <c r="EC43" s="251"/>
      <c r="ED43" s="251"/>
      <c r="EE43" s="251"/>
      <c r="EF43" s="251"/>
      <c r="EG43" s="251"/>
      <c r="EH43" s="250"/>
      <c r="EI43" s="250"/>
      <c r="EJ43" s="251"/>
      <c r="EK43" s="251"/>
      <c r="EL43" s="251"/>
      <c r="EM43" s="251"/>
      <c r="EN43" s="251"/>
      <c r="EO43" s="250"/>
      <c r="EP43" s="250"/>
      <c r="EQ43" s="251"/>
      <c r="ER43" s="69"/>
      <c r="ES43" s="251"/>
      <c r="ET43" s="251"/>
      <c r="EU43" s="251"/>
      <c r="EV43" s="250"/>
      <c r="EW43" s="250"/>
      <c r="EX43" s="251"/>
      <c r="EY43" s="251"/>
      <c r="EZ43" s="251"/>
      <c r="FA43" s="251"/>
      <c r="FB43" s="251"/>
      <c r="FC43" s="250"/>
      <c r="FD43" s="250"/>
      <c r="FE43" s="251"/>
      <c r="FF43" s="251"/>
      <c r="FG43" s="251"/>
      <c r="FH43" s="251"/>
      <c r="FI43" s="251"/>
      <c r="FJ43" s="250"/>
      <c r="FK43" s="250"/>
      <c r="FL43" s="251"/>
      <c r="FM43" s="251"/>
      <c r="FN43" s="251"/>
      <c r="FO43" s="251"/>
      <c r="FP43" s="251"/>
      <c r="FQ43" s="250"/>
      <c r="FR43" s="250"/>
      <c r="FS43" s="251"/>
      <c r="FT43" s="251"/>
      <c r="FU43" s="251"/>
      <c r="FV43" s="251"/>
      <c r="FW43" s="251"/>
      <c r="FX43" s="250"/>
      <c r="FY43" s="250"/>
      <c r="FZ43" s="69"/>
      <c r="GA43" s="69"/>
      <c r="GB43" s="251"/>
      <c r="GC43" s="251"/>
      <c r="GD43" s="251"/>
      <c r="GE43" s="250"/>
      <c r="GF43" s="250"/>
      <c r="GG43" s="251"/>
      <c r="GH43" s="251"/>
      <c r="GI43" s="251"/>
      <c r="GJ43" s="251"/>
      <c r="GK43" s="251"/>
      <c r="GL43" s="250"/>
      <c r="GM43" s="250"/>
      <c r="GN43" s="251"/>
      <c r="GO43" s="251"/>
      <c r="GP43" s="251"/>
      <c r="GQ43" s="251"/>
      <c r="GR43" s="251"/>
      <c r="GS43" s="250"/>
      <c r="GT43" s="250"/>
      <c r="GU43" s="69"/>
      <c r="GV43" s="251"/>
      <c r="GW43" s="251"/>
      <c r="GX43" s="251"/>
      <c r="GY43" s="251"/>
      <c r="GZ43" s="250"/>
      <c r="HA43" s="250"/>
      <c r="HB43" s="251"/>
      <c r="HC43" s="251"/>
      <c r="HD43" s="251"/>
      <c r="HE43" s="251"/>
      <c r="HF43" s="251"/>
      <c r="HG43" s="250"/>
      <c r="HH43" s="250"/>
      <c r="HI43" s="251"/>
      <c r="HJ43" s="251"/>
      <c r="HK43" s="251"/>
      <c r="HL43" s="251"/>
      <c r="HM43" s="69"/>
      <c r="HN43" s="250"/>
      <c r="HO43" s="250"/>
      <c r="HP43" s="251"/>
      <c r="HQ43" s="251"/>
      <c r="HR43" s="69"/>
      <c r="HS43" s="251"/>
      <c r="HT43" s="251"/>
      <c r="HU43" s="250"/>
      <c r="HV43" s="250"/>
      <c r="HW43" s="251"/>
      <c r="HX43" s="251"/>
      <c r="HY43" s="251"/>
      <c r="HZ43" s="251"/>
      <c r="IA43" s="251"/>
      <c r="IB43" s="250"/>
      <c r="IC43" s="250"/>
      <c r="ID43" s="251"/>
      <c r="IE43" s="251"/>
      <c r="IF43" s="251"/>
      <c r="IG43" s="251"/>
      <c r="IH43" s="251"/>
      <c r="II43" s="250"/>
      <c r="IJ43" s="250"/>
      <c r="IK43" s="251"/>
      <c r="IL43" s="251"/>
      <c r="IM43" s="251"/>
      <c r="IN43" s="251"/>
      <c r="IO43" s="251"/>
      <c r="IP43" s="250"/>
      <c r="IQ43" s="250"/>
      <c r="IR43" s="251"/>
      <c r="IS43" s="251"/>
      <c r="IT43" s="251"/>
      <c r="IU43" s="251"/>
      <c r="IV43" s="251"/>
      <c r="IW43" s="250"/>
      <c r="IX43" s="250"/>
      <c r="IY43" s="251"/>
      <c r="IZ43" s="251"/>
      <c r="JA43" s="251"/>
      <c r="JB43" s="251"/>
      <c r="JC43" s="69"/>
      <c r="JD43" s="250"/>
      <c r="JE43" s="250"/>
      <c r="JF43" s="251"/>
      <c r="JG43" s="251"/>
      <c r="JH43" s="251"/>
      <c r="JI43" s="251"/>
      <c r="JJ43" s="251"/>
      <c r="JK43" s="250"/>
      <c r="JL43" s="250"/>
      <c r="JM43" s="66" t="s">
        <v>1</v>
      </c>
      <c r="JN43" s="66" t="s">
        <v>1</v>
      </c>
      <c r="JO43" s="66" t="s">
        <v>1</v>
      </c>
      <c r="JP43" s="66" t="s">
        <v>1</v>
      </c>
      <c r="JQ43" s="66" t="s">
        <v>1</v>
      </c>
      <c r="JR43" s="250"/>
      <c r="JS43" s="250"/>
      <c r="JT43" s="69"/>
      <c r="JU43" s="251"/>
      <c r="JV43" s="251"/>
      <c r="JW43" s="251"/>
      <c r="JX43" s="251"/>
      <c r="JY43" s="250"/>
      <c r="JZ43" s="250"/>
      <c r="KA43" s="69"/>
      <c r="KB43" s="251"/>
      <c r="KC43" s="251"/>
      <c r="KD43" s="251"/>
      <c r="KE43" s="251"/>
      <c r="KF43" s="250"/>
      <c r="KG43" s="250"/>
      <c r="KH43" s="251"/>
      <c r="KI43" s="251"/>
      <c r="KJ43" s="251"/>
      <c r="KK43" s="251"/>
      <c r="KL43" s="251"/>
      <c r="KM43" s="250"/>
      <c r="KN43" s="250"/>
      <c r="KO43" s="251"/>
      <c r="KP43" s="251"/>
      <c r="KQ43" s="251"/>
      <c r="KR43" s="251"/>
      <c r="KS43" s="251"/>
      <c r="KT43" s="250"/>
      <c r="KU43" s="250"/>
      <c r="KV43" s="251"/>
      <c r="KW43" s="251"/>
      <c r="KX43" s="251"/>
      <c r="KY43" s="251"/>
      <c r="KZ43" s="251"/>
      <c r="LA43" s="250"/>
      <c r="LB43" s="250"/>
      <c r="LC43" s="251"/>
      <c r="LD43" s="251"/>
      <c r="LE43" s="251"/>
      <c r="LF43" s="251"/>
      <c r="LG43" s="251"/>
      <c r="LH43" s="250"/>
      <c r="LI43" s="250"/>
      <c r="LJ43" s="251"/>
      <c r="LK43" s="251"/>
      <c r="LL43" s="251"/>
      <c r="LM43" s="251"/>
      <c r="LN43" s="251"/>
      <c r="LO43" s="250"/>
      <c r="LP43" s="250"/>
      <c r="LQ43" s="251"/>
      <c r="LR43" s="251"/>
      <c r="LS43" s="251"/>
      <c r="LT43" s="251"/>
      <c r="LU43" s="251"/>
      <c r="LV43" s="250"/>
      <c r="LW43" s="250"/>
      <c r="LX43" s="251"/>
      <c r="LY43" s="251"/>
      <c r="LZ43" s="251"/>
      <c r="MA43" s="251"/>
      <c r="MB43" s="251"/>
      <c r="MC43" s="250"/>
      <c r="MD43" s="250"/>
      <c r="ME43" s="251"/>
      <c r="MF43" s="251"/>
      <c r="MG43" s="251"/>
      <c r="MH43" s="251"/>
      <c r="MI43" s="251"/>
      <c r="MJ43" s="250"/>
      <c r="MK43" s="250"/>
      <c r="ML43" s="66" t="s">
        <v>1</v>
      </c>
      <c r="MM43" s="66" t="s">
        <v>1</v>
      </c>
      <c r="MN43" s="66" t="s">
        <v>1</v>
      </c>
      <c r="MO43" s="66" t="s">
        <v>1</v>
      </c>
      <c r="MP43" s="66" t="s">
        <v>1</v>
      </c>
      <c r="MQ43" s="250"/>
      <c r="MR43" s="250"/>
      <c r="MS43" s="251"/>
      <c r="MT43" s="251"/>
      <c r="MU43" s="251"/>
      <c r="MV43" s="251"/>
      <c r="MW43" s="251"/>
      <c r="MX43" s="250"/>
      <c r="MY43" s="250"/>
      <c r="MZ43" s="251"/>
      <c r="NA43" s="251"/>
      <c r="NB43" s="251"/>
      <c r="NC43" s="251"/>
      <c r="ND43" s="251"/>
      <c r="NE43" s="250"/>
      <c r="NF43" s="250"/>
      <c r="NG43" s="251"/>
      <c r="NH43" s="251"/>
      <c r="NI43" s="251"/>
      <c r="NJ43" s="251"/>
      <c r="NK43" s="69"/>
      <c r="NL43" s="250"/>
      <c r="NM43" s="252"/>
    </row>
    <row r="44" spans="1:377" customFormat="1" ht="15" customHeight="1">
      <c r="A44" s="1"/>
      <c r="B44" s="29" t="s">
        <v>108</v>
      </c>
      <c r="C44" s="29" t="s">
        <v>30</v>
      </c>
      <c r="D44" s="29" t="s">
        <v>106</v>
      </c>
      <c r="E44" s="37">
        <v>0</v>
      </c>
      <c r="F44" s="29">
        <v>23</v>
      </c>
      <c r="G44" s="29">
        <v>0</v>
      </c>
      <c r="H44" s="29">
        <f t="shared" ref="H44" si="32">E44+F44-COUNTIF(L44:NM44,$C$2)</f>
        <v>7</v>
      </c>
      <c r="I44" s="30">
        <f t="shared" ref="I44" si="33">G44-COUNTIF(L44:NM44,$C$3)</f>
        <v>-2</v>
      </c>
      <c r="J44" s="30">
        <f t="shared" ref="J44" si="34">COUNTIF(K44:NH44,$C$4)</f>
        <v>0</v>
      </c>
      <c r="K44" s="71">
        <f t="shared" ref="K44" si="35">COUNTIF(L44:NM44,$C$5)</f>
        <v>0</v>
      </c>
      <c r="L44" s="261"/>
      <c r="M44" s="262"/>
      <c r="N44" s="263"/>
      <c r="O44" s="263"/>
      <c r="P44" s="263"/>
      <c r="Q44" s="263"/>
      <c r="R44" s="206"/>
      <c r="S44" s="262"/>
      <c r="T44" s="262"/>
      <c r="U44" s="263"/>
      <c r="V44" s="263"/>
      <c r="W44" s="263"/>
      <c r="X44" s="263"/>
      <c r="Y44" s="263"/>
      <c r="Z44" s="262"/>
      <c r="AA44" s="262"/>
      <c r="AB44" s="263"/>
      <c r="AC44" s="263"/>
      <c r="AD44" s="263"/>
      <c r="AE44" s="263"/>
      <c r="AF44" s="263"/>
      <c r="AG44" s="262"/>
      <c r="AH44" s="262"/>
      <c r="AI44" s="263"/>
      <c r="AJ44" s="263"/>
      <c r="AK44" s="263"/>
      <c r="AL44" s="263"/>
      <c r="AM44" s="263"/>
      <c r="AN44" s="264"/>
      <c r="AO44" s="264"/>
      <c r="AP44" s="265"/>
      <c r="AQ44" s="266"/>
      <c r="AR44" s="266"/>
      <c r="AS44" s="266"/>
      <c r="AT44" s="266"/>
      <c r="AU44" s="267"/>
      <c r="AV44" s="267"/>
      <c r="AW44" s="266"/>
      <c r="AX44" s="266"/>
      <c r="AY44" s="266"/>
      <c r="AZ44" s="266"/>
      <c r="BA44" s="266"/>
      <c r="BB44" s="267"/>
      <c r="BC44" s="267"/>
      <c r="BD44" s="266"/>
      <c r="BE44" s="266"/>
      <c r="BF44" s="266"/>
      <c r="BG44" s="266"/>
      <c r="BH44" s="266"/>
      <c r="BI44" s="267"/>
      <c r="BJ44" s="267"/>
      <c r="BK44" s="266"/>
      <c r="BL44" s="266"/>
      <c r="BM44" s="266"/>
      <c r="BN44" s="266"/>
      <c r="BO44" s="266"/>
      <c r="BP44" s="267"/>
      <c r="BQ44" s="267"/>
      <c r="BR44" s="266"/>
      <c r="BS44" s="266"/>
      <c r="BT44" s="268"/>
      <c r="BU44" s="269"/>
      <c r="BV44" s="269"/>
      <c r="BW44" s="262"/>
      <c r="BX44" s="262"/>
      <c r="BY44" s="269"/>
      <c r="BZ44" s="269"/>
      <c r="CA44" s="269"/>
      <c r="CB44" s="269"/>
      <c r="CC44" s="269"/>
      <c r="CD44" s="262"/>
      <c r="CE44" s="262"/>
      <c r="CF44" s="269"/>
      <c r="CG44" s="269"/>
      <c r="CH44" s="269"/>
      <c r="CI44" s="269"/>
      <c r="CJ44" s="269"/>
      <c r="CK44" s="262"/>
      <c r="CL44" s="262"/>
      <c r="CM44" s="269"/>
      <c r="CN44" s="270"/>
      <c r="CO44" s="271"/>
      <c r="CP44" s="269"/>
      <c r="CQ44" s="206"/>
      <c r="CR44" s="262"/>
      <c r="CS44" s="262"/>
      <c r="CT44" s="206"/>
      <c r="CU44" s="220" t="s">
        <v>1</v>
      </c>
      <c r="CV44" s="220" t="s">
        <v>1</v>
      </c>
      <c r="CW44" s="220" t="s">
        <v>1</v>
      </c>
      <c r="CX44" s="220" t="s">
        <v>1</v>
      </c>
      <c r="CY44" s="261"/>
      <c r="CZ44" s="262"/>
      <c r="DA44" s="220" t="s">
        <v>1</v>
      </c>
      <c r="DB44" s="220" t="s">
        <v>1</v>
      </c>
      <c r="DC44" s="220" t="s">
        <v>1</v>
      </c>
      <c r="DD44" s="220" t="s">
        <v>1</v>
      </c>
      <c r="DE44" s="220" t="s">
        <v>1</v>
      </c>
      <c r="DF44" s="262"/>
      <c r="DG44" s="262"/>
      <c r="DH44" s="263"/>
      <c r="DI44" s="263"/>
      <c r="DJ44" s="263"/>
      <c r="DK44" s="263"/>
      <c r="DL44" s="263"/>
      <c r="DM44" s="262"/>
      <c r="DN44" s="262"/>
      <c r="DO44" s="263"/>
      <c r="DP44" s="263"/>
      <c r="DQ44" s="263"/>
      <c r="DR44" s="263"/>
      <c r="DS44" s="263"/>
      <c r="DT44" s="262"/>
      <c r="DU44" s="262"/>
      <c r="DV44" s="263"/>
      <c r="DW44" s="263"/>
      <c r="DX44" s="263"/>
      <c r="DY44" s="263"/>
      <c r="DZ44" s="263"/>
      <c r="EA44" s="262"/>
      <c r="EB44" s="264"/>
      <c r="EC44" s="272"/>
      <c r="ED44" s="273"/>
      <c r="EE44" s="263"/>
      <c r="EF44" s="263"/>
      <c r="EG44" s="263"/>
      <c r="EH44" s="262"/>
      <c r="EI44" s="262"/>
      <c r="EJ44" s="263"/>
      <c r="EK44" s="263"/>
      <c r="EL44" s="263"/>
      <c r="EM44" s="263"/>
      <c r="EN44" s="263"/>
      <c r="EO44" s="262"/>
      <c r="EP44" s="262"/>
      <c r="EQ44" s="263"/>
      <c r="ER44" s="206"/>
      <c r="ES44" s="263"/>
      <c r="ET44" s="263"/>
      <c r="EU44" s="263"/>
      <c r="EV44" s="262"/>
      <c r="EW44" s="262"/>
      <c r="EX44" s="263"/>
      <c r="EY44" s="263"/>
      <c r="EZ44" s="263"/>
      <c r="FA44" s="263"/>
      <c r="FB44" s="263"/>
      <c r="FC44" s="262"/>
      <c r="FD44" s="262"/>
      <c r="FE44" s="263"/>
      <c r="FF44" s="263"/>
      <c r="FG44" s="263"/>
      <c r="FH44" s="272"/>
      <c r="FI44" s="273"/>
      <c r="FJ44" s="262"/>
      <c r="FK44" s="262"/>
      <c r="FL44" s="263"/>
      <c r="FM44" s="263"/>
      <c r="FN44" s="263"/>
      <c r="FO44" s="263"/>
      <c r="FP44" s="263"/>
      <c r="FQ44" s="262"/>
      <c r="FR44" s="262"/>
      <c r="FS44" s="263"/>
      <c r="FT44" s="263"/>
      <c r="FU44" s="263"/>
      <c r="FV44" s="263"/>
      <c r="FW44" s="263"/>
      <c r="FX44" s="262"/>
      <c r="FY44" s="262"/>
      <c r="FZ44" s="206"/>
      <c r="GA44" s="206"/>
      <c r="GB44" s="66" t="s">
        <v>3</v>
      </c>
      <c r="GC44" s="263"/>
      <c r="GD44" s="263"/>
      <c r="GE44" s="262"/>
      <c r="GF44" s="262"/>
      <c r="GG44" s="263"/>
      <c r="GH44" s="263"/>
      <c r="GI44" s="263"/>
      <c r="GJ44" s="263"/>
      <c r="GK44" s="263"/>
      <c r="GL44" s="274"/>
      <c r="GM44" s="261"/>
      <c r="GN44" s="263"/>
      <c r="GO44" s="263"/>
      <c r="GP44" s="263"/>
      <c r="GQ44" s="263"/>
      <c r="GR44" s="263"/>
      <c r="GS44" s="262"/>
      <c r="GT44" s="262"/>
      <c r="GU44" s="206"/>
      <c r="GV44" s="263"/>
      <c r="GW44" s="263"/>
      <c r="GX44" s="263"/>
      <c r="GY44" s="263"/>
      <c r="GZ44" s="262"/>
      <c r="HA44" s="262"/>
      <c r="HB44" s="263"/>
      <c r="HC44" s="263"/>
      <c r="HD44" s="263"/>
      <c r="HE44" s="263"/>
      <c r="HF44" s="263"/>
      <c r="HG44" s="262"/>
      <c r="HH44" s="262"/>
      <c r="HI44" s="263"/>
      <c r="HJ44" s="263"/>
      <c r="HK44" s="263"/>
      <c r="HL44" s="263"/>
      <c r="HM44" s="206"/>
      <c r="HN44" s="262"/>
      <c r="HO44" s="262"/>
      <c r="HP44" s="263"/>
      <c r="HQ44" s="272"/>
      <c r="HR44" s="206"/>
      <c r="HS44" s="263"/>
      <c r="HT44" s="263"/>
      <c r="HU44" s="262"/>
      <c r="HV44" s="262"/>
      <c r="HW44" s="263"/>
      <c r="HX44" s="263"/>
      <c r="HY44" s="263"/>
      <c r="HZ44" s="263"/>
      <c r="IA44" s="263"/>
      <c r="IB44" s="262"/>
      <c r="IC44" s="262"/>
      <c r="ID44" s="263"/>
      <c r="IE44" s="263"/>
      <c r="IF44" s="263"/>
      <c r="IG44" s="263"/>
      <c r="IH44" s="263"/>
      <c r="II44" s="262"/>
      <c r="IJ44" s="262"/>
      <c r="IK44" s="263"/>
      <c r="IL44" s="263"/>
      <c r="IM44" s="263"/>
      <c r="IN44" s="263"/>
      <c r="IO44" s="263"/>
      <c r="IP44" s="262"/>
      <c r="IQ44" s="262"/>
      <c r="IR44" s="263"/>
      <c r="IS44" s="263"/>
      <c r="IT44" s="263"/>
      <c r="IU44" s="272"/>
      <c r="IV44" s="273"/>
      <c r="IW44" s="262"/>
      <c r="IX44" s="262"/>
      <c r="IY44" s="263"/>
      <c r="IZ44" s="263"/>
      <c r="JA44" s="263"/>
      <c r="JB44" s="263"/>
      <c r="JC44" s="206"/>
      <c r="JD44" s="262"/>
      <c r="JE44" s="262"/>
      <c r="JF44" s="263"/>
      <c r="JG44" s="263"/>
      <c r="JH44" s="263"/>
      <c r="JI44" s="263"/>
      <c r="JJ44" s="263"/>
      <c r="JK44" s="262"/>
      <c r="JL44" s="262"/>
      <c r="JM44" s="263"/>
      <c r="JN44" s="263"/>
      <c r="JO44" s="263"/>
      <c r="JP44" s="263"/>
      <c r="JQ44" s="263"/>
      <c r="JR44" s="262"/>
      <c r="JS44" s="262"/>
      <c r="JT44" s="206"/>
      <c r="JU44" s="263"/>
      <c r="JV44" s="263"/>
      <c r="JW44" s="263"/>
      <c r="JX44" s="263"/>
      <c r="JY44" s="264"/>
      <c r="JZ44" s="274"/>
      <c r="KA44" s="206"/>
      <c r="KB44" s="263"/>
      <c r="KC44" s="263"/>
      <c r="KD44" s="263"/>
      <c r="KE44" s="263"/>
      <c r="KF44" s="262"/>
      <c r="KG44" s="262"/>
      <c r="KH44" s="263"/>
      <c r="KI44" s="263"/>
      <c r="KJ44" s="263"/>
      <c r="KK44" s="263"/>
      <c r="KL44" s="263"/>
      <c r="KM44" s="262"/>
      <c r="KN44" s="262"/>
      <c r="KO44" s="66" t="s">
        <v>1</v>
      </c>
      <c r="KP44" s="66" t="s">
        <v>1</v>
      </c>
      <c r="KQ44" s="66" t="s">
        <v>1</v>
      </c>
      <c r="KR44" s="66" t="s">
        <v>1</v>
      </c>
      <c r="KS44" s="66" t="s">
        <v>1</v>
      </c>
      <c r="KT44" s="262"/>
      <c r="KU44" s="262"/>
      <c r="KV44" s="263"/>
      <c r="KW44" s="263"/>
      <c r="KX44" s="263"/>
      <c r="KY44" s="263"/>
      <c r="KZ44" s="263"/>
      <c r="LA44" s="262"/>
      <c r="LB44" s="262"/>
      <c r="LC44" s="263"/>
      <c r="LD44" s="263"/>
      <c r="LE44" s="263"/>
      <c r="LF44" s="263"/>
      <c r="LG44" s="263"/>
      <c r="LH44" s="262"/>
      <c r="LI44" s="262"/>
      <c r="LJ44" s="263"/>
      <c r="LK44" s="263"/>
      <c r="LL44" s="263"/>
      <c r="LM44" s="263"/>
      <c r="LN44" s="263"/>
      <c r="LO44" s="262"/>
      <c r="LP44" s="262"/>
      <c r="LQ44" s="263"/>
      <c r="LR44" s="263"/>
      <c r="LS44" s="66" t="s">
        <v>3</v>
      </c>
      <c r="LT44" s="66" t="s">
        <v>1</v>
      </c>
      <c r="LU44" s="66" t="s">
        <v>1</v>
      </c>
      <c r="LV44" s="262"/>
      <c r="LW44" s="262"/>
      <c r="LX44" s="263"/>
      <c r="LY44" s="263"/>
      <c r="LZ44" s="263"/>
      <c r="MA44" s="263"/>
      <c r="MB44" s="263"/>
      <c r="MC44" s="262"/>
      <c r="MD44" s="262"/>
      <c r="ME44" s="263"/>
      <c r="MF44" s="263"/>
      <c r="MG44" s="263"/>
      <c r="MH44" s="272"/>
      <c r="MI44" s="273"/>
      <c r="MJ44" s="262"/>
      <c r="MK44" s="262"/>
      <c r="ML44" s="263"/>
      <c r="MM44" s="263"/>
      <c r="MN44" s="263"/>
      <c r="MO44" s="263"/>
      <c r="MP44" s="263"/>
      <c r="MQ44" s="262"/>
      <c r="MR44" s="262"/>
      <c r="MS44" s="275"/>
      <c r="MT44" s="275"/>
      <c r="MU44" s="275"/>
      <c r="MV44" s="275"/>
      <c r="MW44" s="275"/>
      <c r="MX44" s="267"/>
      <c r="MY44" s="267"/>
      <c r="MZ44" s="275"/>
      <c r="NA44" s="275"/>
      <c r="NB44" s="275"/>
      <c r="NC44" s="275"/>
      <c r="ND44" s="275"/>
      <c r="NE44" s="267"/>
      <c r="NF44" s="267"/>
      <c r="NG44" s="275"/>
      <c r="NH44" s="275"/>
      <c r="NI44" s="275"/>
      <c r="NJ44" s="275"/>
      <c r="NK44" s="276"/>
      <c r="NL44" s="262"/>
      <c r="NM44" s="185"/>
    </row>
  </sheetData>
  <autoFilter ref="B9:D44" xr:uid="{00000000-0009-0000-0000-000003000000}">
    <filterColumn colId="1">
      <filters>
        <filter val="Temuco"/>
      </filters>
    </filterColumn>
  </autoFilter>
  <mergeCells count="12">
    <mergeCell ref="MI7:NM7"/>
    <mergeCell ref="L7:AO7"/>
    <mergeCell ref="AP7:BT7"/>
    <mergeCell ref="BU7:CX7"/>
    <mergeCell ref="CY7:EC7"/>
    <mergeCell ref="ED7:FH7"/>
    <mergeCell ref="FI7:GL7"/>
    <mergeCell ref="GM7:HQ7"/>
    <mergeCell ref="HR7:IU7"/>
    <mergeCell ref="IV7:JZ7"/>
    <mergeCell ref="KA7:LE7"/>
    <mergeCell ref="LF7:MH7"/>
  </mergeCells>
  <pageMargins left="0.70000000000000007" right="0.70000000000000007" top="0.75" bottom="0.75" header="0.30000000000000004" footer="0.30000000000000004"/>
  <pageSetup paperSize="9" fitToWidth="0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F809-5EE8-435A-9428-F8EA011916F3}">
  <sheetPr filterMode="1"/>
  <dimension ref="A2:NL38"/>
  <sheetViews>
    <sheetView zoomScale="90" zoomScaleNormal="90" workbookViewId="0">
      <pane xSplit="4" ySplit="9" topLeftCell="IZ10" activePane="bottomRight" state="frozen"/>
      <selection pane="bottomRight" activeCell="LT4" sqref="LT4"/>
      <selection pane="bottomLeft" activeCell="A9" sqref="A9"/>
      <selection pane="topRight" activeCell="E1" sqref="E1"/>
    </sheetView>
  </sheetViews>
  <sheetFormatPr defaultColWidth="5.42578125" defaultRowHeight="15" outlineLevelCol="1"/>
  <cols>
    <col min="1" max="1" width="5" style="1" customWidth="1"/>
    <col min="2" max="2" width="19.5703125" style="1" bestFit="1" customWidth="1"/>
    <col min="3" max="3" width="17.28515625" style="1" bestFit="1" customWidth="1"/>
    <col min="4" max="4" width="20.28515625" style="1" customWidth="1"/>
    <col min="5" max="6" width="12.28515625" style="1" bestFit="1" customWidth="1"/>
    <col min="7" max="7" width="12.7109375" style="1" bestFit="1" customWidth="1"/>
    <col min="8" max="8" width="17.7109375" style="1" bestFit="1" customWidth="1"/>
    <col min="9" max="9" width="15.5703125" style="1" bestFit="1" customWidth="1"/>
    <col min="10" max="10" width="7.7109375" style="1" bestFit="1" customWidth="1"/>
    <col min="11" max="11" width="7.42578125" style="1" bestFit="1" customWidth="1"/>
    <col min="12" max="12" width="3.7109375" style="2" customWidth="1"/>
    <col min="13" max="40" width="3.7109375" style="2" hidden="1" customWidth="1" outlineLevel="1"/>
    <col min="41" max="41" width="3.7109375" style="2" customWidth="1" collapsed="1"/>
    <col min="42" max="42" width="3.7109375" style="2" customWidth="1"/>
    <col min="43" max="71" width="3.7109375" style="2" hidden="1" customWidth="1" outlineLevel="1"/>
    <col min="72" max="72" width="3.7109375" style="2" customWidth="1" collapsed="1"/>
    <col min="73" max="73" width="3.7109375" style="2" customWidth="1"/>
    <col min="74" max="101" width="3.7109375" style="2" hidden="1" customWidth="1" outlineLevel="1"/>
    <col min="102" max="102" width="3.7109375" style="2" customWidth="1" collapsed="1"/>
    <col min="103" max="103" width="3.7109375" style="2" customWidth="1"/>
    <col min="104" max="132" width="3.7109375" style="2" hidden="1" customWidth="1" outlineLevel="1"/>
    <col min="133" max="133" width="3.7109375" style="2" customWidth="1" collapsed="1"/>
    <col min="134" max="134" width="3.7109375" style="2" customWidth="1"/>
    <col min="135" max="163" width="3.7109375" style="2" hidden="1" customWidth="1" outlineLevel="1"/>
    <col min="164" max="164" width="3.7109375" style="2" customWidth="1" collapsed="1"/>
    <col min="165" max="165" width="3.7109375" style="2" customWidth="1"/>
    <col min="166" max="193" width="3.7109375" style="2" customWidth="1" outlineLevel="1"/>
    <col min="194" max="195" width="3.7109375" style="2" customWidth="1"/>
    <col min="196" max="224" width="3.7109375" style="2" customWidth="1" outlineLevel="1"/>
    <col min="225" max="226" width="3.7109375" style="2" customWidth="1"/>
    <col min="227" max="254" width="3.7109375" style="2" customWidth="1" outlineLevel="1"/>
    <col min="255" max="256" width="3.7109375" style="2" customWidth="1"/>
    <col min="257" max="285" width="3.7109375" style="2" customWidth="1" outlineLevel="1"/>
    <col min="286" max="286" width="3.7109375" style="2" customWidth="1"/>
    <col min="287" max="316" width="3.7109375" style="2" customWidth="1" outlineLevel="1"/>
    <col min="317" max="318" width="3.7109375" style="2" customWidth="1"/>
    <col min="319" max="345" width="3.7109375" style="2" customWidth="1" outlineLevel="1"/>
    <col min="346" max="346" width="3.7109375" style="2" customWidth="1"/>
    <col min="347" max="375" width="3.7109375" style="2" customWidth="1" outlineLevel="1"/>
    <col min="376" max="376" width="3.7109375" style="2" customWidth="1"/>
    <col min="377" max="16384" width="5.42578125" style="2"/>
  </cols>
  <sheetData>
    <row r="2" spans="1:376">
      <c r="B2" s="65" t="s">
        <v>0</v>
      </c>
      <c r="C2" s="66" t="s">
        <v>1</v>
      </c>
      <c r="D2" s="2"/>
      <c r="E2" s="2"/>
      <c r="F2" s="2"/>
      <c r="G2" s="2"/>
      <c r="I2" s="2"/>
      <c r="J2" s="2"/>
      <c r="K2" s="2"/>
    </row>
    <row r="3" spans="1:376">
      <c r="B3" s="65" t="s">
        <v>2</v>
      </c>
      <c r="C3" s="66" t="s">
        <v>3</v>
      </c>
      <c r="D3" s="2"/>
      <c r="E3" s="2"/>
      <c r="F3" s="2"/>
      <c r="G3" s="2"/>
      <c r="I3" s="2"/>
      <c r="J3" s="2"/>
      <c r="K3" s="2"/>
    </row>
    <row r="4" spans="1:376">
      <c r="B4" s="65" t="s">
        <v>4</v>
      </c>
      <c r="C4" s="67" t="s">
        <v>5</v>
      </c>
      <c r="D4" s="2"/>
      <c r="E4" s="2"/>
      <c r="F4" s="2"/>
      <c r="G4" s="2"/>
      <c r="I4" s="2"/>
      <c r="J4" s="2"/>
      <c r="K4" s="2"/>
    </row>
    <row r="5" spans="1:376">
      <c r="B5" s="65" t="s">
        <v>6</v>
      </c>
      <c r="C5" s="68" t="s">
        <v>7</v>
      </c>
      <c r="D5" s="2"/>
      <c r="E5" s="2"/>
      <c r="F5" s="2"/>
      <c r="G5" s="2"/>
      <c r="I5" s="2"/>
      <c r="J5" s="2"/>
      <c r="K5" s="2"/>
    </row>
    <row r="6" spans="1:376" ht="15.75" thickBot="1">
      <c r="B6" s="65" t="s">
        <v>85</v>
      </c>
      <c r="C6" s="69"/>
      <c r="D6" s="2"/>
      <c r="E6" s="2"/>
      <c r="F6" s="2"/>
      <c r="G6" s="2"/>
      <c r="I6" s="2"/>
      <c r="J6" s="2"/>
      <c r="K6" s="2"/>
    </row>
    <row r="7" spans="1:376" ht="16.5" customHeight="1" thickBot="1">
      <c r="L7" s="367" t="s">
        <v>8</v>
      </c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8"/>
      <c r="AA7" s="368"/>
      <c r="AB7" s="368"/>
      <c r="AC7" s="368"/>
      <c r="AD7" s="368"/>
      <c r="AE7" s="368"/>
      <c r="AF7" s="368"/>
      <c r="AG7" s="368"/>
      <c r="AH7" s="368"/>
      <c r="AI7" s="368"/>
      <c r="AJ7" s="368"/>
      <c r="AK7" s="368"/>
      <c r="AL7" s="368"/>
      <c r="AM7" s="368"/>
      <c r="AN7" s="368"/>
      <c r="AO7" s="368"/>
      <c r="AP7" s="353" t="s">
        <v>9</v>
      </c>
      <c r="AQ7" s="354"/>
      <c r="AR7" s="354"/>
      <c r="AS7" s="354"/>
      <c r="AT7" s="354"/>
      <c r="AU7" s="354"/>
      <c r="AV7" s="354"/>
      <c r="AW7" s="354"/>
      <c r="AX7" s="354"/>
      <c r="AY7" s="354"/>
      <c r="AZ7" s="354"/>
      <c r="BA7" s="354"/>
      <c r="BB7" s="354"/>
      <c r="BC7" s="354"/>
      <c r="BD7" s="354"/>
      <c r="BE7" s="354"/>
      <c r="BF7" s="354"/>
      <c r="BG7" s="354"/>
      <c r="BH7" s="354"/>
      <c r="BI7" s="354"/>
      <c r="BJ7" s="354"/>
      <c r="BK7" s="354"/>
      <c r="BL7" s="354"/>
      <c r="BM7" s="354"/>
      <c r="BN7" s="354"/>
      <c r="BO7" s="354"/>
      <c r="BP7" s="354"/>
      <c r="BQ7" s="354"/>
      <c r="BR7" s="354"/>
      <c r="BS7" s="354"/>
      <c r="BT7" s="369"/>
      <c r="BU7" s="356" t="s">
        <v>10</v>
      </c>
      <c r="BV7" s="356"/>
      <c r="BW7" s="356"/>
      <c r="BX7" s="356"/>
      <c r="BY7" s="356"/>
      <c r="BZ7" s="356"/>
      <c r="CA7" s="356"/>
      <c r="CB7" s="356"/>
      <c r="CC7" s="356"/>
      <c r="CD7" s="356"/>
      <c r="CE7" s="356"/>
      <c r="CF7" s="356"/>
      <c r="CG7" s="356"/>
      <c r="CH7" s="356"/>
      <c r="CI7" s="356"/>
      <c r="CJ7" s="356"/>
      <c r="CK7" s="356"/>
      <c r="CL7" s="356"/>
      <c r="CM7" s="356"/>
      <c r="CN7" s="356"/>
      <c r="CO7" s="356"/>
      <c r="CP7" s="356"/>
      <c r="CQ7" s="356"/>
      <c r="CR7" s="356"/>
      <c r="CS7" s="356"/>
      <c r="CT7" s="356"/>
      <c r="CU7" s="356"/>
      <c r="CV7" s="356"/>
      <c r="CW7" s="356"/>
      <c r="CX7" s="357"/>
      <c r="CY7" s="355" t="s">
        <v>11</v>
      </c>
      <c r="CZ7" s="356"/>
      <c r="DA7" s="356"/>
      <c r="DB7" s="356"/>
      <c r="DC7" s="356"/>
      <c r="DD7" s="356"/>
      <c r="DE7" s="356"/>
      <c r="DF7" s="356"/>
      <c r="DG7" s="356"/>
      <c r="DH7" s="356"/>
      <c r="DI7" s="356"/>
      <c r="DJ7" s="356"/>
      <c r="DK7" s="356"/>
      <c r="DL7" s="356"/>
      <c r="DM7" s="356"/>
      <c r="DN7" s="356"/>
      <c r="DO7" s="356"/>
      <c r="DP7" s="356"/>
      <c r="DQ7" s="356"/>
      <c r="DR7" s="356"/>
      <c r="DS7" s="356"/>
      <c r="DT7" s="356"/>
      <c r="DU7" s="356"/>
      <c r="DV7" s="356"/>
      <c r="DW7" s="356"/>
      <c r="DX7" s="356"/>
      <c r="DY7" s="356"/>
      <c r="DZ7" s="356"/>
      <c r="EA7" s="356"/>
      <c r="EB7" s="356"/>
      <c r="EC7" s="357"/>
      <c r="ED7" s="355" t="s">
        <v>12</v>
      </c>
      <c r="EE7" s="356"/>
      <c r="EF7" s="356"/>
      <c r="EG7" s="356"/>
      <c r="EH7" s="356"/>
      <c r="EI7" s="356"/>
      <c r="EJ7" s="356"/>
      <c r="EK7" s="356"/>
      <c r="EL7" s="356"/>
      <c r="EM7" s="356"/>
      <c r="EN7" s="356"/>
      <c r="EO7" s="356"/>
      <c r="EP7" s="356"/>
      <c r="EQ7" s="356"/>
      <c r="ER7" s="356"/>
      <c r="ES7" s="356"/>
      <c r="ET7" s="356"/>
      <c r="EU7" s="356"/>
      <c r="EV7" s="356"/>
      <c r="EW7" s="356"/>
      <c r="EX7" s="356"/>
      <c r="EY7" s="356"/>
      <c r="EZ7" s="356"/>
      <c r="FA7" s="356"/>
      <c r="FB7" s="356"/>
      <c r="FC7" s="356"/>
      <c r="FD7" s="356"/>
      <c r="FE7" s="356"/>
      <c r="FF7" s="356"/>
      <c r="FG7" s="356"/>
      <c r="FH7" s="357"/>
      <c r="FI7" s="355" t="s">
        <v>13</v>
      </c>
      <c r="FJ7" s="356"/>
      <c r="FK7" s="356"/>
      <c r="FL7" s="356"/>
      <c r="FM7" s="356"/>
      <c r="FN7" s="356"/>
      <c r="FO7" s="356"/>
      <c r="FP7" s="356"/>
      <c r="FQ7" s="356"/>
      <c r="FR7" s="356"/>
      <c r="FS7" s="356"/>
      <c r="FT7" s="356"/>
      <c r="FU7" s="356"/>
      <c r="FV7" s="356"/>
      <c r="FW7" s="356"/>
      <c r="FX7" s="356"/>
      <c r="FY7" s="356"/>
      <c r="FZ7" s="356"/>
      <c r="GA7" s="356"/>
      <c r="GB7" s="356"/>
      <c r="GC7" s="356"/>
      <c r="GD7" s="356"/>
      <c r="GE7" s="356"/>
      <c r="GF7" s="356"/>
      <c r="GG7" s="356"/>
      <c r="GH7" s="356"/>
      <c r="GI7" s="356"/>
      <c r="GJ7" s="356"/>
      <c r="GK7" s="356"/>
      <c r="GL7" s="357"/>
      <c r="GM7" s="364" t="s">
        <v>14</v>
      </c>
      <c r="GN7" s="365"/>
      <c r="GO7" s="365"/>
      <c r="GP7" s="365"/>
      <c r="GQ7" s="365"/>
      <c r="GR7" s="365"/>
      <c r="GS7" s="365"/>
      <c r="GT7" s="365"/>
      <c r="GU7" s="365"/>
      <c r="GV7" s="365"/>
      <c r="GW7" s="365"/>
      <c r="GX7" s="365"/>
      <c r="GY7" s="365"/>
      <c r="GZ7" s="365"/>
      <c r="HA7" s="365"/>
      <c r="HB7" s="365"/>
      <c r="HC7" s="365"/>
      <c r="HD7" s="365"/>
      <c r="HE7" s="365"/>
      <c r="HF7" s="365"/>
      <c r="HG7" s="365"/>
      <c r="HH7" s="365"/>
      <c r="HI7" s="365"/>
      <c r="HJ7" s="365"/>
      <c r="HK7" s="365"/>
      <c r="HL7" s="365"/>
      <c r="HM7" s="365"/>
      <c r="HN7" s="365"/>
      <c r="HO7" s="365"/>
      <c r="HP7" s="365"/>
      <c r="HQ7" s="366"/>
      <c r="HR7" s="364" t="s">
        <v>15</v>
      </c>
      <c r="HS7" s="365"/>
      <c r="HT7" s="365"/>
      <c r="HU7" s="365"/>
      <c r="HV7" s="365"/>
      <c r="HW7" s="365"/>
      <c r="HX7" s="365"/>
      <c r="HY7" s="365"/>
      <c r="HZ7" s="365"/>
      <c r="IA7" s="365"/>
      <c r="IB7" s="365"/>
      <c r="IC7" s="365"/>
      <c r="ID7" s="365"/>
      <c r="IE7" s="365"/>
      <c r="IF7" s="365"/>
      <c r="IG7" s="365"/>
      <c r="IH7" s="365"/>
      <c r="II7" s="365"/>
      <c r="IJ7" s="365"/>
      <c r="IK7" s="365"/>
      <c r="IL7" s="365"/>
      <c r="IM7" s="365"/>
      <c r="IN7" s="365"/>
      <c r="IO7" s="365"/>
      <c r="IP7" s="365"/>
      <c r="IQ7" s="365"/>
      <c r="IR7" s="365"/>
      <c r="IS7" s="365"/>
      <c r="IT7" s="365"/>
      <c r="IU7" s="366"/>
      <c r="IV7" s="364" t="s">
        <v>16</v>
      </c>
      <c r="IW7" s="365"/>
      <c r="IX7" s="365"/>
      <c r="IY7" s="365"/>
      <c r="IZ7" s="365"/>
      <c r="JA7" s="365"/>
      <c r="JB7" s="365"/>
      <c r="JC7" s="365"/>
      <c r="JD7" s="365"/>
      <c r="JE7" s="365"/>
      <c r="JF7" s="365"/>
      <c r="JG7" s="365"/>
      <c r="JH7" s="365"/>
      <c r="JI7" s="365"/>
      <c r="JJ7" s="365"/>
      <c r="JK7" s="365"/>
      <c r="JL7" s="365"/>
      <c r="JM7" s="365"/>
      <c r="JN7" s="365"/>
      <c r="JO7" s="365"/>
      <c r="JP7" s="365"/>
      <c r="JQ7" s="365"/>
      <c r="JR7" s="365"/>
      <c r="JS7" s="365"/>
      <c r="JT7" s="365"/>
      <c r="JU7" s="365"/>
      <c r="JV7" s="365"/>
      <c r="JW7" s="365"/>
      <c r="JX7" s="365"/>
      <c r="JY7" s="365"/>
      <c r="JZ7" s="366"/>
      <c r="KA7" s="364" t="s">
        <v>17</v>
      </c>
      <c r="KB7" s="365"/>
      <c r="KC7" s="365"/>
      <c r="KD7" s="365"/>
      <c r="KE7" s="365"/>
      <c r="KF7" s="365"/>
      <c r="KG7" s="365"/>
      <c r="KH7" s="365"/>
      <c r="KI7" s="365"/>
      <c r="KJ7" s="365"/>
      <c r="KK7" s="365"/>
      <c r="KL7" s="365"/>
      <c r="KM7" s="365"/>
      <c r="KN7" s="365"/>
      <c r="KO7" s="365"/>
      <c r="KP7" s="365"/>
      <c r="KQ7" s="365"/>
      <c r="KR7" s="365"/>
      <c r="KS7" s="365"/>
      <c r="KT7" s="365"/>
      <c r="KU7" s="365"/>
      <c r="KV7" s="365"/>
      <c r="KW7" s="365"/>
      <c r="KX7" s="365"/>
      <c r="KY7" s="365"/>
      <c r="KZ7" s="365"/>
      <c r="LA7" s="365"/>
      <c r="LB7" s="365"/>
      <c r="LC7" s="365"/>
      <c r="LD7" s="365"/>
      <c r="LE7" s="365"/>
      <c r="LF7" s="364" t="s">
        <v>18</v>
      </c>
      <c r="LG7" s="365"/>
      <c r="LH7" s="365"/>
      <c r="LI7" s="365"/>
      <c r="LJ7" s="365"/>
      <c r="LK7" s="365"/>
      <c r="LL7" s="365"/>
      <c r="LM7" s="365"/>
      <c r="LN7" s="365"/>
      <c r="LO7" s="365"/>
      <c r="LP7" s="365"/>
      <c r="LQ7" s="365"/>
      <c r="LR7" s="365"/>
      <c r="LS7" s="365"/>
      <c r="LT7" s="365"/>
      <c r="LU7" s="365"/>
      <c r="LV7" s="365"/>
      <c r="LW7" s="365"/>
      <c r="LX7" s="365"/>
      <c r="LY7" s="365"/>
      <c r="LZ7" s="365"/>
      <c r="MA7" s="365"/>
      <c r="MB7" s="365"/>
      <c r="MC7" s="365"/>
      <c r="MD7" s="365"/>
      <c r="ME7" s="365"/>
      <c r="MF7" s="365"/>
      <c r="MG7" s="366"/>
      <c r="MH7" s="364" t="s">
        <v>19</v>
      </c>
      <c r="MI7" s="365"/>
      <c r="MJ7" s="365"/>
      <c r="MK7" s="365"/>
      <c r="ML7" s="365"/>
      <c r="MM7" s="365"/>
      <c r="MN7" s="365"/>
      <c r="MO7" s="365"/>
      <c r="MP7" s="365"/>
      <c r="MQ7" s="365"/>
      <c r="MR7" s="365"/>
      <c r="MS7" s="365"/>
      <c r="MT7" s="365"/>
      <c r="MU7" s="365"/>
      <c r="MV7" s="365"/>
      <c r="MW7" s="365"/>
      <c r="MX7" s="365"/>
      <c r="MY7" s="365"/>
      <c r="MZ7" s="365"/>
      <c r="NA7" s="365"/>
      <c r="NB7" s="365"/>
      <c r="NC7" s="365"/>
      <c r="ND7" s="365"/>
      <c r="NE7" s="365"/>
      <c r="NF7" s="365"/>
      <c r="NG7" s="365"/>
      <c r="NH7" s="365"/>
      <c r="NI7" s="365"/>
      <c r="NJ7" s="365"/>
      <c r="NK7" s="365"/>
      <c r="NL7" s="366"/>
    </row>
    <row r="8" spans="1:376" s="3" customFormat="1">
      <c r="A8" s="1"/>
      <c r="L8" s="180">
        <v>1</v>
      </c>
      <c r="M8" s="5">
        <v>2</v>
      </c>
      <c r="N8" s="5">
        <v>3</v>
      </c>
      <c r="O8" s="5">
        <v>4</v>
      </c>
      <c r="P8" s="5">
        <v>5</v>
      </c>
      <c r="Q8" s="5">
        <v>6</v>
      </c>
      <c r="R8" s="5">
        <v>7</v>
      </c>
      <c r="S8" s="5">
        <v>8</v>
      </c>
      <c r="T8" s="5">
        <v>9</v>
      </c>
      <c r="U8" s="5">
        <v>10</v>
      </c>
      <c r="V8" s="5">
        <v>11</v>
      </c>
      <c r="W8" s="5">
        <v>12</v>
      </c>
      <c r="X8" s="5">
        <v>13</v>
      </c>
      <c r="Y8" s="5">
        <v>14</v>
      </c>
      <c r="Z8" s="5">
        <v>15</v>
      </c>
      <c r="AA8" s="5">
        <v>16</v>
      </c>
      <c r="AB8" s="5">
        <v>17</v>
      </c>
      <c r="AC8" s="5">
        <v>18</v>
      </c>
      <c r="AD8" s="5">
        <v>19</v>
      </c>
      <c r="AE8" s="5">
        <v>20</v>
      </c>
      <c r="AF8" s="5">
        <v>21</v>
      </c>
      <c r="AG8" s="5">
        <v>22</v>
      </c>
      <c r="AH8" s="5">
        <v>23</v>
      </c>
      <c r="AI8" s="5">
        <v>24</v>
      </c>
      <c r="AJ8" s="5">
        <v>25</v>
      </c>
      <c r="AK8" s="5">
        <v>26</v>
      </c>
      <c r="AL8" s="5">
        <v>27</v>
      </c>
      <c r="AM8" s="5">
        <v>28</v>
      </c>
      <c r="AN8" s="5">
        <v>29</v>
      </c>
      <c r="AO8" s="72">
        <v>30</v>
      </c>
      <c r="AP8" s="75">
        <v>1</v>
      </c>
      <c r="AQ8" s="5">
        <v>2</v>
      </c>
      <c r="AR8" s="179">
        <v>3</v>
      </c>
      <c r="AS8" s="5">
        <v>4</v>
      </c>
      <c r="AT8" s="179">
        <v>5</v>
      </c>
      <c r="AU8" s="5">
        <v>6</v>
      </c>
      <c r="AV8" s="179">
        <v>7</v>
      </c>
      <c r="AW8" s="5">
        <v>8</v>
      </c>
      <c r="AX8" s="179">
        <v>9</v>
      </c>
      <c r="AY8" s="5">
        <v>10</v>
      </c>
      <c r="AZ8" s="179">
        <v>11</v>
      </c>
      <c r="BA8" s="5">
        <v>12</v>
      </c>
      <c r="BB8" s="179">
        <v>13</v>
      </c>
      <c r="BC8" s="5">
        <v>14</v>
      </c>
      <c r="BD8" s="179">
        <v>15</v>
      </c>
      <c r="BE8" s="5">
        <v>16</v>
      </c>
      <c r="BF8" s="179">
        <v>17</v>
      </c>
      <c r="BG8" s="5">
        <v>18</v>
      </c>
      <c r="BH8" s="179">
        <v>19</v>
      </c>
      <c r="BI8" s="5">
        <v>20</v>
      </c>
      <c r="BJ8" s="179">
        <v>21</v>
      </c>
      <c r="BK8" s="5">
        <v>22</v>
      </c>
      <c r="BL8" s="179">
        <v>23</v>
      </c>
      <c r="BM8" s="5">
        <v>24</v>
      </c>
      <c r="BN8" s="179">
        <v>25</v>
      </c>
      <c r="BO8" s="5">
        <v>26</v>
      </c>
      <c r="BP8" s="179">
        <v>27</v>
      </c>
      <c r="BQ8" s="5">
        <v>28</v>
      </c>
      <c r="BR8" s="179">
        <v>29</v>
      </c>
      <c r="BS8" s="5">
        <v>30</v>
      </c>
      <c r="BT8" s="189">
        <v>31</v>
      </c>
      <c r="BU8" s="119">
        <v>1</v>
      </c>
      <c r="BV8" s="6">
        <v>2</v>
      </c>
      <c r="BW8" s="89">
        <v>3</v>
      </c>
      <c r="BX8" s="6">
        <v>4</v>
      </c>
      <c r="BY8" s="89">
        <v>5</v>
      </c>
      <c r="BZ8" s="6">
        <v>6</v>
      </c>
      <c r="CA8" s="89">
        <v>7</v>
      </c>
      <c r="CB8" s="6">
        <v>8</v>
      </c>
      <c r="CC8" s="89">
        <v>9</v>
      </c>
      <c r="CD8" s="6">
        <v>10</v>
      </c>
      <c r="CE8" s="89">
        <v>11</v>
      </c>
      <c r="CF8" s="6">
        <v>12</v>
      </c>
      <c r="CG8" s="89">
        <v>13</v>
      </c>
      <c r="CH8" s="6">
        <v>14</v>
      </c>
      <c r="CI8" s="89">
        <v>15</v>
      </c>
      <c r="CJ8" s="6">
        <v>16</v>
      </c>
      <c r="CK8" s="89">
        <v>17</v>
      </c>
      <c r="CL8" s="6">
        <v>18</v>
      </c>
      <c r="CM8" s="89">
        <v>19</v>
      </c>
      <c r="CN8" s="6">
        <v>20</v>
      </c>
      <c r="CO8" s="89">
        <v>21</v>
      </c>
      <c r="CP8" s="6">
        <v>22</v>
      </c>
      <c r="CQ8" s="89">
        <v>23</v>
      </c>
      <c r="CR8" s="6">
        <v>24</v>
      </c>
      <c r="CS8" s="89">
        <v>25</v>
      </c>
      <c r="CT8" s="6">
        <v>26</v>
      </c>
      <c r="CU8" s="89">
        <v>27</v>
      </c>
      <c r="CV8" s="6">
        <v>28</v>
      </c>
      <c r="CW8" s="89">
        <v>29</v>
      </c>
      <c r="CX8" s="139">
        <v>30</v>
      </c>
      <c r="CY8" s="138">
        <v>1</v>
      </c>
      <c r="CZ8" s="6">
        <v>2</v>
      </c>
      <c r="DA8" s="6">
        <v>3</v>
      </c>
      <c r="DB8" s="6">
        <v>4</v>
      </c>
      <c r="DC8" s="6">
        <v>5</v>
      </c>
      <c r="DD8" s="6">
        <v>6</v>
      </c>
      <c r="DE8" s="6">
        <v>7</v>
      </c>
      <c r="DF8" s="6">
        <v>8</v>
      </c>
      <c r="DG8" s="6">
        <v>9</v>
      </c>
      <c r="DH8" s="6">
        <v>10</v>
      </c>
      <c r="DI8" s="6">
        <v>11</v>
      </c>
      <c r="DJ8" s="6">
        <v>12</v>
      </c>
      <c r="DK8" s="6">
        <v>13</v>
      </c>
      <c r="DL8" s="6">
        <v>14</v>
      </c>
      <c r="DM8" s="6">
        <v>15</v>
      </c>
      <c r="DN8" s="6">
        <v>16</v>
      </c>
      <c r="DO8" s="6">
        <v>17</v>
      </c>
      <c r="DP8" s="6">
        <v>18</v>
      </c>
      <c r="DQ8" s="6">
        <v>19</v>
      </c>
      <c r="DR8" s="6">
        <v>20</v>
      </c>
      <c r="DS8" s="6">
        <v>21</v>
      </c>
      <c r="DT8" s="6">
        <v>22</v>
      </c>
      <c r="DU8" s="6">
        <v>23</v>
      </c>
      <c r="DV8" s="6">
        <v>24</v>
      </c>
      <c r="DW8" s="6">
        <v>25</v>
      </c>
      <c r="DX8" s="6">
        <v>26</v>
      </c>
      <c r="DY8" s="6">
        <v>27</v>
      </c>
      <c r="DZ8" s="6">
        <v>28</v>
      </c>
      <c r="EA8" s="6">
        <v>29</v>
      </c>
      <c r="EB8" s="6">
        <v>30</v>
      </c>
      <c r="EC8" s="139">
        <v>31</v>
      </c>
      <c r="ED8" s="138">
        <v>1</v>
      </c>
      <c r="EE8" s="6">
        <v>2</v>
      </c>
      <c r="EF8" s="119">
        <v>3</v>
      </c>
      <c r="EG8" s="6">
        <v>4</v>
      </c>
      <c r="EH8" s="119">
        <v>5</v>
      </c>
      <c r="EI8" s="6">
        <v>6</v>
      </c>
      <c r="EJ8" s="119">
        <v>7</v>
      </c>
      <c r="EK8" s="6">
        <v>8</v>
      </c>
      <c r="EL8" s="119">
        <v>9</v>
      </c>
      <c r="EM8" s="6">
        <v>10</v>
      </c>
      <c r="EN8" s="119">
        <v>11</v>
      </c>
      <c r="EO8" s="6">
        <v>12</v>
      </c>
      <c r="EP8" s="119">
        <v>13</v>
      </c>
      <c r="EQ8" s="6">
        <v>14</v>
      </c>
      <c r="ER8" s="119">
        <v>15</v>
      </c>
      <c r="ES8" s="6">
        <v>16</v>
      </c>
      <c r="ET8" s="119">
        <v>17</v>
      </c>
      <c r="EU8" s="6">
        <v>18</v>
      </c>
      <c r="EV8" s="119">
        <v>19</v>
      </c>
      <c r="EW8" s="6">
        <v>20</v>
      </c>
      <c r="EX8" s="119">
        <v>21</v>
      </c>
      <c r="EY8" s="6">
        <v>22</v>
      </c>
      <c r="EZ8" s="119">
        <v>23</v>
      </c>
      <c r="FA8" s="6">
        <v>24</v>
      </c>
      <c r="FB8" s="119">
        <v>25</v>
      </c>
      <c r="FC8" s="6">
        <v>26</v>
      </c>
      <c r="FD8" s="119">
        <v>27</v>
      </c>
      <c r="FE8" s="6">
        <v>28</v>
      </c>
      <c r="FF8" s="119">
        <v>29</v>
      </c>
      <c r="FG8" s="6">
        <v>30</v>
      </c>
      <c r="FH8" s="187">
        <v>31</v>
      </c>
      <c r="FI8" s="138">
        <v>1</v>
      </c>
      <c r="FJ8" s="6">
        <v>2</v>
      </c>
      <c r="FK8" s="119">
        <v>3</v>
      </c>
      <c r="FL8" s="6">
        <v>4</v>
      </c>
      <c r="FM8" s="119">
        <v>5</v>
      </c>
      <c r="FN8" s="6">
        <v>6</v>
      </c>
      <c r="FO8" s="119">
        <v>7</v>
      </c>
      <c r="FP8" s="6">
        <v>8</v>
      </c>
      <c r="FQ8" s="119">
        <v>9</v>
      </c>
      <c r="FR8" s="6">
        <v>10</v>
      </c>
      <c r="FS8" s="119">
        <v>11</v>
      </c>
      <c r="FT8" s="6">
        <v>12</v>
      </c>
      <c r="FU8" s="119">
        <v>13</v>
      </c>
      <c r="FV8" s="6">
        <v>14</v>
      </c>
      <c r="FW8" s="119">
        <v>15</v>
      </c>
      <c r="FX8" s="6">
        <v>16</v>
      </c>
      <c r="FY8" s="119">
        <v>17</v>
      </c>
      <c r="FZ8" s="6">
        <v>18</v>
      </c>
      <c r="GA8" s="119">
        <v>19</v>
      </c>
      <c r="GB8" s="6">
        <v>20</v>
      </c>
      <c r="GC8" s="119">
        <v>21</v>
      </c>
      <c r="GD8" s="6">
        <v>22</v>
      </c>
      <c r="GE8" s="119">
        <v>23</v>
      </c>
      <c r="GF8" s="6">
        <v>24</v>
      </c>
      <c r="GG8" s="119">
        <v>25</v>
      </c>
      <c r="GH8" s="6">
        <v>26</v>
      </c>
      <c r="GI8" s="119">
        <v>27</v>
      </c>
      <c r="GJ8" s="6">
        <v>28</v>
      </c>
      <c r="GK8" s="119">
        <v>29</v>
      </c>
      <c r="GL8" s="139">
        <v>30</v>
      </c>
      <c r="GM8" s="138">
        <v>1</v>
      </c>
      <c r="GN8" s="6">
        <v>2</v>
      </c>
      <c r="GO8" s="119">
        <v>3</v>
      </c>
      <c r="GP8" s="6">
        <v>4</v>
      </c>
      <c r="GQ8" s="119">
        <v>5</v>
      </c>
      <c r="GR8" s="6">
        <v>6</v>
      </c>
      <c r="GS8" s="119">
        <v>7</v>
      </c>
      <c r="GT8" s="6">
        <v>8</v>
      </c>
      <c r="GU8" s="119">
        <v>9</v>
      </c>
      <c r="GV8" s="6">
        <v>10</v>
      </c>
      <c r="GW8" s="119">
        <v>11</v>
      </c>
      <c r="GX8" s="6">
        <v>12</v>
      </c>
      <c r="GY8" s="119">
        <v>13</v>
      </c>
      <c r="GZ8" s="6">
        <v>14</v>
      </c>
      <c r="HA8" s="119">
        <v>15</v>
      </c>
      <c r="HB8" s="6">
        <v>16</v>
      </c>
      <c r="HC8" s="119">
        <v>17</v>
      </c>
      <c r="HD8" s="6">
        <v>18</v>
      </c>
      <c r="HE8" s="119">
        <v>19</v>
      </c>
      <c r="HF8" s="6">
        <v>20</v>
      </c>
      <c r="HG8" s="119">
        <v>21</v>
      </c>
      <c r="HH8" s="6">
        <v>22</v>
      </c>
      <c r="HI8" s="119">
        <v>23</v>
      </c>
      <c r="HJ8" s="6">
        <v>24</v>
      </c>
      <c r="HK8" s="119">
        <v>25</v>
      </c>
      <c r="HL8" s="6">
        <v>26</v>
      </c>
      <c r="HM8" s="119">
        <v>27</v>
      </c>
      <c r="HN8" s="6">
        <v>28</v>
      </c>
      <c r="HO8" s="119">
        <v>29</v>
      </c>
      <c r="HP8" s="6">
        <v>30</v>
      </c>
      <c r="HQ8" s="187">
        <v>31</v>
      </c>
      <c r="HR8" s="138">
        <v>1</v>
      </c>
      <c r="HS8" s="6">
        <v>2</v>
      </c>
      <c r="HT8" s="119">
        <v>3</v>
      </c>
      <c r="HU8" s="6">
        <v>4</v>
      </c>
      <c r="HV8" s="119">
        <v>5</v>
      </c>
      <c r="HW8" s="6">
        <v>6</v>
      </c>
      <c r="HX8" s="119">
        <v>7</v>
      </c>
      <c r="HY8" s="6">
        <v>8</v>
      </c>
      <c r="HZ8" s="119">
        <v>9</v>
      </c>
      <c r="IA8" s="6">
        <v>10</v>
      </c>
      <c r="IB8" s="119">
        <v>11</v>
      </c>
      <c r="IC8" s="6">
        <v>12</v>
      </c>
      <c r="ID8" s="119">
        <v>13</v>
      </c>
      <c r="IE8" s="6">
        <v>14</v>
      </c>
      <c r="IF8" s="119">
        <v>15</v>
      </c>
      <c r="IG8" s="6">
        <v>16</v>
      </c>
      <c r="IH8" s="119">
        <v>17</v>
      </c>
      <c r="II8" s="6">
        <v>18</v>
      </c>
      <c r="IJ8" s="119">
        <v>19</v>
      </c>
      <c r="IK8" s="6">
        <v>20</v>
      </c>
      <c r="IL8" s="119">
        <v>21</v>
      </c>
      <c r="IM8" s="6">
        <v>22</v>
      </c>
      <c r="IN8" s="119">
        <v>23</v>
      </c>
      <c r="IO8" s="6">
        <v>24</v>
      </c>
      <c r="IP8" s="119">
        <v>25</v>
      </c>
      <c r="IQ8" s="6">
        <v>26</v>
      </c>
      <c r="IR8" s="119">
        <v>27</v>
      </c>
      <c r="IS8" s="6">
        <v>28</v>
      </c>
      <c r="IT8" s="119">
        <v>29</v>
      </c>
      <c r="IU8" s="139">
        <v>30</v>
      </c>
      <c r="IV8" s="138">
        <v>1</v>
      </c>
      <c r="IW8" s="6">
        <v>2</v>
      </c>
      <c r="IX8" s="119">
        <v>3</v>
      </c>
      <c r="IY8" s="6">
        <v>4</v>
      </c>
      <c r="IZ8" s="119">
        <v>5</v>
      </c>
      <c r="JA8" s="6">
        <v>6</v>
      </c>
      <c r="JB8" s="119">
        <v>7</v>
      </c>
      <c r="JC8" s="6">
        <v>8</v>
      </c>
      <c r="JD8" s="119">
        <v>9</v>
      </c>
      <c r="JE8" s="6">
        <v>10</v>
      </c>
      <c r="JF8" s="119">
        <v>11</v>
      </c>
      <c r="JG8" s="6">
        <v>12</v>
      </c>
      <c r="JH8" s="119">
        <v>13</v>
      </c>
      <c r="JI8" s="6">
        <v>14</v>
      </c>
      <c r="JJ8" s="119">
        <v>15</v>
      </c>
      <c r="JK8" s="6">
        <v>16</v>
      </c>
      <c r="JL8" s="119">
        <v>17</v>
      </c>
      <c r="JM8" s="6">
        <v>18</v>
      </c>
      <c r="JN8" s="119">
        <v>19</v>
      </c>
      <c r="JO8" s="6">
        <v>20</v>
      </c>
      <c r="JP8" s="119">
        <v>21</v>
      </c>
      <c r="JQ8" s="6">
        <v>22</v>
      </c>
      <c r="JR8" s="119">
        <v>23</v>
      </c>
      <c r="JS8" s="6">
        <v>24</v>
      </c>
      <c r="JT8" s="119">
        <v>25</v>
      </c>
      <c r="JU8" s="6">
        <v>26</v>
      </c>
      <c r="JV8" s="119">
        <v>27</v>
      </c>
      <c r="JW8" s="6">
        <v>28</v>
      </c>
      <c r="JX8" s="119">
        <v>29</v>
      </c>
      <c r="JY8" s="6">
        <v>30</v>
      </c>
      <c r="JZ8" s="187">
        <v>31</v>
      </c>
      <c r="KA8" s="138">
        <v>1</v>
      </c>
      <c r="KB8" s="6">
        <v>2</v>
      </c>
      <c r="KC8" s="119">
        <v>3</v>
      </c>
      <c r="KD8" s="6">
        <v>4</v>
      </c>
      <c r="KE8" s="119">
        <v>5</v>
      </c>
      <c r="KF8" s="6">
        <v>6</v>
      </c>
      <c r="KG8" s="119">
        <v>7</v>
      </c>
      <c r="KH8" s="6">
        <v>8</v>
      </c>
      <c r="KI8" s="119">
        <v>9</v>
      </c>
      <c r="KJ8" s="6">
        <v>10</v>
      </c>
      <c r="KK8" s="119">
        <v>11</v>
      </c>
      <c r="KL8" s="6">
        <v>12</v>
      </c>
      <c r="KM8" s="119">
        <v>13</v>
      </c>
      <c r="KN8" s="6">
        <v>14</v>
      </c>
      <c r="KO8" s="119">
        <v>15</v>
      </c>
      <c r="KP8" s="6">
        <v>16</v>
      </c>
      <c r="KQ8" s="119">
        <v>17</v>
      </c>
      <c r="KR8" s="6">
        <v>18</v>
      </c>
      <c r="KS8" s="119">
        <v>19</v>
      </c>
      <c r="KT8" s="6">
        <v>20</v>
      </c>
      <c r="KU8" s="119">
        <v>21</v>
      </c>
      <c r="KV8" s="6">
        <v>22</v>
      </c>
      <c r="KW8" s="119">
        <v>23</v>
      </c>
      <c r="KX8" s="6">
        <v>24</v>
      </c>
      <c r="KY8" s="119">
        <v>25</v>
      </c>
      <c r="KZ8" s="6">
        <v>26</v>
      </c>
      <c r="LA8" s="119">
        <v>27</v>
      </c>
      <c r="LB8" s="6">
        <v>28</v>
      </c>
      <c r="LC8" s="119">
        <v>29</v>
      </c>
      <c r="LD8" s="6">
        <v>30</v>
      </c>
      <c r="LE8" s="298">
        <v>31</v>
      </c>
      <c r="LF8" s="138">
        <v>1</v>
      </c>
      <c r="LG8" s="6">
        <v>2</v>
      </c>
      <c r="LH8" s="119">
        <v>3</v>
      </c>
      <c r="LI8" s="6">
        <v>4</v>
      </c>
      <c r="LJ8" s="119">
        <v>5</v>
      </c>
      <c r="LK8" s="6">
        <v>6</v>
      </c>
      <c r="LL8" s="119">
        <v>7</v>
      </c>
      <c r="LM8" s="6">
        <v>8</v>
      </c>
      <c r="LN8" s="119">
        <v>9</v>
      </c>
      <c r="LO8" s="6">
        <v>10</v>
      </c>
      <c r="LP8" s="119">
        <v>11</v>
      </c>
      <c r="LQ8" s="6">
        <v>12</v>
      </c>
      <c r="LR8" s="119">
        <v>13</v>
      </c>
      <c r="LS8" s="6">
        <v>14</v>
      </c>
      <c r="LT8" s="119">
        <v>15</v>
      </c>
      <c r="LU8" s="6">
        <v>16</v>
      </c>
      <c r="LV8" s="119">
        <v>17</v>
      </c>
      <c r="LW8" s="6">
        <v>18</v>
      </c>
      <c r="LX8" s="119">
        <v>19</v>
      </c>
      <c r="LY8" s="6">
        <v>20</v>
      </c>
      <c r="LZ8" s="119">
        <v>21</v>
      </c>
      <c r="MA8" s="6">
        <v>22</v>
      </c>
      <c r="MB8" s="119">
        <v>23</v>
      </c>
      <c r="MC8" s="6">
        <v>24</v>
      </c>
      <c r="MD8" s="119">
        <v>25</v>
      </c>
      <c r="ME8" s="6">
        <v>26</v>
      </c>
      <c r="MF8" s="119">
        <v>27</v>
      </c>
      <c r="MG8" s="139">
        <v>28</v>
      </c>
      <c r="MH8" s="138">
        <v>1</v>
      </c>
      <c r="MI8" s="6">
        <v>2</v>
      </c>
      <c r="MJ8" s="119">
        <v>3</v>
      </c>
      <c r="MK8" s="6">
        <v>4</v>
      </c>
      <c r="ML8" s="119">
        <v>5</v>
      </c>
      <c r="MM8" s="6">
        <v>6</v>
      </c>
      <c r="MN8" s="119">
        <v>7</v>
      </c>
      <c r="MO8" s="6">
        <v>8</v>
      </c>
      <c r="MP8" s="119">
        <v>9</v>
      </c>
      <c r="MQ8" s="6">
        <v>10</v>
      </c>
      <c r="MR8" s="119">
        <v>11</v>
      </c>
      <c r="MS8" s="6">
        <v>12</v>
      </c>
      <c r="MT8" s="119">
        <v>13</v>
      </c>
      <c r="MU8" s="6">
        <v>14</v>
      </c>
      <c r="MV8" s="119">
        <v>15</v>
      </c>
      <c r="MW8" s="6">
        <v>16</v>
      </c>
      <c r="MX8" s="119">
        <v>17</v>
      </c>
      <c r="MY8" s="6">
        <v>18</v>
      </c>
      <c r="MZ8" s="119">
        <v>19</v>
      </c>
      <c r="NA8" s="6">
        <v>20</v>
      </c>
      <c r="NB8" s="119">
        <v>21</v>
      </c>
      <c r="NC8" s="6">
        <v>22</v>
      </c>
      <c r="ND8" s="119">
        <v>23</v>
      </c>
      <c r="NE8" s="6">
        <v>24</v>
      </c>
      <c r="NF8" s="119">
        <v>25</v>
      </c>
      <c r="NG8" s="6">
        <v>26</v>
      </c>
      <c r="NH8" s="119">
        <v>27</v>
      </c>
      <c r="NI8" s="6">
        <v>28</v>
      </c>
      <c r="NJ8" s="119">
        <v>29</v>
      </c>
      <c r="NK8" s="6">
        <v>30</v>
      </c>
      <c r="NL8" s="187">
        <v>31</v>
      </c>
    </row>
    <row r="9" spans="1:376" s="4" customFormat="1" ht="19.5" customHeight="1" thickBot="1">
      <c r="A9" s="1"/>
      <c r="B9" s="31" t="s">
        <v>20</v>
      </c>
      <c r="C9" s="31" t="s">
        <v>21</v>
      </c>
      <c r="D9" s="31" t="s">
        <v>22</v>
      </c>
      <c r="E9" s="31" t="s">
        <v>109</v>
      </c>
      <c r="F9" s="31" t="s">
        <v>110</v>
      </c>
      <c r="G9" s="31" t="s">
        <v>25</v>
      </c>
      <c r="H9" s="31" t="s">
        <v>26</v>
      </c>
      <c r="I9" s="31" t="s">
        <v>27</v>
      </c>
      <c r="J9" s="31" t="s">
        <v>4</v>
      </c>
      <c r="K9" s="70" t="s">
        <v>28</v>
      </c>
      <c r="L9" s="181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73"/>
      <c r="AO9" s="73"/>
      <c r="AP9" s="190"/>
      <c r="AQ9" s="191"/>
      <c r="AR9" s="191"/>
      <c r="AS9" s="191"/>
      <c r="AT9" s="191"/>
      <c r="AU9" s="191"/>
      <c r="AV9" s="191"/>
      <c r="AW9" s="191"/>
      <c r="AX9" s="191"/>
      <c r="AY9" s="191"/>
      <c r="AZ9" s="191"/>
      <c r="BA9" s="191"/>
      <c r="BB9" s="191"/>
      <c r="BC9" s="191"/>
      <c r="BD9" s="191"/>
      <c r="BE9" s="191"/>
      <c r="BF9" s="191"/>
      <c r="BG9" s="191"/>
      <c r="BH9" s="191"/>
      <c r="BI9" s="191"/>
      <c r="BJ9" s="191"/>
      <c r="BK9" s="191"/>
      <c r="BL9" s="191"/>
      <c r="BM9" s="191"/>
      <c r="BN9" s="191"/>
      <c r="BO9" s="191"/>
      <c r="BP9" s="191"/>
      <c r="BQ9" s="191"/>
      <c r="BR9" s="191"/>
      <c r="BS9" s="192"/>
      <c r="BT9" s="193"/>
      <c r="BU9" s="118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73"/>
      <c r="CX9" s="182"/>
      <c r="CY9" s="181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73"/>
      <c r="EC9" s="182"/>
      <c r="ED9" s="181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182"/>
      <c r="FI9" s="181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73"/>
      <c r="GL9" s="182"/>
      <c r="GM9" s="181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73"/>
      <c r="HQ9" s="182"/>
      <c r="HR9" s="181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182"/>
      <c r="IV9" s="181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73"/>
      <c r="JY9" s="73"/>
      <c r="JZ9" s="182"/>
      <c r="KA9" s="181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73"/>
      <c r="LE9" s="73"/>
      <c r="LF9" s="140"/>
      <c r="LG9" s="141"/>
      <c r="LH9" s="141"/>
      <c r="LI9" s="141"/>
      <c r="LJ9" s="141"/>
      <c r="LK9" s="141"/>
      <c r="LL9" s="141"/>
      <c r="LM9" s="141"/>
      <c r="LN9" s="141"/>
      <c r="LO9" s="141"/>
      <c r="LP9" s="141"/>
      <c r="LQ9" s="141"/>
      <c r="LR9" s="141"/>
      <c r="LS9" s="141"/>
      <c r="LT9" s="141"/>
      <c r="LU9" s="141"/>
      <c r="LV9" s="141"/>
      <c r="LW9" s="141"/>
      <c r="LX9" s="141"/>
      <c r="LY9" s="141"/>
      <c r="LZ9" s="141"/>
      <c r="MA9" s="141"/>
      <c r="MB9" s="141"/>
      <c r="MC9" s="141"/>
      <c r="MD9" s="141"/>
      <c r="ME9" s="141"/>
      <c r="MF9" s="188"/>
      <c r="MG9" s="142"/>
      <c r="MH9" s="181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182"/>
    </row>
    <row r="10" spans="1:376" ht="15" customHeight="1">
      <c r="B10" s="29" t="s">
        <v>29</v>
      </c>
      <c r="C10" s="29" t="s">
        <v>30</v>
      </c>
      <c r="D10" s="29" t="s">
        <v>31</v>
      </c>
      <c r="E10" s="37">
        <v>0</v>
      </c>
      <c r="F10" s="29">
        <v>15</v>
      </c>
      <c r="G10" s="29">
        <v>3</v>
      </c>
      <c r="H10" s="29">
        <f t="shared" ref="H10:H32" si="0">E10+F10-COUNTIF(L10:NL10,$C$2)</f>
        <v>-3</v>
      </c>
      <c r="I10" s="30">
        <f t="shared" ref="I10:I30" si="1">G10-COUNTIF(L10:NL10,$C$3)</f>
        <v>0</v>
      </c>
      <c r="J10" s="30">
        <f t="shared" ref="J10:J31" si="2">COUNTIF(K10:NG10,$C$4)</f>
        <v>0</v>
      </c>
      <c r="K10" s="71">
        <f t="shared" ref="K10:K31" si="3">COUNTIF(L10:NL10,$C$5)</f>
        <v>20</v>
      </c>
      <c r="L10" s="8"/>
      <c r="M10" s="8"/>
      <c r="N10" s="8"/>
      <c r="O10" s="8"/>
      <c r="P10" s="8"/>
      <c r="Q10" s="7"/>
      <c r="R10" s="7"/>
      <c r="S10" s="8"/>
      <c r="T10" s="8"/>
      <c r="U10" s="8"/>
      <c r="V10" s="8"/>
      <c r="W10" s="8"/>
      <c r="X10" s="7"/>
      <c r="Y10" s="7"/>
      <c r="Z10" s="8"/>
      <c r="AA10" s="8"/>
      <c r="AB10" s="8"/>
      <c r="AC10" s="8"/>
      <c r="AD10" s="8"/>
      <c r="AE10" s="7"/>
      <c r="AF10" s="7"/>
      <c r="AG10" s="8"/>
      <c r="AH10" s="8"/>
      <c r="AI10" s="8"/>
      <c r="AJ10" s="8"/>
      <c r="AK10" s="8"/>
      <c r="AL10" s="7"/>
      <c r="AM10" s="7"/>
      <c r="AN10" s="8"/>
      <c r="AO10" s="148"/>
      <c r="AP10" s="69"/>
      <c r="AQ10" s="8"/>
      <c r="AR10" s="8"/>
      <c r="AS10" s="7"/>
      <c r="AT10" s="7"/>
      <c r="AU10" s="8"/>
      <c r="AV10" s="8"/>
      <c r="AW10" s="8"/>
      <c r="AX10" s="8"/>
      <c r="AY10" s="8"/>
      <c r="AZ10" s="7"/>
      <c r="BA10" s="7"/>
      <c r="BB10" s="8"/>
      <c r="BC10" s="8"/>
      <c r="BD10" s="8"/>
      <c r="BE10" s="8"/>
      <c r="BF10" s="8"/>
      <c r="BG10" s="7"/>
      <c r="BH10" s="7"/>
      <c r="BI10" s="8"/>
      <c r="BJ10" s="69"/>
      <c r="BK10" s="8"/>
      <c r="BL10" s="8"/>
      <c r="BM10" s="8"/>
      <c r="BN10" s="7"/>
      <c r="BO10" s="7"/>
      <c r="BP10" s="8"/>
      <c r="BQ10" s="8"/>
      <c r="BR10" s="8"/>
      <c r="BS10" s="8"/>
      <c r="BT10" s="148"/>
      <c r="BU10" s="7"/>
      <c r="BV10" s="7"/>
      <c r="BW10" s="8"/>
      <c r="BX10" s="8"/>
      <c r="BY10" s="8"/>
      <c r="BZ10" s="8"/>
      <c r="CA10" s="8"/>
      <c r="CB10" s="7"/>
      <c r="CC10" s="7"/>
      <c r="CD10" s="8"/>
      <c r="CE10" s="8"/>
      <c r="CF10" s="8"/>
      <c r="CG10" s="8"/>
      <c r="CH10" s="8"/>
      <c r="CI10" s="7"/>
      <c r="CJ10" s="7"/>
      <c r="CK10" s="8"/>
      <c r="CL10" s="8"/>
      <c r="CM10" s="8"/>
      <c r="CN10" s="69"/>
      <c r="CO10" s="8"/>
      <c r="CP10" s="7"/>
      <c r="CQ10" s="7"/>
      <c r="CR10" s="8"/>
      <c r="CS10" s="8"/>
      <c r="CT10" s="8"/>
      <c r="CU10" s="8"/>
      <c r="CV10" s="8"/>
      <c r="CW10" s="7"/>
      <c r="CX10" s="7"/>
      <c r="CY10" s="28"/>
      <c r="CZ10" s="8"/>
      <c r="DA10" s="8"/>
      <c r="DB10" s="8"/>
      <c r="DC10" s="8"/>
      <c r="DD10" s="7"/>
      <c r="DE10" s="7"/>
      <c r="DF10" s="8"/>
      <c r="DG10" s="8"/>
      <c r="DH10" s="8"/>
      <c r="DI10" s="8"/>
      <c r="DJ10" s="8"/>
      <c r="DK10" s="7"/>
      <c r="DL10" s="7"/>
      <c r="DM10" s="8"/>
      <c r="DN10" s="69"/>
      <c r="DO10" s="8"/>
      <c r="DP10" s="8"/>
      <c r="DQ10" s="8"/>
      <c r="DR10" s="7"/>
      <c r="DS10" s="7"/>
      <c r="DT10" s="8"/>
      <c r="DU10" s="8"/>
      <c r="DV10" s="8"/>
      <c r="DW10" s="8"/>
      <c r="DX10" s="8"/>
      <c r="DY10" s="7"/>
      <c r="DZ10" s="7"/>
      <c r="EA10" s="8"/>
      <c r="EB10" s="8"/>
      <c r="EC10" s="148"/>
      <c r="ED10" s="28"/>
      <c r="EE10" s="8"/>
      <c r="EF10" s="7"/>
      <c r="EG10" s="7"/>
      <c r="EH10" s="8"/>
      <c r="EI10" s="8"/>
      <c r="EJ10" s="8"/>
      <c r="EK10" s="8"/>
      <c r="EL10" s="8"/>
      <c r="EM10" s="7"/>
      <c r="EN10" s="7"/>
      <c r="EO10" s="8"/>
      <c r="EP10" s="8"/>
      <c r="EQ10" s="66" t="s">
        <v>1</v>
      </c>
      <c r="ER10" s="69"/>
      <c r="ES10" s="66" t="s">
        <v>1</v>
      </c>
      <c r="ET10" s="7"/>
      <c r="EU10" s="7"/>
      <c r="EV10" s="8"/>
      <c r="EW10" s="8"/>
      <c r="EX10" s="8"/>
      <c r="EY10" s="8"/>
      <c r="EZ10" s="8"/>
      <c r="FA10" s="7"/>
      <c r="FB10" s="7"/>
      <c r="FC10" s="8"/>
      <c r="FD10" s="8"/>
      <c r="FE10" s="8"/>
      <c r="FF10" s="8"/>
      <c r="FG10" s="8"/>
      <c r="FH10" s="184"/>
      <c r="FI10" s="55"/>
      <c r="FJ10" s="8"/>
      <c r="FK10" s="8"/>
      <c r="FL10" s="8"/>
      <c r="FM10" s="8"/>
      <c r="FN10" s="8"/>
      <c r="FO10" s="7"/>
      <c r="FP10" s="7"/>
      <c r="FQ10" s="8"/>
      <c r="FR10" s="8"/>
      <c r="FS10" s="8"/>
      <c r="FT10" s="8"/>
      <c r="FU10" s="8"/>
      <c r="FV10" s="7"/>
      <c r="FW10" s="7"/>
      <c r="FX10" s="8"/>
      <c r="FY10" s="8"/>
      <c r="FZ10" s="69"/>
      <c r="GA10" s="69"/>
      <c r="GB10" s="69"/>
      <c r="GC10" s="7"/>
      <c r="GD10" s="7"/>
      <c r="GE10" s="8"/>
      <c r="GF10" s="8"/>
      <c r="GG10" s="8"/>
      <c r="GH10" s="8"/>
      <c r="GI10" s="66" t="s">
        <v>3</v>
      </c>
      <c r="GJ10" s="7"/>
      <c r="GK10" s="7"/>
      <c r="GL10" s="148"/>
      <c r="GM10" s="28"/>
      <c r="GN10" s="8"/>
      <c r="GO10" s="8"/>
      <c r="GP10" s="8"/>
      <c r="GQ10" s="7"/>
      <c r="GR10" s="7"/>
      <c r="GS10" s="8"/>
      <c r="GT10" s="8"/>
      <c r="GU10" s="8"/>
      <c r="GV10" s="8"/>
      <c r="GW10" s="8"/>
      <c r="GX10" s="7"/>
      <c r="GY10" s="7"/>
      <c r="GZ10" s="8"/>
      <c r="HA10" s="8"/>
      <c r="HB10" s="8"/>
      <c r="HC10" s="8"/>
      <c r="HD10" s="8"/>
      <c r="HE10" s="7"/>
      <c r="HF10" s="7"/>
      <c r="HG10" s="8"/>
      <c r="HH10" s="8"/>
      <c r="HI10" s="8"/>
      <c r="HJ10" s="8"/>
      <c r="HK10" s="8"/>
      <c r="HL10" s="7"/>
      <c r="HM10" s="7"/>
      <c r="HN10" s="8"/>
      <c r="HO10" s="8"/>
      <c r="HP10" s="68" t="s">
        <v>7</v>
      </c>
      <c r="HQ10" s="69"/>
      <c r="HR10" s="69"/>
      <c r="HS10" s="7"/>
      <c r="HT10" s="7"/>
      <c r="HU10" s="68" t="s">
        <v>7</v>
      </c>
      <c r="HV10" s="68" t="s">
        <v>7</v>
      </c>
      <c r="HW10" s="68" t="s">
        <v>7</v>
      </c>
      <c r="HX10" s="68" t="s">
        <v>7</v>
      </c>
      <c r="HY10" s="68" t="s">
        <v>7</v>
      </c>
      <c r="HZ10" s="7"/>
      <c r="IA10" s="7"/>
      <c r="IB10" s="68" t="s">
        <v>7</v>
      </c>
      <c r="IC10" s="68" t="s">
        <v>7</v>
      </c>
      <c r="ID10" s="68" t="s">
        <v>7</v>
      </c>
      <c r="IE10" s="68" t="s">
        <v>7</v>
      </c>
      <c r="IF10" s="68" t="s">
        <v>7</v>
      </c>
      <c r="IG10" s="7"/>
      <c r="IH10" s="7"/>
      <c r="II10" s="68" t="s">
        <v>7</v>
      </c>
      <c r="IJ10" s="68" t="s">
        <v>7</v>
      </c>
      <c r="IK10" s="68" t="s">
        <v>7</v>
      </c>
      <c r="IL10" s="68" t="s">
        <v>7</v>
      </c>
      <c r="IM10" s="68" t="s">
        <v>7</v>
      </c>
      <c r="IN10" s="7"/>
      <c r="IO10" s="7"/>
      <c r="IP10" s="68" t="s">
        <v>7</v>
      </c>
      <c r="IQ10" s="68" t="s">
        <v>7</v>
      </c>
      <c r="IR10" s="68" t="s">
        <v>7</v>
      </c>
      <c r="IS10" s="68" t="s">
        <v>7</v>
      </c>
      <c r="IT10" s="8"/>
      <c r="IU10" s="184"/>
      <c r="IV10" s="55"/>
      <c r="IW10" s="8"/>
      <c r="IX10" s="8"/>
      <c r="IY10" s="8"/>
      <c r="IZ10" s="8"/>
      <c r="JA10" s="8"/>
      <c r="JB10" s="7"/>
      <c r="JC10" s="7"/>
      <c r="JD10" s="8"/>
      <c r="JE10" s="8"/>
      <c r="JF10" s="8"/>
      <c r="JG10" s="66" t="s">
        <v>3</v>
      </c>
      <c r="JH10" s="66" t="s">
        <v>3</v>
      </c>
      <c r="JI10" s="7"/>
      <c r="JJ10" s="7"/>
      <c r="JK10" s="11"/>
      <c r="JL10" s="11"/>
      <c r="JM10" s="11"/>
      <c r="JN10" s="11"/>
      <c r="JO10" s="11"/>
      <c r="JP10" s="7"/>
      <c r="JQ10" s="7"/>
      <c r="JR10" s="66" t="s">
        <v>1</v>
      </c>
      <c r="JS10" s="66" t="s">
        <v>1</v>
      </c>
      <c r="JT10" s="69"/>
      <c r="JU10" s="66" t="s">
        <v>1</v>
      </c>
      <c r="JV10" s="66" t="s">
        <v>1</v>
      </c>
      <c r="JW10" s="7"/>
      <c r="JX10" s="7"/>
      <c r="JY10" s="66" t="s">
        <v>1</v>
      </c>
      <c r="JZ10" s="66" t="s">
        <v>1</v>
      </c>
      <c r="KA10" s="69"/>
      <c r="KB10" s="66" t="s">
        <v>1</v>
      </c>
      <c r="KC10" s="66" t="s">
        <v>1</v>
      </c>
      <c r="KD10" s="7"/>
      <c r="KE10" s="7"/>
      <c r="KF10" s="66" t="s">
        <v>1</v>
      </c>
      <c r="KG10" s="66" t="s">
        <v>1</v>
      </c>
      <c r="KH10" s="66" t="s">
        <v>1</v>
      </c>
      <c r="KI10" s="66" t="s">
        <v>1</v>
      </c>
      <c r="KJ10" s="66" t="s">
        <v>1</v>
      </c>
      <c r="KK10" s="7"/>
      <c r="KL10" s="7"/>
      <c r="KM10" s="66" t="s">
        <v>1</v>
      </c>
      <c r="KN10" s="66" t="s">
        <v>1</v>
      </c>
      <c r="KO10" s="8"/>
      <c r="KP10" s="8"/>
      <c r="KQ10" s="8"/>
      <c r="KR10" s="7"/>
      <c r="KS10" s="7"/>
      <c r="KT10" s="8"/>
      <c r="KU10" s="8"/>
      <c r="KV10" s="8"/>
      <c r="KW10" s="8"/>
      <c r="KX10" s="8"/>
      <c r="KY10" s="7"/>
      <c r="KZ10" s="7"/>
      <c r="LA10" s="8"/>
      <c r="LB10" s="8"/>
      <c r="LC10" s="8"/>
      <c r="LD10" s="8"/>
      <c r="LE10" s="58"/>
      <c r="LF10" s="183"/>
      <c r="LG10" s="7"/>
      <c r="LH10" s="8"/>
      <c r="LI10" s="8"/>
      <c r="LJ10" s="8"/>
      <c r="LK10" s="8"/>
      <c r="LL10" s="8"/>
      <c r="LM10" s="7"/>
      <c r="LN10" s="7"/>
      <c r="LO10" s="8"/>
      <c r="LP10" s="8"/>
      <c r="LQ10" s="8"/>
      <c r="LR10" s="8"/>
      <c r="LS10" s="8"/>
      <c r="LT10" s="7"/>
      <c r="LU10" s="7"/>
      <c r="LV10" s="8"/>
      <c r="LW10" s="8"/>
      <c r="LX10" s="8"/>
      <c r="LY10" s="8"/>
      <c r="LZ10" s="8"/>
      <c r="MA10" s="7"/>
      <c r="MB10" s="7"/>
      <c r="MC10" s="8"/>
      <c r="MD10" s="8"/>
      <c r="ME10" s="8"/>
      <c r="MF10" s="8"/>
      <c r="MG10" s="148"/>
      <c r="MH10" s="183"/>
      <c r="MI10" s="7"/>
      <c r="MJ10" s="8"/>
      <c r="MK10" s="8"/>
      <c r="ML10" s="8"/>
      <c r="MM10" s="8"/>
      <c r="MN10" s="8"/>
      <c r="MO10" s="7"/>
      <c r="MP10" s="7"/>
      <c r="MQ10" s="8"/>
      <c r="MR10" s="8"/>
      <c r="MS10" s="8"/>
      <c r="MT10" s="8"/>
      <c r="MU10" s="8"/>
      <c r="MV10" s="7"/>
      <c r="MW10" s="7"/>
      <c r="MX10" s="8"/>
      <c r="MY10" s="8"/>
      <c r="MZ10" s="8"/>
      <c r="NA10" s="8"/>
      <c r="NB10" s="8"/>
      <c r="NC10" s="7"/>
      <c r="ND10" s="7"/>
      <c r="NE10" s="8"/>
      <c r="NF10" s="8"/>
      <c r="NG10" s="8"/>
      <c r="NH10" s="8"/>
      <c r="NI10" s="8"/>
      <c r="NJ10" s="7"/>
      <c r="NK10" s="7"/>
      <c r="NL10" s="66" t="s">
        <v>1</v>
      </c>
    </row>
    <row r="11" spans="1:376" ht="15" customHeight="1">
      <c r="B11" s="29" t="s">
        <v>33</v>
      </c>
      <c r="C11" s="29" t="s">
        <v>30</v>
      </c>
      <c r="D11" s="29" t="s">
        <v>31</v>
      </c>
      <c r="E11" s="37">
        <v>0</v>
      </c>
      <c r="F11" s="29">
        <v>15</v>
      </c>
      <c r="G11" s="29">
        <v>3</v>
      </c>
      <c r="H11" s="29">
        <f t="shared" si="0"/>
        <v>0</v>
      </c>
      <c r="I11" s="30">
        <f t="shared" si="1"/>
        <v>0</v>
      </c>
      <c r="J11" s="30">
        <f t="shared" si="2"/>
        <v>0</v>
      </c>
      <c r="K11" s="71">
        <f t="shared" si="3"/>
        <v>0</v>
      </c>
      <c r="L11" s="8"/>
      <c r="M11" s="8"/>
      <c r="N11" s="8"/>
      <c r="O11" s="8"/>
      <c r="P11" s="8"/>
      <c r="Q11" s="7"/>
      <c r="R11" s="7"/>
      <c r="S11" s="8"/>
      <c r="T11" s="8"/>
      <c r="U11" s="8"/>
      <c r="V11" s="8"/>
      <c r="W11" s="8"/>
      <c r="X11" s="7"/>
      <c r="Y11" s="7"/>
      <c r="Z11" s="8"/>
      <c r="AA11" s="8"/>
      <c r="AB11" s="8"/>
      <c r="AC11" s="8"/>
      <c r="AD11" s="8"/>
      <c r="AE11" s="7"/>
      <c r="AF11" s="7"/>
      <c r="AG11" s="8"/>
      <c r="AH11" s="8"/>
      <c r="AI11" s="8"/>
      <c r="AJ11" s="8"/>
      <c r="AK11" s="8"/>
      <c r="AL11" s="7"/>
      <c r="AM11" s="7"/>
      <c r="AN11" s="8"/>
      <c r="AO11" s="148"/>
      <c r="AP11" s="69"/>
      <c r="AQ11" s="8"/>
      <c r="AR11" s="8"/>
      <c r="AS11" s="7"/>
      <c r="AT11" s="7"/>
      <c r="AU11" s="8"/>
      <c r="AV11" s="8"/>
      <c r="AW11" s="8"/>
      <c r="AX11" s="8"/>
      <c r="AY11" s="8"/>
      <c r="AZ11" s="7"/>
      <c r="BA11" s="7"/>
      <c r="BB11" s="8"/>
      <c r="BC11" s="8"/>
      <c r="BD11" s="8"/>
      <c r="BE11" s="8"/>
      <c r="BF11" s="8"/>
      <c r="BG11" s="7"/>
      <c r="BH11" s="7"/>
      <c r="BI11" s="8"/>
      <c r="BJ11" s="69"/>
      <c r="BK11" s="8"/>
      <c r="BL11" s="8"/>
      <c r="BM11" s="8"/>
      <c r="BN11" s="7"/>
      <c r="BO11" s="7"/>
      <c r="BP11" s="8"/>
      <c r="BQ11" s="8"/>
      <c r="BR11" s="8"/>
      <c r="BS11" s="8"/>
      <c r="BT11" s="148"/>
      <c r="BU11" s="7"/>
      <c r="BV11" s="7"/>
      <c r="BW11" s="8"/>
      <c r="BX11" s="8"/>
      <c r="BY11" s="8"/>
      <c r="BZ11" s="8"/>
      <c r="CA11" s="8"/>
      <c r="CB11" s="7"/>
      <c r="CC11" s="7"/>
      <c r="CD11" s="8"/>
      <c r="CE11" s="8"/>
      <c r="CF11" s="8"/>
      <c r="CG11" s="8"/>
      <c r="CH11" s="8"/>
      <c r="CI11" s="7"/>
      <c r="CJ11" s="7"/>
      <c r="CK11" s="8"/>
      <c r="CL11" s="8"/>
      <c r="CM11" s="8"/>
      <c r="CN11" s="69"/>
      <c r="CO11" s="8"/>
      <c r="CP11" s="7"/>
      <c r="CQ11" s="7"/>
      <c r="CR11" s="8"/>
      <c r="CS11" s="8"/>
      <c r="CT11" s="8"/>
      <c r="CU11" s="8"/>
      <c r="CV11" s="8"/>
      <c r="CW11" s="7"/>
      <c r="CX11" s="7"/>
      <c r="CY11" s="28"/>
      <c r="CZ11" s="8"/>
      <c r="DA11" s="8"/>
      <c r="DB11" s="8"/>
      <c r="DC11" s="8"/>
      <c r="DD11" s="7"/>
      <c r="DE11" s="7"/>
      <c r="DF11" s="8"/>
      <c r="DG11" s="8"/>
      <c r="DH11" s="8"/>
      <c r="DI11" s="8"/>
      <c r="DJ11" s="8"/>
      <c r="DK11" s="7"/>
      <c r="DL11" s="7"/>
      <c r="DM11" s="66" t="s">
        <v>3</v>
      </c>
      <c r="DN11" s="69"/>
      <c r="DO11" s="8"/>
      <c r="DP11" s="8"/>
      <c r="DQ11" s="8"/>
      <c r="DR11" s="7"/>
      <c r="DS11" s="7"/>
      <c r="DT11" s="8"/>
      <c r="DU11" s="8"/>
      <c r="DV11" s="8"/>
      <c r="DW11" s="8"/>
      <c r="DX11" s="8"/>
      <c r="DY11" s="7"/>
      <c r="DZ11" s="7"/>
      <c r="EA11" s="8"/>
      <c r="EB11" s="8"/>
      <c r="EC11" s="148"/>
      <c r="ED11" s="28"/>
      <c r="EE11" s="8"/>
      <c r="EF11" s="7"/>
      <c r="EG11" s="7"/>
      <c r="EH11" s="8"/>
      <c r="EI11" s="8"/>
      <c r="EJ11" s="8"/>
      <c r="EK11" s="8"/>
      <c r="EL11" s="8"/>
      <c r="EM11" s="7"/>
      <c r="EN11" s="7"/>
      <c r="EO11" s="8"/>
      <c r="EP11" s="8"/>
      <c r="EQ11" s="8"/>
      <c r="ER11" s="69"/>
      <c r="ES11" s="66" t="s">
        <v>3</v>
      </c>
      <c r="ET11" s="7"/>
      <c r="EU11" s="7"/>
      <c r="EV11" s="8"/>
      <c r="EW11" s="8"/>
      <c r="EX11" s="8"/>
      <c r="EY11" s="8"/>
      <c r="EZ11" s="8"/>
      <c r="FA11" s="7"/>
      <c r="FB11" s="7"/>
      <c r="FC11" s="8"/>
      <c r="FD11" s="8"/>
      <c r="FE11" s="8"/>
      <c r="FF11" s="8"/>
      <c r="FG11" s="8"/>
      <c r="FH11" s="184"/>
      <c r="FI11" s="55"/>
      <c r="FJ11" s="8"/>
      <c r="FK11" s="8"/>
      <c r="FL11" s="8"/>
      <c r="FM11" s="8"/>
      <c r="FN11" s="8"/>
      <c r="FO11" s="7"/>
      <c r="FP11" s="7"/>
      <c r="FQ11" s="8"/>
      <c r="FR11" s="8"/>
      <c r="FS11" s="8"/>
      <c r="FT11" s="8"/>
      <c r="FU11" s="8"/>
      <c r="FV11" s="7"/>
      <c r="FW11" s="7"/>
      <c r="FX11" s="8"/>
      <c r="FY11" s="8"/>
      <c r="FZ11" s="69"/>
      <c r="GA11" s="69"/>
      <c r="GB11" s="69"/>
      <c r="GC11" s="7"/>
      <c r="GD11" s="7"/>
      <c r="GE11" s="66" t="s">
        <v>3</v>
      </c>
      <c r="GF11" s="8"/>
      <c r="GG11" s="8"/>
      <c r="GH11" s="8"/>
      <c r="GI11" s="8"/>
      <c r="GJ11" s="7"/>
      <c r="GK11" s="7"/>
      <c r="GL11" s="148"/>
      <c r="GM11" s="28"/>
      <c r="GN11" s="8"/>
      <c r="GO11" s="8"/>
      <c r="GP11" s="8"/>
      <c r="GQ11" s="7"/>
      <c r="GR11" s="7"/>
      <c r="GS11" s="8"/>
      <c r="GT11" s="8"/>
      <c r="GU11" s="8"/>
      <c r="GV11" s="8"/>
      <c r="GW11" s="8"/>
      <c r="GX11" s="7"/>
      <c r="GY11" s="7"/>
      <c r="GZ11" s="8"/>
      <c r="HA11" s="8"/>
      <c r="HB11" s="8"/>
      <c r="HC11" s="8"/>
      <c r="HD11" s="8"/>
      <c r="HE11" s="7"/>
      <c r="HF11" s="7"/>
      <c r="HG11" s="8"/>
      <c r="HH11" s="8"/>
      <c r="HI11" s="8"/>
      <c r="HJ11" s="8"/>
      <c r="HK11" s="8"/>
      <c r="HL11" s="7"/>
      <c r="HM11" s="7"/>
      <c r="HN11" s="8"/>
      <c r="HO11" s="8"/>
      <c r="HP11" s="8"/>
      <c r="HQ11" s="69"/>
      <c r="HR11" s="69"/>
      <c r="HS11" s="7"/>
      <c r="HT11" s="7"/>
      <c r="HU11" s="8"/>
      <c r="HV11" s="8"/>
      <c r="HW11" s="8"/>
      <c r="HX11" s="8"/>
      <c r="HY11" s="8"/>
      <c r="HZ11" s="7"/>
      <c r="IA11" s="7"/>
      <c r="IB11" s="8"/>
      <c r="IC11" s="8"/>
      <c r="ID11" s="8"/>
      <c r="IE11" s="8"/>
      <c r="IF11" s="8"/>
      <c r="IG11" s="7"/>
      <c r="IH11" s="7"/>
      <c r="II11" s="8"/>
      <c r="IJ11" s="8"/>
      <c r="IK11" s="8"/>
      <c r="IL11" s="8"/>
      <c r="IM11" s="8"/>
      <c r="IN11" s="7"/>
      <c r="IO11" s="7"/>
      <c r="IP11" s="8"/>
      <c r="IQ11" s="8"/>
      <c r="IR11" s="8"/>
      <c r="IS11" s="8"/>
      <c r="IT11" s="8"/>
      <c r="IU11" s="184"/>
      <c r="IV11" s="55"/>
      <c r="IW11" s="8"/>
      <c r="IX11" s="8"/>
      <c r="IY11" s="8"/>
      <c r="IZ11" s="8"/>
      <c r="JA11" s="8"/>
      <c r="JB11" s="7"/>
      <c r="JC11" s="7"/>
      <c r="JD11" s="8"/>
      <c r="JE11" s="8"/>
      <c r="JF11" s="8"/>
      <c r="JG11" s="8"/>
      <c r="JH11" s="8"/>
      <c r="JI11" s="7"/>
      <c r="JJ11" s="7"/>
      <c r="JK11" s="8"/>
      <c r="JL11" s="8"/>
      <c r="JM11" s="8"/>
      <c r="JN11" s="8"/>
      <c r="JO11" s="8"/>
      <c r="JP11" s="7"/>
      <c r="JQ11" s="7"/>
      <c r="JR11" s="8"/>
      <c r="JS11" s="8"/>
      <c r="JT11" s="69"/>
      <c r="JU11" s="8"/>
      <c r="JV11" s="8"/>
      <c r="JW11" s="7"/>
      <c r="JX11" s="7"/>
      <c r="JY11" s="8"/>
      <c r="JZ11" s="148"/>
      <c r="KA11" s="69"/>
      <c r="KB11" s="8"/>
      <c r="KC11" s="8"/>
      <c r="KD11" s="7"/>
      <c r="KE11" s="7"/>
      <c r="KF11" s="8"/>
      <c r="KG11" s="8"/>
      <c r="KH11" s="8"/>
      <c r="KI11" s="8"/>
      <c r="KJ11" s="8"/>
      <c r="KK11" s="7"/>
      <c r="KL11" s="7"/>
      <c r="KM11" s="8"/>
      <c r="KN11" s="8"/>
      <c r="KO11" s="8"/>
      <c r="KP11" s="8"/>
      <c r="KQ11" s="8"/>
      <c r="KR11" s="7"/>
      <c r="KS11" s="7"/>
      <c r="KT11" s="8"/>
      <c r="KU11" s="8"/>
      <c r="KV11" s="8"/>
      <c r="KW11" s="8"/>
      <c r="KX11" s="8"/>
      <c r="KY11" s="7"/>
      <c r="KZ11" s="7"/>
      <c r="LA11" s="8"/>
      <c r="LB11" s="8"/>
      <c r="LC11" s="8"/>
      <c r="LD11" s="8"/>
      <c r="LE11" s="58"/>
      <c r="LF11" s="183"/>
      <c r="LG11" s="7"/>
      <c r="LH11" s="8"/>
      <c r="LI11" s="8"/>
      <c r="LJ11" s="8"/>
      <c r="LK11" s="8"/>
      <c r="LL11" s="8"/>
      <c r="LM11" s="7"/>
      <c r="LN11" s="7"/>
      <c r="LO11" s="8"/>
      <c r="LP11" s="8"/>
      <c r="LQ11" s="8"/>
      <c r="LR11" s="8"/>
      <c r="LS11" s="8"/>
      <c r="LT11" s="7"/>
      <c r="LU11" s="7"/>
      <c r="LV11" s="8"/>
      <c r="LW11" s="8"/>
      <c r="LX11" s="8"/>
      <c r="LY11" s="8"/>
      <c r="LZ11" s="8"/>
      <c r="MA11" s="7"/>
      <c r="MB11" s="7"/>
      <c r="MC11" s="66" t="s">
        <v>1</v>
      </c>
      <c r="MD11" s="66" t="s">
        <v>1</v>
      </c>
      <c r="ME11" s="66" t="s">
        <v>1</v>
      </c>
      <c r="MF11" s="66" t="s">
        <v>1</v>
      </c>
      <c r="MG11" s="153" t="s">
        <v>1</v>
      </c>
      <c r="MH11" s="183"/>
      <c r="MI11" s="7"/>
      <c r="MJ11" s="66" t="s">
        <v>1</v>
      </c>
      <c r="MK11" s="66" t="s">
        <v>1</v>
      </c>
      <c r="ML11" s="66" t="s">
        <v>1</v>
      </c>
      <c r="MM11" s="66" t="s">
        <v>1</v>
      </c>
      <c r="MN11" s="66" t="s">
        <v>1</v>
      </c>
      <c r="MO11" s="7"/>
      <c r="MP11" s="7"/>
      <c r="MQ11" s="66" t="s">
        <v>1</v>
      </c>
      <c r="MR11" s="66" t="s">
        <v>1</v>
      </c>
      <c r="MS11" s="66" t="s">
        <v>1</v>
      </c>
      <c r="MT11" s="66" t="s">
        <v>1</v>
      </c>
      <c r="MU11" s="66" t="s">
        <v>1</v>
      </c>
      <c r="MV11" s="7"/>
      <c r="MW11" s="7"/>
      <c r="MX11" s="8"/>
      <c r="MY11" s="8"/>
      <c r="MZ11" s="8"/>
      <c r="NA11" s="8"/>
      <c r="NB11" s="8"/>
      <c r="NC11" s="7"/>
      <c r="ND11" s="7"/>
      <c r="NE11" s="8"/>
      <c r="NF11" s="8"/>
      <c r="NG11" s="8"/>
      <c r="NH11" s="8"/>
      <c r="NI11" s="8"/>
      <c r="NJ11" s="7"/>
      <c r="NK11" s="7"/>
      <c r="NL11" s="148"/>
    </row>
    <row r="12" spans="1:376" ht="15" customHeight="1">
      <c r="B12" s="29" t="s">
        <v>34</v>
      </c>
      <c r="C12" s="29" t="s">
        <v>30</v>
      </c>
      <c r="D12" s="29" t="s">
        <v>31</v>
      </c>
      <c r="E12" s="37">
        <v>0</v>
      </c>
      <c r="F12" s="29">
        <v>15</v>
      </c>
      <c r="G12" s="29">
        <v>3</v>
      </c>
      <c r="H12" s="29">
        <f t="shared" si="0"/>
        <v>0</v>
      </c>
      <c r="I12" s="30">
        <f t="shared" si="1"/>
        <v>0</v>
      </c>
      <c r="J12" s="30">
        <f t="shared" si="2"/>
        <v>0</v>
      </c>
      <c r="K12" s="71">
        <f t="shared" si="3"/>
        <v>0</v>
      </c>
      <c r="L12" s="8"/>
      <c r="M12" s="8"/>
      <c r="N12" s="8"/>
      <c r="O12" s="8"/>
      <c r="P12" s="8"/>
      <c r="Q12" s="7"/>
      <c r="R12" s="7"/>
      <c r="S12" s="8"/>
      <c r="T12" s="8"/>
      <c r="U12" s="8"/>
      <c r="V12" s="8"/>
      <c r="W12" s="8"/>
      <c r="X12" s="7"/>
      <c r="Y12" s="7"/>
      <c r="Z12" s="8"/>
      <c r="AA12" s="8"/>
      <c r="AB12" s="8"/>
      <c r="AC12" s="8"/>
      <c r="AD12" s="8"/>
      <c r="AE12" s="7"/>
      <c r="AF12" s="7"/>
      <c r="AG12" s="8"/>
      <c r="AH12" s="8"/>
      <c r="AI12" s="8"/>
      <c r="AJ12" s="8"/>
      <c r="AK12" s="8"/>
      <c r="AL12" s="7"/>
      <c r="AM12" s="7"/>
      <c r="AN12" s="8"/>
      <c r="AO12" s="148"/>
      <c r="AP12" s="69"/>
      <c r="AQ12" s="8"/>
      <c r="AR12" s="8"/>
      <c r="AS12" s="7"/>
      <c r="AT12" s="7"/>
      <c r="AU12" s="8"/>
      <c r="AV12" s="8"/>
      <c r="AW12" s="8"/>
      <c r="AX12" s="8"/>
      <c r="AY12" s="8"/>
      <c r="AZ12" s="7"/>
      <c r="BA12" s="7"/>
      <c r="BB12" s="8"/>
      <c r="BC12" s="8"/>
      <c r="BD12" s="8"/>
      <c r="BE12" s="8"/>
      <c r="BF12" s="8"/>
      <c r="BG12" s="7"/>
      <c r="BH12" s="7"/>
      <c r="BI12" s="8"/>
      <c r="BJ12" s="69"/>
      <c r="BK12" s="8"/>
      <c r="BL12" s="8"/>
      <c r="BM12" s="8"/>
      <c r="BN12" s="7"/>
      <c r="BO12" s="7"/>
      <c r="BP12" s="8"/>
      <c r="BQ12" s="8"/>
      <c r="BR12" s="8"/>
      <c r="BS12" s="8"/>
      <c r="BT12" s="148"/>
      <c r="BU12" s="7"/>
      <c r="BV12" s="7"/>
      <c r="BW12" s="8"/>
      <c r="BX12" s="8"/>
      <c r="BY12" s="8"/>
      <c r="BZ12" s="8"/>
      <c r="CA12" s="8"/>
      <c r="CB12" s="7"/>
      <c r="CC12" s="7"/>
      <c r="CD12" s="8"/>
      <c r="CE12" s="8"/>
      <c r="CF12" s="8"/>
      <c r="CG12" s="8"/>
      <c r="CH12" s="8"/>
      <c r="CI12" s="7"/>
      <c r="CJ12" s="7"/>
      <c r="CK12" s="8"/>
      <c r="CL12" s="8"/>
      <c r="CM12" s="8"/>
      <c r="CN12" s="69"/>
      <c r="CO12" s="8"/>
      <c r="CP12" s="7"/>
      <c r="CQ12" s="7"/>
      <c r="CR12" s="8"/>
      <c r="CS12" s="8"/>
      <c r="CT12" s="8"/>
      <c r="CU12" s="8"/>
      <c r="CV12" s="8"/>
      <c r="CW12" s="7"/>
      <c r="CX12" s="7"/>
      <c r="CY12" s="28"/>
      <c r="CZ12" s="8"/>
      <c r="DA12" s="8"/>
      <c r="DB12" s="8"/>
      <c r="DC12" s="8"/>
      <c r="DD12" s="7"/>
      <c r="DE12" s="7"/>
      <c r="DF12" s="8"/>
      <c r="DG12" s="8"/>
      <c r="DH12" s="8"/>
      <c r="DI12" s="8"/>
      <c r="DJ12" s="8"/>
      <c r="DK12" s="7"/>
      <c r="DL12" s="7"/>
      <c r="DM12" s="8"/>
      <c r="DN12" s="69"/>
      <c r="DO12" s="8"/>
      <c r="DP12" s="8"/>
      <c r="DQ12" s="8"/>
      <c r="DR12" s="7"/>
      <c r="DS12" s="7"/>
      <c r="DT12" s="8"/>
      <c r="DU12" s="8"/>
      <c r="DV12" s="8"/>
      <c r="DW12" s="8"/>
      <c r="DX12" s="8"/>
      <c r="DY12" s="7"/>
      <c r="DZ12" s="7"/>
      <c r="EA12" s="8"/>
      <c r="EB12" s="8"/>
      <c r="EC12" s="148"/>
      <c r="ED12" s="28"/>
      <c r="EE12" s="8"/>
      <c r="EF12" s="7"/>
      <c r="EG12" s="7"/>
      <c r="EH12" s="8"/>
      <c r="EI12" s="8"/>
      <c r="EJ12" s="8"/>
      <c r="EK12" s="8"/>
      <c r="EL12" s="8"/>
      <c r="EM12" s="7"/>
      <c r="EN12" s="7"/>
      <c r="EO12" s="8"/>
      <c r="EP12" s="8"/>
      <c r="EQ12" s="8"/>
      <c r="ER12" s="69"/>
      <c r="ES12" s="8"/>
      <c r="ET12" s="7"/>
      <c r="EU12" s="7"/>
      <c r="EV12" s="8"/>
      <c r="EW12" s="8"/>
      <c r="EX12" s="8"/>
      <c r="EY12" s="8"/>
      <c r="EZ12" s="8"/>
      <c r="FA12" s="7"/>
      <c r="FB12" s="7"/>
      <c r="FC12" s="8"/>
      <c r="FD12" s="8"/>
      <c r="FE12" s="8"/>
      <c r="FF12" s="8"/>
      <c r="FG12" s="8"/>
      <c r="FH12" s="184"/>
      <c r="FI12" s="55"/>
      <c r="FJ12" s="8"/>
      <c r="FK12" s="8"/>
      <c r="FL12" s="8"/>
      <c r="FM12" s="8"/>
      <c r="FN12" s="8"/>
      <c r="FO12" s="7"/>
      <c r="FP12" s="7"/>
      <c r="FQ12" s="8"/>
      <c r="FR12" s="8"/>
      <c r="FS12" s="8"/>
      <c r="FT12" s="8"/>
      <c r="FU12" s="8"/>
      <c r="FV12" s="7"/>
      <c r="FW12" s="7"/>
      <c r="FX12" s="66" t="s">
        <v>3</v>
      </c>
      <c r="FY12" s="66" t="s">
        <v>3</v>
      </c>
      <c r="FZ12" s="69"/>
      <c r="GA12" s="69"/>
      <c r="GB12" s="69"/>
      <c r="GC12" s="7"/>
      <c r="GD12" s="7"/>
      <c r="GE12" s="8"/>
      <c r="GF12" s="8"/>
      <c r="GG12" s="8"/>
      <c r="GH12" s="8"/>
      <c r="GI12" s="8"/>
      <c r="GJ12" s="7"/>
      <c r="GK12" s="7"/>
      <c r="GL12" s="148"/>
      <c r="GM12" s="28"/>
      <c r="GN12" s="8"/>
      <c r="GO12" s="8"/>
      <c r="GP12" s="8"/>
      <c r="GQ12" s="7"/>
      <c r="GR12" s="7"/>
      <c r="GS12" s="8"/>
      <c r="GT12" s="8"/>
      <c r="GU12" s="8"/>
      <c r="GV12" s="8"/>
      <c r="GW12" s="8"/>
      <c r="GX12" s="7"/>
      <c r="GY12" s="7"/>
      <c r="GZ12" s="8"/>
      <c r="HA12" s="8"/>
      <c r="HB12" s="8"/>
      <c r="HC12" s="8"/>
      <c r="HD12" s="8"/>
      <c r="HE12" s="7"/>
      <c r="HF12" s="7"/>
      <c r="HG12" s="8"/>
      <c r="HH12" s="8"/>
      <c r="HI12" s="8"/>
      <c r="HJ12" s="8"/>
      <c r="HK12" s="8"/>
      <c r="HL12" s="7"/>
      <c r="HM12" s="7"/>
      <c r="HN12" s="8"/>
      <c r="HO12" s="8"/>
      <c r="HP12" s="8"/>
      <c r="HQ12" s="69"/>
      <c r="HR12" s="69"/>
      <c r="HS12" s="7"/>
      <c r="HT12" s="7"/>
      <c r="HU12" s="8"/>
      <c r="HV12" s="8"/>
      <c r="HW12" s="8"/>
      <c r="HX12" s="8"/>
      <c r="HY12" s="8"/>
      <c r="HZ12" s="7"/>
      <c r="IA12" s="7"/>
      <c r="IB12" s="8"/>
      <c r="IC12" s="8"/>
      <c r="ID12" s="8"/>
      <c r="IE12" s="8"/>
      <c r="IF12" s="8"/>
      <c r="IG12" s="7"/>
      <c r="IH12" s="7"/>
      <c r="II12" s="8"/>
      <c r="IJ12" s="8"/>
      <c r="IK12" s="8"/>
      <c r="IL12" s="8"/>
      <c r="IM12" s="8"/>
      <c r="IN12" s="7"/>
      <c r="IO12" s="7"/>
      <c r="IP12" s="8"/>
      <c r="IQ12" s="8"/>
      <c r="IR12" s="8"/>
      <c r="IS12" s="8"/>
      <c r="IT12" s="8"/>
      <c r="IU12" s="184"/>
      <c r="IV12" s="55"/>
      <c r="IW12" s="8"/>
      <c r="IX12" s="8"/>
      <c r="IY12" s="8"/>
      <c r="IZ12" s="8"/>
      <c r="JA12" s="8"/>
      <c r="JB12" s="7"/>
      <c r="JC12" s="7"/>
      <c r="JD12" s="8"/>
      <c r="JE12" s="8"/>
      <c r="JF12" s="8"/>
      <c r="JG12" s="8"/>
      <c r="JH12" s="8"/>
      <c r="JI12" s="7"/>
      <c r="JJ12" s="7"/>
      <c r="JK12" s="8"/>
      <c r="JL12" s="8"/>
      <c r="JM12" s="8"/>
      <c r="JN12" s="8"/>
      <c r="JO12" s="8"/>
      <c r="JP12" s="7"/>
      <c r="JQ12" s="7"/>
      <c r="JR12" s="8"/>
      <c r="JS12" s="8"/>
      <c r="JT12" s="69"/>
      <c r="JU12" s="66" t="s">
        <v>3</v>
      </c>
      <c r="JV12" s="8"/>
      <c r="JW12" s="7"/>
      <c r="JX12" s="7"/>
      <c r="JY12" s="8"/>
      <c r="JZ12" s="148"/>
      <c r="KA12" s="69"/>
      <c r="KB12" s="8"/>
      <c r="KC12" s="8"/>
      <c r="KD12" s="7"/>
      <c r="KE12" s="7"/>
      <c r="KF12" s="8"/>
      <c r="KG12" s="8"/>
      <c r="KH12" s="8"/>
      <c r="KI12" s="8"/>
      <c r="KJ12" s="8"/>
      <c r="KK12" s="7"/>
      <c r="KL12" s="7"/>
      <c r="KM12" s="8"/>
      <c r="KN12" s="8"/>
      <c r="KO12" s="8"/>
      <c r="KP12" s="8"/>
      <c r="KQ12" s="8"/>
      <c r="KR12" s="7"/>
      <c r="KS12" s="7"/>
      <c r="KT12" s="8"/>
      <c r="KU12" s="8"/>
      <c r="KV12" s="8"/>
      <c r="KW12" s="8"/>
      <c r="KX12" s="8"/>
      <c r="KY12" s="7"/>
      <c r="KZ12" s="7"/>
      <c r="LA12" s="66" t="s">
        <v>1</v>
      </c>
      <c r="LB12" s="66" t="s">
        <v>1</v>
      </c>
      <c r="LC12" s="66" t="s">
        <v>1</v>
      </c>
      <c r="LD12" s="66" t="s">
        <v>1</v>
      </c>
      <c r="LE12" s="172" t="s">
        <v>1</v>
      </c>
      <c r="LF12" s="183"/>
      <c r="LG12" s="7"/>
      <c r="LH12" s="66" t="s">
        <v>1</v>
      </c>
      <c r="LI12" s="66" t="s">
        <v>1</v>
      </c>
      <c r="LJ12" s="66" t="s">
        <v>1</v>
      </c>
      <c r="LK12" s="66" t="s">
        <v>1</v>
      </c>
      <c r="LL12" s="66" t="s">
        <v>1</v>
      </c>
      <c r="LM12" s="7"/>
      <c r="LN12" s="7"/>
      <c r="LO12" s="66" t="s">
        <v>1</v>
      </c>
      <c r="LP12" s="66" t="s">
        <v>1</v>
      </c>
      <c r="LQ12" s="66" t="s">
        <v>1</v>
      </c>
      <c r="LR12" s="66" t="s">
        <v>1</v>
      </c>
      <c r="LS12" s="66" t="s">
        <v>1</v>
      </c>
      <c r="LT12" s="7"/>
      <c r="LU12" s="7"/>
      <c r="LV12" s="8"/>
      <c r="LW12" s="8"/>
      <c r="LX12" s="8"/>
      <c r="LY12" s="8"/>
      <c r="LZ12" s="8"/>
      <c r="MA12" s="7"/>
      <c r="MB12" s="7"/>
      <c r="MC12" s="8"/>
      <c r="MD12" s="8"/>
      <c r="ME12" s="8"/>
      <c r="MF12" s="8"/>
      <c r="MG12" s="148"/>
      <c r="MH12" s="183"/>
      <c r="MI12" s="7"/>
      <c r="MJ12" s="8"/>
      <c r="MK12" s="8"/>
      <c r="ML12" s="8"/>
      <c r="MM12" s="8"/>
      <c r="MN12" s="8"/>
      <c r="MO12" s="7"/>
      <c r="MP12" s="7"/>
      <c r="MQ12" s="8"/>
      <c r="MR12" s="8"/>
      <c r="MS12" s="8"/>
      <c r="MT12" s="8"/>
      <c r="MU12" s="8"/>
      <c r="MV12" s="7"/>
      <c r="MW12" s="7"/>
      <c r="MX12" s="8"/>
      <c r="MY12" s="8"/>
      <c r="MZ12" s="8"/>
      <c r="NA12" s="8"/>
      <c r="NB12" s="8"/>
      <c r="NC12" s="7"/>
      <c r="ND12" s="7"/>
      <c r="NE12" s="8"/>
      <c r="NF12" s="8"/>
      <c r="NG12" s="8"/>
      <c r="NH12" s="8"/>
      <c r="NI12" s="8"/>
      <c r="NJ12" s="7"/>
      <c r="NK12" s="7"/>
      <c r="NL12" s="148"/>
    </row>
    <row r="13" spans="1:376" customFormat="1" ht="15.75" customHeight="1">
      <c r="A13" s="1"/>
      <c r="B13" s="29" t="s">
        <v>40</v>
      </c>
      <c r="C13" s="29" t="s">
        <v>30</v>
      </c>
      <c r="D13" s="29" t="s">
        <v>31</v>
      </c>
      <c r="E13" s="37">
        <v>0</v>
      </c>
      <c r="F13" s="29">
        <v>15</v>
      </c>
      <c r="G13" s="29">
        <v>3</v>
      </c>
      <c r="H13" s="29">
        <f t="shared" si="0"/>
        <v>0</v>
      </c>
      <c r="I13" s="30">
        <f t="shared" si="1"/>
        <v>0</v>
      </c>
      <c r="J13" s="30">
        <f t="shared" si="2"/>
        <v>0</v>
      </c>
      <c r="K13" s="71">
        <f t="shared" si="3"/>
        <v>0</v>
      </c>
      <c r="L13" s="8"/>
      <c r="M13" s="8"/>
      <c r="N13" s="8"/>
      <c r="O13" s="8"/>
      <c r="P13" s="8"/>
      <c r="Q13" s="7"/>
      <c r="R13" s="7"/>
      <c r="S13" s="8"/>
      <c r="T13" s="8"/>
      <c r="U13" s="8"/>
      <c r="V13" s="8"/>
      <c r="W13" s="8"/>
      <c r="X13" s="7"/>
      <c r="Y13" s="7"/>
      <c r="Z13" s="8"/>
      <c r="AA13" s="8"/>
      <c r="AB13" s="8"/>
      <c r="AC13" s="8"/>
      <c r="AD13" s="8"/>
      <c r="AE13" s="7"/>
      <c r="AF13" s="7"/>
      <c r="AG13" s="8"/>
      <c r="AH13" s="8"/>
      <c r="AI13" s="8"/>
      <c r="AJ13" s="8"/>
      <c r="AK13" s="8"/>
      <c r="AL13" s="7"/>
      <c r="AM13" s="7"/>
      <c r="AN13" s="8"/>
      <c r="AO13" s="148"/>
      <c r="AP13" s="69"/>
      <c r="AQ13" s="8"/>
      <c r="AR13" s="8"/>
      <c r="AS13" s="7"/>
      <c r="AT13" s="7"/>
      <c r="AU13" s="8"/>
      <c r="AV13" s="8"/>
      <c r="AW13" s="8"/>
      <c r="AX13" s="8"/>
      <c r="AY13" s="8"/>
      <c r="AZ13" s="7"/>
      <c r="BA13" s="7"/>
      <c r="BB13" s="8"/>
      <c r="BC13" s="8"/>
      <c r="BD13" s="8"/>
      <c r="BE13" s="8"/>
      <c r="BF13" s="8"/>
      <c r="BG13" s="7"/>
      <c r="BH13" s="7"/>
      <c r="BI13" s="8"/>
      <c r="BJ13" s="69"/>
      <c r="BK13" s="8"/>
      <c r="BL13" s="8"/>
      <c r="BM13" s="8"/>
      <c r="BN13" s="7"/>
      <c r="BO13" s="7"/>
      <c r="BP13" s="8"/>
      <c r="BQ13" s="8"/>
      <c r="BR13" s="8"/>
      <c r="BS13" s="8"/>
      <c r="BT13" s="148"/>
      <c r="BU13" s="7"/>
      <c r="BV13" s="7"/>
      <c r="BW13" s="8"/>
      <c r="BX13" s="8"/>
      <c r="BY13" s="8"/>
      <c r="BZ13" s="8"/>
      <c r="CA13" s="8"/>
      <c r="CB13" s="7"/>
      <c r="CC13" s="7"/>
      <c r="CD13" s="8"/>
      <c r="CE13" s="8"/>
      <c r="CF13" s="8"/>
      <c r="CG13" s="8"/>
      <c r="CH13" s="8"/>
      <c r="CI13" s="7"/>
      <c r="CJ13" s="7"/>
      <c r="CK13" s="8"/>
      <c r="CL13" s="66" t="s">
        <v>3</v>
      </c>
      <c r="CM13" s="8"/>
      <c r="CN13" s="69"/>
      <c r="CO13" s="8"/>
      <c r="CP13" s="7"/>
      <c r="CQ13" s="7"/>
      <c r="CR13" s="8"/>
      <c r="CS13" s="8"/>
      <c r="CT13" s="8"/>
      <c r="CU13" s="8"/>
      <c r="CV13" s="8"/>
      <c r="CW13" s="7"/>
      <c r="CX13" s="7"/>
      <c r="CY13" s="28"/>
      <c r="CZ13" s="8"/>
      <c r="DA13" s="8"/>
      <c r="DB13" s="8"/>
      <c r="DC13" s="8"/>
      <c r="DD13" s="7"/>
      <c r="DE13" s="7"/>
      <c r="DF13" s="8"/>
      <c r="DG13" s="8"/>
      <c r="DH13" s="8"/>
      <c r="DI13" s="8"/>
      <c r="DJ13" s="8"/>
      <c r="DK13" s="7"/>
      <c r="DL13" s="7"/>
      <c r="DM13" s="8"/>
      <c r="DN13" s="69"/>
      <c r="DO13" s="8"/>
      <c r="DP13" s="8"/>
      <c r="DQ13" s="8"/>
      <c r="DR13" s="7"/>
      <c r="DS13" s="7"/>
      <c r="DT13" s="8"/>
      <c r="DU13" s="8"/>
      <c r="DV13" s="8"/>
      <c r="DW13" s="8"/>
      <c r="DX13" s="8"/>
      <c r="DY13" s="7"/>
      <c r="DZ13" s="7"/>
      <c r="EA13" s="8"/>
      <c r="EB13" s="8"/>
      <c r="EC13" s="148"/>
      <c r="ED13" s="28"/>
      <c r="EE13" s="8"/>
      <c r="EF13" s="7"/>
      <c r="EG13" s="7"/>
      <c r="EH13" s="8"/>
      <c r="EI13" s="8"/>
      <c r="EJ13" s="8"/>
      <c r="EK13" s="8"/>
      <c r="EL13" s="8"/>
      <c r="EM13" s="7"/>
      <c r="EN13" s="7"/>
      <c r="EO13" s="8"/>
      <c r="EP13" s="8"/>
      <c r="EQ13" s="8"/>
      <c r="ER13" s="69"/>
      <c r="ES13" s="8"/>
      <c r="ET13" s="7"/>
      <c r="EU13" s="7"/>
      <c r="EV13" s="8"/>
      <c r="EW13" s="8"/>
      <c r="EX13" s="8"/>
      <c r="EY13" s="8"/>
      <c r="EZ13" s="8"/>
      <c r="FA13" s="7"/>
      <c r="FB13" s="7"/>
      <c r="FC13" s="8"/>
      <c r="FD13" s="8"/>
      <c r="FE13" s="8"/>
      <c r="FF13" s="8"/>
      <c r="FG13" s="8"/>
      <c r="FH13" s="184"/>
      <c r="FI13" s="55"/>
      <c r="FJ13" s="8"/>
      <c r="FK13" s="8"/>
      <c r="FL13" s="8"/>
      <c r="FM13" s="8"/>
      <c r="FN13" s="8"/>
      <c r="FO13" s="7"/>
      <c r="FP13" s="7"/>
      <c r="FQ13" s="8"/>
      <c r="FR13" s="8"/>
      <c r="FS13" s="8"/>
      <c r="FT13" s="8"/>
      <c r="FU13" s="8"/>
      <c r="FV13" s="7"/>
      <c r="FW13" s="7"/>
      <c r="FX13" s="8"/>
      <c r="FY13" s="66" t="s">
        <v>3</v>
      </c>
      <c r="FZ13" s="69"/>
      <c r="GA13" s="69"/>
      <c r="GB13" s="69"/>
      <c r="GC13" s="7"/>
      <c r="GD13" s="7"/>
      <c r="GE13" s="8"/>
      <c r="GF13" s="8"/>
      <c r="GG13" s="8"/>
      <c r="GH13" s="8"/>
      <c r="GI13" s="8"/>
      <c r="GJ13" s="7"/>
      <c r="GK13" s="7"/>
      <c r="GL13" s="148"/>
      <c r="GM13" s="28"/>
      <c r="GN13" s="8"/>
      <c r="GO13" s="8"/>
      <c r="GP13" s="8"/>
      <c r="GQ13" s="7"/>
      <c r="GR13" s="7"/>
      <c r="GS13" s="8"/>
      <c r="GT13" s="8"/>
      <c r="GU13" s="8"/>
      <c r="GV13" s="8"/>
      <c r="GW13" s="8"/>
      <c r="GX13" s="7"/>
      <c r="GY13" s="7"/>
      <c r="GZ13" s="8"/>
      <c r="HA13" s="8"/>
      <c r="HB13" s="8"/>
      <c r="HC13" s="8"/>
      <c r="HD13" s="8"/>
      <c r="HE13" s="7"/>
      <c r="HF13" s="7"/>
      <c r="HG13" s="8"/>
      <c r="HH13" s="8"/>
      <c r="HI13" s="8"/>
      <c r="HJ13" s="8"/>
      <c r="HK13" s="8"/>
      <c r="HL13" s="7"/>
      <c r="HM13" s="7"/>
      <c r="HN13" s="8"/>
      <c r="HO13" s="8"/>
      <c r="HP13" s="8"/>
      <c r="HQ13" s="69"/>
      <c r="HR13" s="69"/>
      <c r="HS13" s="7"/>
      <c r="HT13" s="7"/>
      <c r="HU13" s="8"/>
      <c r="HV13" s="8"/>
      <c r="HW13" s="8"/>
      <c r="HX13" s="8"/>
      <c r="HY13" s="66" t="s">
        <v>3</v>
      </c>
      <c r="HZ13" s="7"/>
      <c r="IA13" s="7"/>
      <c r="IB13" s="8"/>
      <c r="IC13" s="8"/>
      <c r="ID13" s="8"/>
      <c r="IE13" s="8"/>
      <c r="IF13" s="8"/>
      <c r="IG13" s="7"/>
      <c r="IH13" s="7"/>
      <c r="II13" s="8"/>
      <c r="IJ13" s="8"/>
      <c r="IK13" s="8"/>
      <c r="IL13" s="8"/>
      <c r="IM13" s="8"/>
      <c r="IN13" s="7"/>
      <c r="IO13" s="7"/>
      <c r="IP13" s="8"/>
      <c r="IQ13" s="8"/>
      <c r="IR13" s="8"/>
      <c r="IS13" s="8"/>
      <c r="IT13" s="8"/>
      <c r="IU13" s="184"/>
      <c r="IV13" s="55"/>
      <c r="IW13" s="8"/>
      <c r="IX13" s="8"/>
      <c r="IY13" s="8"/>
      <c r="IZ13" s="8"/>
      <c r="JA13" s="8"/>
      <c r="JB13" s="7"/>
      <c r="JC13" s="7"/>
      <c r="JD13" s="8"/>
      <c r="JE13" s="8"/>
      <c r="JF13" s="8"/>
      <c r="JG13" s="8"/>
      <c r="JH13" s="8"/>
      <c r="JI13" s="7"/>
      <c r="JJ13" s="7"/>
      <c r="JK13" s="8"/>
      <c r="JL13" s="8"/>
      <c r="JM13" s="8"/>
      <c r="JN13" s="8"/>
      <c r="JO13" s="8"/>
      <c r="JP13" s="7"/>
      <c r="JQ13" s="7"/>
      <c r="JR13" s="8"/>
      <c r="JS13" s="8"/>
      <c r="JT13" s="69"/>
      <c r="JU13" s="8"/>
      <c r="JV13" s="8"/>
      <c r="JW13" s="7"/>
      <c r="JX13" s="7"/>
      <c r="JY13" s="8"/>
      <c r="JZ13" s="148"/>
      <c r="KA13" s="69"/>
      <c r="KB13" s="8"/>
      <c r="KC13" s="8"/>
      <c r="KD13" s="7"/>
      <c r="KE13" s="7"/>
      <c r="KF13" s="8"/>
      <c r="KG13" s="8"/>
      <c r="KH13" s="8"/>
      <c r="KI13" s="8"/>
      <c r="KJ13" s="8"/>
      <c r="KK13" s="7"/>
      <c r="KL13" s="7"/>
      <c r="KM13" s="8"/>
      <c r="KN13" s="8"/>
      <c r="KO13" s="8"/>
      <c r="KP13" s="8"/>
      <c r="KQ13" s="8"/>
      <c r="KR13" s="7"/>
      <c r="KS13" s="7"/>
      <c r="KT13" s="8"/>
      <c r="KU13" s="8"/>
      <c r="KV13" s="8"/>
      <c r="KW13" s="8"/>
      <c r="KX13" s="8"/>
      <c r="KY13" s="7"/>
      <c r="KZ13" s="7"/>
      <c r="LA13" s="66" t="s">
        <v>1</v>
      </c>
      <c r="LB13" s="66" t="s">
        <v>1</v>
      </c>
      <c r="LC13" s="66" t="s">
        <v>1</v>
      </c>
      <c r="LD13" s="66" t="s">
        <v>1</v>
      </c>
      <c r="LE13" s="172" t="s">
        <v>1</v>
      </c>
      <c r="LF13" s="183"/>
      <c r="LG13" s="7"/>
      <c r="LH13" s="66" t="s">
        <v>1</v>
      </c>
      <c r="LI13" s="66" t="s">
        <v>1</v>
      </c>
      <c r="LJ13" s="66" t="s">
        <v>1</v>
      </c>
      <c r="LK13" s="66" t="s">
        <v>1</v>
      </c>
      <c r="LL13" s="66" t="s">
        <v>1</v>
      </c>
      <c r="LM13" s="7"/>
      <c r="LN13" s="7"/>
      <c r="LO13" s="66" t="s">
        <v>1</v>
      </c>
      <c r="LP13" s="66" t="s">
        <v>1</v>
      </c>
      <c r="LQ13" s="66" t="s">
        <v>1</v>
      </c>
      <c r="LR13" s="66" t="s">
        <v>1</v>
      </c>
      <c r="LS13" s="66" t="s">
        <v>1</v>
      </c>
      <c r="LT13" s="7"/>
      <c r="LU13" s="7"/>
      <c r="LV13" s="8"/>
      <c r="LW13" s="8"/>
      <c r="LX13" s="8"/>
      <c r="LY13" s="8"/>
      <c r="LZ13" s="8"/>
      <c r="MA13" s="7"/>
      <c r="MB13" s="7"/>
      <c r="MC13" s="8"/>
      <c r="MD13" s="8"/>
      <c r="ME13" s="8"/>
      <c r="MF13" s="8"/>
      <c r="MG13" s="148"/>
      <c r="MH13" s="183"/>
      <c r="MI13" s="7"/>
      <c r="MJ13" s="8"/>
      <c r="MK13" s="8"/>
      <c r="ML13" s="8"/>
      <c r="MM13" s="8"/>
      <c r="MN13" s="8"/>
      <c r="MO13" s="7"/>
      <c r="MP13" s="7"/>
      <c r="MQ13" s="8"/>
      <c r="MR13" s="8"/>
      <c r="MS13" s="8"/>
      <c r="MT13" s="8"/>
      <c r="MU13" s="8"/>
      <c r="MV13" s="7"/>
      <c r="MW13" s="7"/>
      <c r="MX13" s="8"/>
      <c r="MY13" s="8"/>
      <c r="MZ13" s="8"/>
      <c r="NA13" s="8"/>
      <c r="NB13" s="8"/>
      <c r="NC13" s="7"/>
      <c r="ND13" s="7"/>
      <c r="NE13" s="8"/>
      <c r="NF13" s="8"/>
      <c r="NG13" s="8"/>
      <c r="NH13" s="8"/>
      <c r="NI13" s="8"/>
      <c r="NJ13" s="7"/>
      <c r="NK13" s="7"/>
      <c r="NL13" s="148"/>
    </row>
    <row r="14" spans="1:376" customFormat="1" ht="15.6" customHeight="1">
      <c r="A14" s="1"/>
      <c r="B14" s="29" t="s">
        <v>37</v>
      </c>
      <c r="C14" s="29" t="s">
        <v>30</v>
      </c>
      <c r="D14" s="29" t="s">
        <v>38</v>
      </c>
      <c r="E14" s="37">
        <v>0</v>
      </c>
      <c r="F14" s="29">
        <v>15</v>
      </c>
      <c r="G14" s="29">
        <v>3</v>
      </c>
      <c r="H14" s="29">
        <f t="shared" si="0"/>
        <v>0</v>
      </c>
      <c r="I14" s="30">
        <f t="shared" si="1"/>
        <v>0</v>
      </c>
      <c r="J14" s="30">
        <f t="shared" si="2"/>
        <v>0</v>
      </c>
      <c r="K14" s="71">
        <f t="shared" si="3"/>
        <v>4</v>
      </c>
      <c r="L14" s="8"/>
      <c r="M14" s="8"/>
      <c r="N14" s="8"/>
      <c r="O14" s="8"/>
      <c r="P14" s="8"/>
      <c r="Q14" s="7"/>
      <c r="R14" s="7"/>
      <c r="S14" s="8"/>
      <c r="T14" s="8"/>
      <c r="U14" s="8"/>
      <c r="V14" s="8"/>
      <c r="W14" s="8"/>
      <c r="X14" s="7"/>
      <c r="Y14" s="7"/>
      <c r="Z14" s="8"/>
      <c r="AA14" s="8"/>
      <c r="AB14" s="66" t="s">
        <v>3</v>
      </c>
      <c r="AC14" s="66" t="s">
        <v>3</v>
      </c>
      <c r="AD14" s="66" t="s">
        <v>3</v>
      </c>
      <c r="AE14" s="7"/>
      <c r="AF14" s="7"/>
      <c r="AG14" s="8"/>
      <c r="AH14" s="8"/>
      <c r="AI14" s="8"/>
      <c r="AJ14" s="8"/>
      <c r="AK14" s="8"/>
      <c r="AL14" s="7"/>
      <c r="AM14" s="7"/>
      <c r="AN14" s="8"/>
      <c r="AO14" s="148"/>
      <c r="AP14" s="69"/>
      <c r="AQ14" s="8"/>
      <c r="AR14" s="8"/>
      <c r="AS14" s="7"/>
      <c r="AT14" s="7"/>
      <c r="AU14" s="8"/>
      <c r="AV14" s="8"/>
      <c r="AW14" s="8"/>
      <c r="AX14" s="8"/>
      <c r="AY14" s="8"/>
      <c r="AZ14" s="7"/>
      <c r="BA14" s="7"/>
      <c r="BB14" s="8"/>
      <c r="BC14" s="8"/>
      <c r="BD14" s="8"/>
      <c r="BE14" s="8"/>
      <c r="BF14" s="8"/>
      <c r="BG14" s="7"/>
      <c r="BH14" s="7"/>
      <c r="BI14" s="8"/>
      <c r="BJ14" s="69"/>
      <c r="BK14" s="8"/>
      <c r="BL14" s="8"/>
      <c r="BM14" s="8"/>
      <c r="BN14" s="7"/>
      <c r="BO14" s="7"/>
      <c r="BP14" s="8"/>
      <c r="BQ14" s="8"/>
      <c r="BR14" s="8"/>
      <c r="BS14" s="8"/>
      <c r="BT14" s="148"/>
      <c r="BU14" s="7"/>
      <c r="BV14" s="7"/>
      <c r="BW14" s="8"/>
      <c r="BX14" s="8"/>
      <c r="BY14" s="8"/>
      <c r="BZ14" s="8"/>
      <c r="CA14" s="8"/>
      <c r="CB14" s="7"/>
      <c r="CC14" s="7"/>
      <c r="CD14" s="8"/>
      <c r="CE14" s="8"/>
      <c r="CF14" s="8"/>
      <c r="CG14" s="8"/>
      <c r="CH14" s="8"/>
      <c r="CI14" s="7"/>
      <c r="CJ14" s="7"/>
      <c r="CK14" s="8"/>
      <c r="CL14" s="8"/>
      <c r="CM14" s="8"/>
      <c r="CN14" s="69"/>
      <c r="CO14" s="8"/>
      <c r="CP14" s="7"/>
      <c r="CQ14" s="7"/>
      <c r="CR14" s="8"/>
      <c r="CS14" s="8"/>
      <c r="CT14" s="8"/>
      <c r="CU14" s="8"/>
      <c r="CV14" s="8"/>
      <c r="CW14" s="7"/>
      <c r="CX14" s="7"/>
      <c r="CY14" s="28"/>
      <c r="CZ14" s="8"/>
      <c r="DA14" s="8"/>
      <c r="DB14" s="8"/>
      <c r="DC14" s="8"/>
      <c r="DD14" s="7"/>
      <c r="DE14" s="7"/>
      <c r="DF14" s="8"/>
      <c r="DG14" s="8"/>
      <c r="DH14" s="8"/>
      <c r="DI14" s="8"/>
      <c r="DJ14" s="8"/>
      <c r="DK14" s="7"/>
      <c r="DL14" s="7"/>
      <c r="DM14" s="8"/>
      <c r="DN14" s="69"/>
      <c r="DO14" s="8"/>
      <c r="DP14" s="8"/>
      <c r="DQ14" s="8"/>
      <c r="DR14" s="7"/>
      <c r="DS14" s="7"/>
      <c r="DT14" s="8"/>
      <c r="DU14" s="8"/>
      <c r="DV14" s="8"/>
      <c r="DW14" s="8"/>
      <c r="DX14" s="8"/>
      <c r="DY14" s="7"/>
      <c r="DZ14" s="7"/>
      <c r="EA14" s="8"/>
      <c r="EB14" s="8"/>
      <c r="EC14" s="148"/>
      <c r="ED14" s="28"/>
      <c r="EE14" s="8"/>
      <c r="EF14" s="7"/>
      <c r="EG14" s="7"/>
      <c r="EH14" s="8"/>
      <c r="EI14" s="68" t="s">
        <v>7</v>
      </c>
      <c r="EJ14" s="68" t="s">
        <v>7</v>
      </c>
      <c r="EK14" s="68" t="s">
        <v>7</v>
      </c>
      <c r="EL14" s="68" t="s">
        <v>7</v>
      </c>
      <c r="EM14" s="7"/>
      <c r="EN14" s="7"/>
      <c r="EO14" s="8"/>
      <c r="EP14" s="8"/>
      <c r="EQ14" s="8"/>
      <c r="ER14" s="69"/>
      <c r="ES14" s="8"/>
      <c r="ET14" s="7"/>
      <c r="EU14" s="7"/>
      <c r="EV14" s="8"/>
      <c r="EW14" s="8"/>
      <c r="EX14" s="8"/>
      <c r="EY14" s="8"/>
      <c r="EZ14" s="8"/>
      <c r="FA14" s="7"/>
      <c r="FB14" s="7"/>
      <c r="FC14" s="8"/>
      <c r="FD14" s="8"/>
      <c r="FE14" s="8"/>
      <c r="FF14" s="8"/>
      <c r="FG14" s="8"/>
      <c r="FH14" s="184"/>
      <c r="FI14" s="55"/>
      <c r="FJ14" s="8"/>
      <c r="FK14" s="8"/>
      <c r="FL14" s="8"/>
      <c r="FM14" s="8"/>
      <c r="FN14" s="8"/>
      <c r="FO14" s="7"/>
      <c r="FP14" s="7"/>
      <c r="FQ14" s="8"/>
      <c r="FR14" s="8"/>
      <c r="FS14" s="8"/>
      <c r="FT14" s="8"/>
      <c r="FU14" s="8"/>
      <c r="FV14" s="7"/>
      <c r="FW14" s="7"/>
      <c r="FX14" s="8"/>
      <c r="FY14" s="8"/>
      <c r="FZ14" s="69"/>
      <c r="GA14" s="69"/>
      <c r="GB14" s="69"/>
      <c r="GC14" s="7"/>
      <c r="GD14" s="7"/>
      <c r="GE14" s="8"/>
      <c r="GF14" s="8"/>
      <c r="GG14" s="8"/>
      <c r="GH14" s="8"/>
      <c r="GI14" s="8"/>
      <c r="GJ14" s="7"/>
      <c r="GK14" s="7"/>
      <c r="GL14" s="148"/>
      <c r="GM14" s="28"/>
      <c r="GN14" s="8"/>
      <c r="GO14" s="8"/>
      <c r="GP14" s="8"/>
      <c r="GQ14" s="7"/>
      <c r="GR14" s="7"/>
      <c r="GS14" s="8"/>
      <c r="GT14" s="8"/>
      <c r="GU14" s="8"/>
      <c r="GV14" s="66" t="s">
        <v>1</v>
      </c>
      <c r="GW14" s="66" t="s">
        <v>1</v>
      </c>
      <c r="GX14" s="7"/>
      <c r="GY14" s="7"/>
      <c r="GZ14" s="8"/>
      <c r="HA14" s="8"/>
      <c r="HB14" s="8"/>
      <c r="HC14" s="8"/>
      <c r="HD14" s="8"/>
      <c r="HE14" s="7"/>
      <c r="HF14" s="7"/>
      <c r="HG14" s="8"/>
      <c r="HH14" s="8"/>
      <c r="HI14" s="8"/>
      <c r="HJ14" s="8"/>
      <c r="HK14" s="8"/>
      <c r="HL14" s="7"/>
      <c r="HM14" s="7"/>
      <c r="HN14" s="8"/>
      <c r="HO14" s="8"/>
      <c r="HP14" s="8"/>
      <c r="HQ14" s="69"/>
      <c r="HR14" s="69"/>
      <c r="HS14" s="7"/>
      <c r="HT14" s="7"/>
      <c r="HU14" s="8"/>
      <c r="HV14" s="8"/>
      <c r="HW14" s="8"/>
      <c r="HX14" s="8"/>
      <c r="HY14" s="8"/>
      <c r="HZ14" s="7"/>
      <c r="IA14" s="7"/>
      <c r="IB14" s="8"/>
      <c r="IC14" s="8"/>
      <c r="ID14" s="8"/>
      <c r="IE14" s="8"/>
      <c r="IF14" s="8"/>
      <c r="IG14" s="7"/>
      <c r="IH14" s="7"/>
      <c r="II14" s="8"/>
      <c r="IJ14" s="8"/>
      <c r="IK14" s="8"/>
      <c r="IL14" s="8"/>
      <c r="IM14" s="8"/>
      <c r="IN14" s="7"/>
      <c r="IO14" s="7"/>
      <c r="IP14" s="8"/>
      <c r="IQ14" s="8"/>
      <c r="IR14" s="8"/>
      <c r="IS14" s="8"/>
      <c r="IT14" s="8"/>
      <c r="IU14" s="184"/>
      <c r="IV14" s="55"/>
      <c r="IW14" s="8"/>
      <c r="IX14" s="8"/>
      <c r="IY14" s="8"/>
      <c r="IZ14" s="8"/>
      <c r="JA14" s="8"/>
      <c r="JB14" s="7"/>
      <c r="JC14" s="7"/>
      <c r="JD14" s="8"/>
      <c r="JE14" s="8"/>
      <c r="JF14" s="8"/>
      <c r="JG14" s="8"/>
      <c r="JH14" s="8"/>
      <c r="JI14" s="7"/>
      <c r="JJ14" s="7"/>
      <c r="JK14" s="8"/>
      <c r="JL14" s="8"/>
      <c r="JM14" s="8"/>
      <c r="JN14" s="8"/>
      <c r="JO14" s="8"/>
      <c r="JP14" s="7"/>
      <c r="JQ14" s="7"/>
      <c r="JR14" s="8"/>
      <c r="JS14" s="8"/>
      <c r="JT14" s="69"/>
      <c r="JU14" s="8"/>
      <c r="JV14" s="8"/>
      <c r="JW14" s="7"/>
      <c r="JX14" s="7"/>
      <c r="JY14" s="8"/>
      <c r="JZ14" s="148"/>
      <c r="KA14" s="69"/>
      <c r="KB14" s="8"/>
      <c r="KC14" s="8"/>
      <c r="KD14" s="7"/>
      <c r="KE14" s="7"/>
      <c r="KF14" s="66" t="s">
        <v>1</v>
      </c>
      <c r="KG14" s="66" t="s">
        <v>1</v>
      </c>
      <c r="KH14" s="66" t="s">
        <v>1</v>
      </c>
      <c r="KI14" s="66" t="s">
        <v>1</v>
      </c>
      <c r="KJ14" s="66" t="s">
        <v>1</v>
      </c>
      <c r="KK14" s="7"/>
      <c r="KL14" s="7"/>
      <c r="KM14" s="66" t="s">
        <v>1</v>
      </c>
      <c r="KN14" s="66" t="s">
        <v>1</v>
      </c>
      <c r="KO14" s="66" t="s">
        <v>1</v>
      </c>
      <c r="KP14" s="66" t="s">
        <v>1</v>
      </c>
      <c r="KQ14" s="66" t="s">
        <v>1</v>
      </c>
      <c r="KR14" s="7"/>
      <c r="KS14" s="7"/>
      <c r="KT14" s="66" t="s">
        <v>1</v>
      </c>
      <c r="KU14" s="66" t="s">
        <v>1</v>
      </c>
      <c r="KV14" s="66" t="s">
        <v>1</v>
      </c>
      <c r="KW14" s="8"/>
      <c r="KX14" s="8"/>
      <c r="KY14" s="7"/>
      <c r="KZ14" s="7"/>
      <c r="LA14" s="8"/>
      <c r="LB14" s="8"/>
      <c r="LC14" s="8"/>
      <c r="LD14" s="8"/>
      <c r="LE14" s="58"/>
      <c r="LF14" s="183"/>
      <c r="LG14" s="7"/>
      <c r="LH14" s="8"/>
      <c r="LI14" s="8"/>
      <c r="LJ14" s="8"/>
      <c r="LK14" s="8"/>
      <c r="LL14" s="8"/>
      <c r="LM14" s="7"/>
      <c r="LN14" s="7"/>
      <c r="LO14" s="8"/>
      <c r="LP14" s="8"/>
      <c r="LQ14" s="8"/>
      <c r="LR14" s="8"/>
      <c r="LS14" s="8"/>
      <c r="LT14" s="7"/>
      <c r="LU14" s="7"/>
      <c r="LV14" s="8"/>
      <c r="LW14" s="8"/>
      <c r="LX14" s="8"/>
      <c r="LY14" s="8"/>
      <c r="LZ14" s="8"/>
      <c r="MA14" s="7"/>
      <c r="MB14" s="7"/>
      <c r="MC14" s="8"/>
      <c r="MD14" s="8"/>
      <c r="ME14" s="8"/>
      <c r="MF14" s="8"/>
      <c r="MG14" s="245"/>
      <c r="MH14" s="183"/>
      <c r="MI14" s="7"/>
      <c r="MJ14" s="32"/>
      <c r="MK14" s="32"/>
      <c r="ML14" s="32"/>
      <c r="MM14" s="32"/>
      <c r="MN14" s="32"/>
      <c r="MO14" s="7"/>
      <c r="MP14" s="7"/>
      <c r="MQ14" s="32"/>
      <c r="MR14" s="32"/>
      <c r="MS14" s="32"/>
      <c r="MT14" s="32"/>
      <c r="MU14" s="32"/>
      <c r="MV14" s="7"/>
      <c r="MW14" s="7"/>
      <c r="MX14" s="32"/>
      <c r="MY14" s="32"/>
      <c r="MZ14" s="32"/>
      <c r="NA14" s="32"/>
      <c r="NB14" s="32"/>
      <c r="NC14" s="7"/>
      <c r="ND14" s="7"/>
      <c r="NE14" s="32"/>
      <c r="NF14" s="32"/>
      <c r="NG14" s="32"/>
      <c r="NH14" s="32"/>
      <c r="NI14" s="32"/>
      <c r="NJ14" s="7"/>
      <c r="NK14" s="7"/>
      <c r="NL14" s="245"/>
    </row>
    <row r="15" spans="1:376" customFormat="1" ht="15.75" customHeight="1" thickBot="1">
      <c r="A15" s="1"/>
      <c r="B15" s="29" t="s">
        <v>81</v>
      </c>
      <c r="C15" s="29" t="s">
        <v>30</v>
      </c>
      <c r="D15" s="29" t="s">
        <v>98</v>
      </c>
      <c r="E15" s="37">
        <v>0</v>
      </c>
      <c r="F15" s="29">
        <v>15</v>
      </c>
      <c r="G15" s="29">
        <v>3</v>
      </c>
      <c r="H15" s="29">
        <f t="shared" si="0"/>
        <v>-1</v>
      </c>
      <c r="I15" s="30">
        <f t="shared" si="1"/>
        <v>0</v>
      </c>
      <c r="J15" s="30">
        <f t="shared" si="2"/>
        <v>1</v>
      </c>
      <c r="K15" s="71">
        <f t="shared" si="3"/>
        <v>0</v>
      </c>
      <c r="L15" s="8"/>
      <c r="M15" s="8"/>
      <c r="N15" s="8"/>
      <c r="O15" s="8"/>
      <c r="P15" s="8"/>
      <c r="Q15" s="7"/>
      <c r="R15" s="7"/>
      <c r="S15" s="8"/>
      <c r="T15" s="8"/>
      <c r="U15" s="8"/>
      <c r="V15" s="8"/>
      <c r="W15" s="8"/>
      <c r="X15" s="7"/>
      <c r="Y15" s="7"/>
      <c r="Z15" s="8"/>
      <c r="AA15" s="8"/>
      <c r="AB15" s="8"/>
      <c r="AC15" s="8"/>
      <c r="AD15" s="8"/>
      <c r="AE15" s="7"/>
      <c r="AF15" s="7"/>
      <c r="AG15" s="8"/>
      <c r="AH15" s="8"/>
      <c r="AI15" s="8"/>
      <c r="AJ15" s="8"/>
      <c r="AK15" s="8"/>
      <c r="AL15" s="7"/>
      <c r="AM15" s="7"/>
      <c r="AN15" s="8"/>
      <c r="AO15" s="148"/>
      <c r="AP15" s="69"/>
      <c r="AQ15" s="8"/>
      <c r="AR15" s="8"/>
      <c r="AS15" s="7"/>
      <c r="AT15" s="7"/>
      <c r="AU15" s="8"/>
      <c r="AV15" s="8"/>
      <c r="AW15" s="8"/>
      <c r="AX15" s="8"/>
      <c r="AY15" s="8"/>
      <c r="AZ15" s="7"/>
      <c r="BA15" s="7"/>
      <c r="BB15" s="8"/>
      <c r="BC15" s="8"/>
      <c r="BD15" s="8"/>
      <c r="BE15" s="8"/>
      <c r="BF15" s="8"/>
      <c r="BG15" s="7"/>
      <c r="BH15" s="7"/>
      <c r="BI15" s="66" t="s">
        <v>3</v>
      </c>
      <c r="BJ15" s="69"/>
      <c r="BK15" s="8"/>
      <c r="BL15" s="8"/>
      <c r="BM15" s="8"/>
      <c r="BN15" s="7"/>
      <c r="BO15" s="7"/>
      <c r="BP15" s="8"/>
      <c r="BQ15" s="8"/>
      <c r="BR15" s="8"/>
      <c r="BS15" s="8"/>
      <c r="BT15" s="148"/>
      <c r="BU15" s="7"/>
      <c r="BV15" s="7"/>
      <c r="BW15" s="8"/>
      <c r="BX15" s="8"/>
      <c r="BY15" s="8"/>
      <c r="BZ15" s="8"/>
      <c r="CA15" s="8"/>
      <c r="CB15" s="7"/>
      <c r="CC15" s="7"/>
      <c r="CD15" s="8"/>
      <c r="CE15" s="8"/>
      <c r="CF15" s="8"/>
      <c r="CG15" s="8"/>
      <c r="CH15" s="8"/>
      <c r="CI15" s="7"/>
      <c r="CJ15" s="7"/>
      <c r="CK15" s="8"/>
      <c r="CL15" s="8"/>
      <c r="CM15" s="8"/>
      <c r="CN15" s="69"/>
      <c r="CO15" s="8"/>
      <c r="CP15" s="7"/>
      <c r="CQ15" s="7"/>
      <c r="CR15" s="8"/>
      <c r="CS15" s="8"/>
      <c r="CT15" s="8"/>
      <c r="CU15" s="8"/>
      <c r="CV15" s="8"/>
      <c r="CW15" s="7"/>
      <c r="CX15" s="7"/>
      <c r="CY15" s="28"/>
      <c r="CZ15" s="8"/>
      <c r="DA15" s="8"/>
      <c r="DB15" s="8"/>
      <c r="DC15" s="8"/>
      <c r="DD15" s="7"/>
      <c r="DE15" s="7"/>
      <c r="DF15" s="8"/>
      <c r="DG15" s="8"/>
      <c r="DH15" s="8"/>
      <c r="DI15" s="8"/>
      <c r="DJ15" s="8"/>
      <c r="DK15" s="7"/>
      <c r="DL15" s="7"/>
      <c r="DM15" s="66" t="s">
        <v>1</v>
      </c>
      <c r="DN15" s="69"/>
      <c r="DO15" s="66" t="s">
        <v>1</v>
      </c>
      <c r="DP15" s="66" t="s">
        <v>1</v>
      </c>
      <c r="DQ15" s="66" t="s">
        <v>1</v>
      </c>
      <c r="DR15" s="7"/>
      <c r="DS15" s="7"/>
      <c r="DT15" s="8"/>
      <c r="DU15" s="8"/>
      <c r="DV15" s="8"/>
      <c r="DW15" s="8"/>
      <c r="DX15" s="8"/>
      <c r="DY15" s="7"/>
      <c r="DZ15" s="7"/>
      <c r="EA15" s="8"/>
      <c r="EB15" s="8"/>
      <c r="EC15" s="148"/>
      <c r="ED15" s="28"/>
      <c r="EE15" s="8"/>
      <c r="EF15" s="7"/>
      <c r="EG15" s="7"/>
      <c r="EH15" s="8"/>
      <c r="EI15" s="8"/>
      <c r="EJ15" s="8"/>
      <c r="EK15" s="8"/>
      <c r="EL15" s="8"/>
      <c r="EM15" s="7"/>
      <c r="EN15" s="7"/>
      <c r="EO15" s="8"/>
      <c r="EP15" s="8"/>
      <c r="EQ15" s="8"/>
      <c r="ER15" s="69"/>
      <c r="ES15" s="8"/>
      <c r="ET15" s="7"/>
      <c r="EU15" s="7"/>
      <c r="EV15" s="8"/>
      <c r="EW15" s="8"/>
      <c r="EX15" s="8"/>
      <c r="EY15" s="8"/>
      <c r="EZ15" s="8"/>
      <c r="FA15" s="7"/>
      <c r="FB15" s="7"/>
      <c r="FC15" s="8"/>
      <c r="FD15" s="8"/>
      <c r="FE15" s="8"/>
      <c r="FF15" s="8"/>
      <c r="FG15" s="8"/>
      <c r="FH15" s="184"/>
      <c r="FI15" s="55"/>
      <c r="FJ15" s="8"/>
      <c r="FK15" s="8"/>
      <c r="FL15" s="8"/>
      <c r="FM15" s="8"/>
      <c r="FN15" s="8"/>
      <c r="FO15" s="7"/>
      <c r="FP15" s="7"/>
      <c r="FQ15" s="8"/>
      <c r="FR15" s="8"/>
      <c r="FS15" s="8"/>
      <c r="FT15" s="8"/>
      <c r="FU15" s="8"/>
      <c r="FV15" s="7"/>
      <c r="FW15" s="7"/>
      <c r="FX15" s="66" t="s">
        <v>1</v>
      </c>
      <c r="FY15" s="66" t="s">
        <v>1</v>
      </c>
      <c r="FZ15" s="69"/>
      <c r="GA15" s="69"/>
      <c r="GB15" s="69"/>
      <c r="GC15" s="7"/>
      <c r="GD15" s="7"/>
      <c r="GE15" s="8"/>
      <c r="GF15" s="8"/>
      <c r="GG15" s="8"/>
      <c r="GH15" s="8"/>
      <c r="GI15" s="8"/>
      <c r="GJ15" s="7"/>
      <c r="GK15" s="7"/>
      <c r="GL15" s="148"/>
      <c r="GM15" s="28"/>
      <c r="GN15" s="8"/>
      <c r="GO15" s="8"/>
      <c r="GP15" s="8"/>
      <c r="GQ15" s="7"/>
      <c r="GR15" s="7"/>
      <c r="GS15" s="8"/>
      <c r="GT15" s="8"/>
      <c r="GU15" s="8"/>
      <c r="GV15" s="8"/>
      <c r="GW15" s="8"/>
      <c r="GX15" s="7"/>
      <c r="GY15" s="7"/>
      <c r="GZ15" s="8"/>
      <c r="HA15" s="8"/>
      <c r="HB15" s="8"/>
      <c r="HC15" s="8"/>
      <c r="HD15" s="8"/>
      <c r="HE15" s="7"/>
      <c r="HF15" s="7"/>
      <c r="HG15" s="8"/>
      <c r="HH15" s="8"/>
      <c r="HI15" s="8"/>
      <c r="HJ15" s="8"/>
      <c r="HK15" s="8"/>
      <c r="HL15" s="7"/>
      <c r="HM15" s="7"/>
      <c r="HN15" s="8"/>
      <c r="HO15" s="8"/>
      <c r="HP15" s="8"/>
      <c r="HQ15" s="69"/>
      <c r="HR15" s="69"/>
      <c r="HS15" s="7"/>
      <c r="HT15" s="7"/>
      <c r="HU15" s="8"/>
      <c r="HV15" s="8"/>
      <c r="HW15" s="8"/>
      <c r="HX15" s="8"/>
      <c r="HY15" s="8"/>
      <c r="HZ15" s="7"/>
      <c r="IA15" s="7"/>
      <c r="IB15" s="8"/>
      <c r="IC15" s="8"/>
      <c r="ID15" s="8"/>
      <c r="IE15" s="8"/>
      <c r="IF15" s="8"/>
      <c r="IG15" s="7"/>
      <c r="IH15" s="7"/>
      <c r="II15" s="8"/>
      <c r="IJ15" s="8"/>
      <c r="IK15" s="8"/>
      <c r="IL15" s="8"/>
      <c r="IM15" s="8"/>
      <c r="IN15" s="7"/>
      <c r="IO15" s="7"/>
      <c r="IP15" s="8"/>
      <c r="IQ15" s="8"/>
      <c r="IR15" s="8"/>
      <c r="IS15" s="8"/>
      <c r="IT15" s="8"/>
      <c r="IU15" s="184"/>
      <c r="IV15" s="55"/>
      <c r="IW15" s="8"/>
      <c r="IX15" s="8"/>
      <c r="IY15" s="8"/>
      <c r="IZ15" s="8"/>
      <c r="JA15" s="8"/>
      <c r="JB15" s="7"/>
      <c r="JC15" s="7"/>
      <c r="JD15" s="8"/>
      <c r="JE15" s="8"/>
      <c r="JF15" s="8"/>
      <c r="JG15" s="8"/>
      <c r="JH15" s="8"/>
      <c r="JI15" s="7"/>
      <c r="JJ15" s="7"/>
      <c r="JK15" s="8"/>
      <c r="JL15" s="8"/>
      <c r="JM15" s="8"/>
      <c r="JN15" s="8"/>
      <c r="JO15" s="8"/>
      <c r="JP15" s="7"/>
      <c r="JQ15" s="7"/>
      <c r="JR15" s="66" t="s">
        <v>3</v>
      </c>
      <c r="JS15" s="66" t="s">
        <v>3</v>
      </c>
      <c r="JT15" s="69"/>
      <c r="JU15" s="8"/>
      <c r="JV15" s="8"/>
      <c r="JW15" s="7"/>
      <c r="JX15" s="7"/>
      <c r="JY15" s="8"/>
      <c r="JZ15" s="148"/>
      <c r="KA15" s="69"/>
      <c r="KB15" s="8"/>
      <c r="KC15" s="8"/>
      <c r="KD15" s="7"/>
      <c r="KE15" s="7"/>
      <c r="KF15" s="8"/>
      <c r="KG15" s="8"/>
      <c r="KH15" s="8"/>
      <c r="KI15" s="8"/>
      <c r="KJ15" s="8"/>
      <c r="KK15" s="7"/>
      <c r="KL15" s="7"/>
      <c r="KM15" s="8"/>
      <c r="KN15" s="8"/>
      <c r="KO15" s="8"/>
      <c r="KP15" s="8"/>
      <c r="KQ15" s="8"/>
      <c r="KR15" s="7"/>
      <c r="KS15" s="7"/>
      <c r="KT15" s="8"/>
      <c r="KU15" s="8"/>
      <c r="KV15" s="8"/>
      <c r="KW15" s="8"/>
      <c r="KX15" s="8"/>
      <c r="KY15" s="7"/>
      <c r="KZ15" s="7"/>
      <c r="LA15" s="8"/>
      <c r="LB15" s="8"/>
      <c r="LC15" s="8"/>
      <c r="LD15" s="8"/>
      <c r="LE15" s="58"/>
      <c r="LF15" s="329"/>
      <c r="LG15" s="151"/>
      <c r="LH15" s="150"/>
      <c r="LI15" s="150"/>
      <c r="LJ15" s="150"/>
      <c r="LK15" s="150"/>
      <c r="LL15" s="150"/>
      <c r="LM15" s="151"/>
      <c r="LN15" s="151"/>
      <c r="LO15" s="150"/>
      <c r="LP15" s="150"/>
      <c r="LQ15" s="150"/>
      <c r="LR15" s="150"/>
      <c r="LS15" s="150"/>
      <c r="LT15" s="151"/>
      <c r="LU15" s="151"/>
      <c r="LV15" s="330" t="s">
        <v>1</v>
      </c>
      <c r="LW15" s="330" t="s">
        <v>1</v>
      </c>
      <c r="LX15" s="330" t="s">
        <v>1</v>
      </c>
      <c r="LY15" s="330" t="s">
        <v>1</v>
      </c>
      <c r="LZ15" s="330" t="s">
        <v>1</v>
      </c>
      <c r="MA15" s="151"/>
      <c r="MB15" s="151"/>
      <c r="MC15" s="330" t="s">
        <v>1</v>
      </c>
      <c r="MD15" s="330" t="s">
        <v>1</v>
      </c>
      <c r="ME15" s="330" t="s">
        <v>1</v>
      </c>
      <c r="MF15" s="330" t="s">
        <v>1</v>
      </c>
      <c r="MG15" s="331" t="s">
        <v>1</v>
      </c>
      <c r="MH15" s="329"/>
      <c r="MI15" s="151"/>
      <c r="MJ15" s="348" t="s">
        <v>5</v>
      </c>
      <c r="MK15" s="150"/>
      <c r="ML15" s="150"/>
      <c r="MM15" s="150"/>
      <c r="MN15" s="150"/>
      <c r="MO15" s="151"/>
      <c r="MP15" s="151"/>
      <c r="MQ15" s="150"/>
      <c r="MR15" s="150"/>
      <c r="MS15" s="150"/>
      <c r="MT15" s="150"/>
      <c r="MU15" s="150"/>
      <c r="MV15" s="151"/>
      <c r="MW15" s="151"/>
      <c r="MX15" s="150"/>
      <c r="MY15" s="150"/>
      <c r="MZ15" s="150"/>
      <c r="NA15" s="150"/>
      <c r="NB15" s="150"/>
      <c r="NC15" s="151"/>
      <c r="ND15" s="151"/>
      <c r="NE15" s="150"/>
      <c r="NF15" s="150"/>
      <c r="NG15" s="150"/>
      <c r="NH15" s="150"/>
      <c r="NI15" s="150"/>
      <c r="NJ15" s="151"/>
      <c r="NK15" s="151"/>
      <c r="NL15" s="152"/>
    </row>
    <row r="16" spans="1:376" customFormat="1" ht="15.75" hidden="1" customHeight="1">
      <c r="A16" s="1"/>
      <c r="B16" s="278" t="s">
        <v>99</v>
      </c>
      <c r="C16" s="278" t="s">
        <v>30</v>
      </c>
      <c r="D16" s="278" t="s">
        <v>98</v>
      </c>
      <c r="E16" s="37">
        <v>0</v>
      </c>
      <c r="F16" s="29">
        <v>23</v>
      </c>
      <c r="G16" s="29">
        <v>0</v>
      </c>
      <c r="H16" s="29">
        <f t="shared" si="0"/>
        <v>23</v>
      </c>
      <c r="I16" s="30">
        <f t="shared" si="1"/>
        <v>0</v>
      </c>
      <c r="J16" s="30">
        <f t="shared" si="2"/>
        <v>0</v>
      </c>
      <c r="K16" s="71">
        <f t="shared" si="3"/>
        <v>0</v>
      </c>
      <c r="L16" s="8"/>
      <c r="M16" s="8"/>
      <c r="N16" s="8"/>
      <c r="O16" s="8"/>
      <c r="P16" s="8"/>
      <c r="Q16" s="7"/>
      <c r="R16" s="7"/>
      <c r="S16" s="8"/>
      <c r="T16" s="8"/>
      <c r="U16" s="8"/>
      <c r="V16" s="8"/>
      <c r="W16" s="8"/>
      <c r="X16" s="7"/>
      <c r="Y16" s="7"/>
      <c r="Z16" s="8"/>
      <c r="AA16" s="8"/>
      <c r="AB16" s="8"/>
      <c r="AC16" s="8"/>
      <c r="AD16" s="8"/>
      <c r="AE16" s="7"/>
      <c r="AF16" s="7"/>
      <c r="AG16" s="8"/>
      <c r="AH16" s="8"/>
      <c r="AI16" s="8"/>
      <c r="AJ16" s="8"/>
      <c r="AK16" s="8"/>
      <c r="AL16" s="7"/>
      <c r="AM16" s="7"/>
      <c r="AN16" s="8"/>
      <c r="AO16" s="148"/>
      <c r="AP16" s="69"/>
      <c r="AQ16" s="8"/>
      <c r="AR16" s="8"/>
      <c r="AS16" s="7"/>
      <c r="AT16" s="7"/>
      <c r="AU16" s="8"/>
      <c r="AV16" s="8"/>
      <c r="AW16" s="8"/>
      <c r="AX16" s="8"/>
      <c r="AY16" s="8"/>
      <c r="AZ16" s="7"/>
      <c r="BA16" s="7"/>
      <c r="BB16" s="8"/>
      <c r="BC16" s="8"/>
      <c r="BD16" s="8"/>
      <c r="BE16" s="32"/>
      <c r="BF16" s="32"/>
      <c r="BG16" s="32"/>
      <c r="BH16" s="32"/>
      <c r="BI16" s="32"/>
      <c r="BJ16" s="247"/>
      <c r="BK16" s="32"/>
      <c r="BL16" s="32"/>
      <c r="BM16" s="32"/>
      <c r="BN16" s="32"/>
      <c r="BO16" s="32"/>
      <c r="BP16" s="32"/>
      <c r="BQ16" s="32"/>
      <c r="BR16" s="32"/>
      <c r="BS16" s="32"/>
      <c r="BT16" s="245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247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277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247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245"/>
      <c r="ED16" s="277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247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245"/>
      <c r="FI16" s="277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247"/>
      <c r="GA16" s="247"/>
      <c r="GB16" s="247"/>
      <c r="GC16" s="32"/>
      <c r="GD16" s="32"/>
      <c r="GE16" s="32"/>
      <c r="GF16" s="32"/>
      <c r="GG16" s="32"/>
      <c r="GH16" s="32"/>
      <c r="GI16" s="32"/>
      <c r="GJ16" s="32"/>
      <c r="GK16" s="32"/>
      <c r="GL16" s="245"/>
      <c r="GM16" s="277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247"/>
      <c r="HR16" s="247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245"/>
      <c r="IV16" s="277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247"/>
      <c r="JU16" s="32"/>
      <c r="JV16" s="32"/>
      <c r="JW16" s="32"/>
      <c r="JX16" s="32"/>
      <c r="JY16" s="32"/>
      <c r="JZ16" s="245"/>
      <c r="KA16" s="247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245"/>
      <c r="LF16" s="327"/>
      <c r="LG16" s="327"/>
      <c r="LH16" s="327"/>
      <c r="LI16" s="327"/>
      <c r="LJ16" s="327"/>
      <c r="LK16" s="327"/>
      <c r="LL16" s="327"/>
      <c r="LM16" s="327"/>
      <c r="LN16" s="327"/>
      <c r="LO16" s="327"/>
      <c r="LP16" s="327"/>
      <c r="LQ16" s="327"/>
      <c r="LR16" s="327"/>
      <c r="LS16" s="327"/>
      <c r="LT16" s="327"/>
      <c r="LU16" s="327"/>
      <c r="LV16" s="327"/>
      <c r="LW16" s="327"/>
      <c r="LX16" s="327"/>
      <c r="LY16" s="327"/>
      <c r="LZ16" s="327"/>
      <c r="MA16" s="327"/>
      <c r="MB16" s="327"/>
      <c r="MC16" s="327"/>
      <c r="MD16" s="327"/>
      <c r="ME16" s="327"/>
      <c r="MF16" s="327"/>
      <c r="MG16" s="327"/>
      <c r="MH16" s="344"/>
      <c r="MI16" s="327"/>
      <c r="MJ16" s="327"/>
      <c r="MK16" s="327"/>
      <c r="ML16" s="327"/>
      <c r="MM16" s="327"/>
      <c r="MN16" s="327"/>
      <c r="MO16" s="327"/>
      <c r="MP16" s="327"/>
      <c r="MQ16" s="327"/>
      <c r="MR16" s="327"/>
      <c r="MS16" s="327"/>
      <c r="MT16" s="327"/>
      <c r="MU16" s="327"/>
      <c r="MV16" s="327"/>
      <c r="MW16" s="327"/>
      <c r="MX16" s="327"/>
      <c r="MY16" s="327"/>
      <c r="MZ16" s="327"/>
      <c r="NA16" s="327"/>
      <c r="NB16" s="327"/>
      <c r="NC16" s="327"/>
      <c r="ND16" s="327"/>
      <c r="NE16" s="327"/>
      <c r="NF16" s="327"/>
      <c r="NG16" s="327"/>
      <c r="NH16" s="327"/>
      <c r="NI16" s="327"/>
      <c r="NJ16" s="327"/>
      <c r="NK16" s="327"/>
      <c r="NL16" s="345"/>
    </row>
    <row r="17" spans="1:376" customFormat="1" ht="15.75" hidden="1" customHeight="1" thickBot="1">
      <c r="A17" s="1"/>
      <c r="B17" s="278" t="s">
        <v>100</v>
      </c>
      <c r="C17" s="278" t="s">
        <v>30</v>
      </c>
      <c r="D17" s="278" t="s">
        <v>98</v>
      </c>
      <c r="E17" s="37">
        <v>0</v>
      </c>
      <c r="F17" s="29">
        <v>23</v>
      </c>
      <c r="G17" s="29">
        <v>0</v>
      </c>
      <c r="H17" s="29">
        <f t="shared" si="0"/>
        <v>23</v>
      </c>
      <c r="I17" s="30">
        <f t="shared" si="1"/>
        <v>0</v>
      </c>
      <c r="J17" s="30">
        <f t="shared" si="2"/>
        <v>0</v>
      </c>
      <c r="K17" s="71">
        <f t="shared" si="3"/>
        <v>0</v>
      </c>
      <c r="L17" s="8"/>
      <c r="M17" s="8"/>
      <c r="N17" s="8"/>
      <c r="O17" s="8"/>
      <c r="P17" s="8"/>
      <c r="Q17" s="7"/>
      <c r="R17" s="7"/>
      <c r="S17" s="8"/>
      <c r="T17" s="8"/>
      <c r="U17" s="8"/>
      <c r="V17" s="8"/>
      <c r="W17" s="8"/>
      <c r="X17" s="7"/>
      <c r="Y17" s="7"/>
      <c r="Z17" s="8"/>
      <c r="AA17" s="8"/>
      <c r="AB17" s="8"/>
      <c r="AC17" s="8"/>
      <c r="AD17" s="8"/>
      <c r="AE17" s="7"/>
      <c r="AF17" s="7"/>
      <c r="AG17" s="8"/>
      <c r="AH17" s="8"/>
      <c r="AI17" s="8"/>
      <c r="AJ17" s="8"/>
      <c r="AK17" s="8"/>
      <c r="AL17" s="7"/>
      <c r="AM17" s="7"/>
      <c r="AN17" s="8"/>
      <c r="AO17" s="148"/>
      <c r="AP17" s="69"/>
      <c r="AQ17" s="8"/>
      <c r="AR17" s="8"/>
      <c r="AS17" s="7"/>
      <c r="AT17" s="7"/>
      <c r="AU17" s="8"/>
      <c r="AV17" s="8"/>
      <c r="AW17" s="8"/>
      <c r="AX17" s="8"/>
      <c r="AY17" s="8"/>
      <c r="AZ17" s="7"/>
      <c r="BA17" s="7"/>
      <c r="BB17" s="8"/>
      <c r="BC17" s="8"/>
      <c r="BD17" s="8"/>
      <c r="BE17" s="32"/>
      <c r="BF17" s="32"/>
      <c r="BG17" s="32"/>
      <c r="BH17" s="32"/>
      <c r="BI17" s="32"/>
      <c r="BJ17" s="247"/>
      <c r="BK17" s="32"/>
      <c r="BL17" s="32"/>
      <c r="BM17" s="32"/>
      <c r="BN17" s="32"/>
      <c r="BO17" s="32"/>
      <c r="BP17" s="32"/>
      <c r="BQ17" s="32"/>
      <c r="BR17" s="32"/>
      <c r="BS17" s="32"/>
      <c r="BT17" s="245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247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277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247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245"/>
      <c r="ED17" s="277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247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245"/>
      <c r="FI17" s="277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247"/>
      <c r="GA17" s="247"/>
      <c r="GB17" s="247"/>
      <c r="GC17" s="32"/>
      <c r="GD17" s="32"/>
      <c r="GE17" s="32"/>
      <c r="GF17" s="32"/>
      <c r="GG17" s="32"/>
      <c r="GH17" s="32"/>
      <c r="GI17" s="32"/>
      <c r="GJ17" s="32"/>
      <c r="GK17" s="32"/>
      <c r="GL17" s="245"/>
      <c r="GM17" s="277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247"/>
      <c r="HR17" s="247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245"/>
      <c r="IV17" s="277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247"/>
      <c r="JU17" s="32"/>
      <c r="JV17" s="32"/>
      <c r="JW17" s="32"/>
      <c r="JX17" s="32"/>
      <c r="JY17" s="32"/>
      <c r="JZ17" s="245"/>
      <c r="KA17" s="247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245"/>
      <c r="LF17" s="326"/>
      <c r="LG17" s="326"/>
      <c r="LH17" s="326"/>
      <c r="LI17" s="326"/>
      <c r="LJ17" s="326"/>
      <c r="LK17" s="326"/>
      <c r="LL17" s="326"/>
      <c r="LM17" s="326"/>
      <c r="LN17" s="326"/>
      <c r="LO17" s="326"/>
      <c r="LP17" s="326"/>
      <c r="LQ17" s="326"/>
      <c r="LR17" s="326"/>
      <c r="LS17" s="326"/>
      <c r="LT17" s="326"/>
      <c r="LU17" s="326"/>
      <c r="LV17" s="326"/>
      <c r="LW17" s="326"/>
      <c r="LX17" s="326"/>
      <c r="LY17" s="326"/>
      <c r="LZ17" s="326"/>
      <c r="MA17" s="326"/>
      <c r="MB17" s="326"/>
      <c r="MC17" s="326"/>
      <c r="MD17" s="326"/>
      <c r="ME17" s="326"/>
      <c r="MF17" s="326"/>
      <c r="MG17" s="326"/>
      <c r="MH17" s="342"/>
      <c r="MI17" s="326"/>
      <c r="MJ17" s="326"/>
      <c r="MK17" s="326"/>
      <c r="ML17" s="326"/>
      <c r="MM17" s="326"/>
      <c r="MN17" s="326"/>
      <c r="MO17" s="326"/>
      <c r="MP17" s="326"/>
      <c r="MQ17" s="326"/>
      <c r="MR17" s="326"/>
      <c r="MS17" s="326"/>
      <c r="MT17" s="326"/>
      <c r="MU17" s="326"/>
      <c r="MV17" s="326"/>
      <c r="MW17" s="326"/>
      <c r="MX17" s="326"/>
      <c r="MY17" s="326"/>
      <c r="MZ17" s="326"/>
      <c r="NA17" s="326"/>
      <c r="NB17" s="326"/>
      <c r="NC17" s="326"/>
      <c r="ND17" s="326"/>
      <c r="NE17" s="326"/>
      <c r="NF17" s="326"/>
      <c r="NG17" s="326"/>
      <c r="NH17" s="326"/>
      <c r="NI17" s="326"/>
      <c r="NJ17" s="326"/>
      <c r="NK17" s="326"/>
      <c r="NL17" s="343"/>
    </row>
    <row r="18" spans="1:376" customFormat="1" ht="15.75" customHeight="1" thickBot="1">
      <c r="A18" s="1"/>
      <c r="B18" s="29" t="s">
        <v>32</v>
      </c>
      <c r="C18" s="29" t="s">
        <v>30</v>
      </c>
      <c r="D18" s="29" t="s">
        <v>31</v>
      </c>
      <c r="E18" s="37">
        <v>0</v>
      </c>
      <c r="F18" s="29">
        <v>15</v>
      </c>
      <c r="G18" s="29">
        <v>3</v>
      </c>
      <c r="H18" s="29">
        <f t="shared" si="0"/>
        <v>0</v>
      </c>
      <c r="I18" s="30">
        <f t="shared" si="1"/>
        <v>0</v>
      </c>
      <c r="J18" s="30">
        <f t="shared" si="2"/>
        <v>0</v>
      </c>
      <c r="K18" s="71">
        <f t="shared" si="3"/>
        <v>2</v>
      </c>
      <c r="L18" s="8"/>
      <c r="M18" s="8"/>
      <c r="N18" s="8"/>
      <c r="O18" s="8"/>
      <c r="P18" s="8"/>
      <c r="Q18" s="7"/>
      <c r="R18" s="7"/>
      <c r="S18" s="8"/>
      <c r="T18" s="8"/>
      <c r="U18" s="8"/>
      <c r="V18" s="8"/>
      <c r="W18" s="8"/>
      <c r="X18" s="7"/>
      <c r="Y18" s="7"/>
      <c r="Z18" s="8"/>
      <c r="AA18" s="8"/>
      <c r="AB18" s="8"/>
      <c r="AC18" s="8"/>
      <c r="AD18" s="8"/>
      <c r="AE18" s="7"/>
      <c r="AF18" s="7"/>
      <c r="AG18" s="8"/>
      <c r="AH18" s="8"/>
      <c r="AI18" s="8"/>
      <c r="AJ18" s="8"/>
      <c r="AK18" s="8"/>
      <c r="AL18" s="7"/>
      <c r="AM18" s="7"/>
      <c r="AN18" s="8"/>
      <c r="AO18" s="148"/>
      <c r="AP18" s="69"/>
      <c r="AQ18" s="8"/>
      <c r="AR18" s="8"/>
      <c r="AS18" s="7"/>
      <c r="AT18" s="7"/>
      <c r="AU18" s="8"/>
      <c r="AV18" s="8"/>
      <c r="AW18" s="8"/>
      <c r="AX18" s="8"/>
      <c r="AY18" s="8"/>
      <c r="AZ18" s="7"/>
      <c r="BA18" s="7"/>
      <c r="BB18" s="8"/>
      <c r="BC18" s="8"/>
      <c r="BD18" s="8"/>
      <c r="BE18" s="8"/>
      <c r="BF18" s="8"/>
      <c r="BG18" s="7"/>
      <c r="BH18" s="7"/>
      <c r="BI18" s="66" t="s">
        <v>3</v>
      </c>
      <c r="BJ18" s="69"/>
      <c r="BK18" s="8"/>
      <c r="BL18" s="8"/>
      <c r="BM18" s="8"/>
      <c r="BN18" s="7"/>
      <c r="BO18" s="7"/>
      <c r="BP18" s="8"/>
      <c r="BQ18" s="8"/>
      <c r="BR18" s="8"/>
      <c r="BS18" s="68" t="s">
        <v>7</v>
      </c>
      <c r="BT18" s="68" t="s">
        <v>7</v>
      </c>
      <c r="BU18" s="7"/>
      <c r="BV18" s="7"/>
      <c r="BW18" s="8"/>
      <c r="BX18" s="8"/>
      <c r="BY18" s="8"/>
      <c r="BZ18" s="8"/>
      <c r="CA18" s="8"/>
      <c r="CB18" s="7"/>
      <c r="CC18" s="7"/>
      <c r="CD18" s="8"/>
      <c r="CE18" s="8"/>
      <c r="CF18" s="8"/>
      <c r="CG18" s="8"/>
      <c r="CH18" s="8"/>
      <c r="CI18" s="7"/>
      <c r="CJ18" s="7"/>
      <c r="CK18" s="8"/>
      <c r="CL18" s="8"/>
      <c r="CM18" s="8"/>
      <c r="CN18" s="69"/>
      <c r="CO18" s="8"/>
      <c r="CP18" s="7"/>
      <c r="CQ18" s="7"/>
      <c r="CR18" s="8"/>
      <c r="CS18" s="8"/>
      <c r="CT18" s="8"/>
      <c r="CU18" s="8"/>
      <c r="CV18" s="8"/>
      <c r="CW18" s="7"/>
      <c r="CX18" s="7"/>
      <c r="CY18" s="28"/>
      <c r="CZ18" s="8"/>
      <c r="DA18" s="8"/>
      <c r="DB18" s="8"/>
      <c r="DC18" s="8"/>
      <c r="DD18" s="7"/>
      <c r="DE18" s="7"/>
      <c r="DF18" s="8"/>
      <c r="DG18" s="8"/>
      <c r="DH18" s="8"/>
      <c r="DI18" s="8"/>
      <c r="DJ18" s="8"/>
      <c r="DK18" s="7"/>
      <c r="DL18" s="7"/>
      <c r="DM18" s="8"/>
      <c r="DN18" s="69"/>
      <c r="DO18" s="8"/>
      <c r="DP18" s="8"/>
      <c r="DQ18" s="8"/>
      <c r="DR18" s="7"/>
      <c r="DS18" s="7"/>
      <c r="DT18" s="8"/>
      <c r="DU18" s="8"/>
      <c r="DV18" s="8"/>
      <c r="DW18" s="8"/>
      <c r="DX18" s="8"/>
      <c r="DY18" s="7"/>
      <c r="DZ18" s="7"/>
      <c r="EA18" s="8"/>
      <c r="EB18" s="8"/>
      <c r="EC18" s="148"/>
      <c r="ED18" s="28"/>
      <c r="EE18" s="8"/>
      <c r="EF18" s="7"/>
      <c r="EG18" s="7"/>
      <c r="EH18" s="8"/>
      <c r="EI18" s="8"/>
      <c r="EJ18" s="8"/>
      <c r="EK18" s="8"/>
      <c r="EL18" s="8"/>
      <c r="EM18" s="7"/>
      <c r="EN18" s="7"/>
      <c r="EO18" s="8"/>
      <c r="EP18" s="8"/>
      <c r="EQ18" s="8"/>
      <c r="ER18" s="69"/>
      <c r="ES18" s="66" t="s">
        <v>3</v>
      </c>
      <c r="ET18" s="7"/>
      <c r="EU18" s="7"/>
      <c r="EV18" s="8"/>
      <c r="EW18" s="8"/>
      <c r="EX18" s="8"/>
      <c r="EY18" s="8"/>
      <c r="EZ18" s="8"/>
      <c r="FA18" s="7"/>
      <c r="FB18" s="7"/>
      <c r="FC18" s="8"/>
      <c r="FD18" s="8"/>
      <c r="FE18" s="8"/>
      <c r="FF18" s="8"/>
      <c r="FG18" s="8"/>
      <c r="FH18" s="184"/>
      <c r="FI18" s="55"/>
      <c r="FJ18" s="8"/>
      <c r="FK18" s="8"/>
      <c r="FL18" s="8"/>
      <c r="FM18" s="8"/>
      <c r="FN18" s="8"/>
      <c r="FO18" s="7"/>
      <c r="FP18" s="7"/>
      <c r="FQ18" s="8"/>
      <c r="FR18" s="8"/>
      <c r="FS18" s="8"/>
      <c r="FT18" s="8"/>
      <c r="FU18" s="8"/>
      <c r="FV18" s="7"/>
      <c r="FW18" s="7"/>
      <c r="FX18" s="8"/>
      <c r="FY18" s="8"/>
      <c r="FZ18" s="69"/>
      <c r="GA18" s="69"/>
      <c r="GB18" s="69"/>
      <c r="GC18" s="7"/>
      <c r="GD18" s="7"/>
      <c r="GE18" s="8"/>
      <c r="GF18" s="8"/>
      <c r="GG18" s="8"/>
      <c r="GH18" s="8"/>
      <c r="GI18" s="8"/>
      <c r="GJ18" s="7"/>
      <c r="GK18" s="7"/>
      <c r="GL18" s="148"/>
      <c r="GM18" s="28"/>
      <c r="GN18" s="8"/>
      <c r="GO18" s="8"/>
      <c r="GP18" s="8"/>
      <c r="GQ18" s="7"/>
      <c r="GR18" s="7"/>
      <c r="GS18" s="8"/>
      <c r="GT18" s="8"/>
      <c r="GU18" s="8"/>
      <c r="GV18" s="8"/>
      <c r="GW18" s="8"/>
      <c r="GX18" s="7"/>
      <c r="GY18" s="7"/>
      <c r="GZ18" s="66" t="s">
        <v>3</v>
      </c>
      <c r="HA18" s="8"/>
      <c r="HB18" s="8"/>
      <c r="HC18" s="8"/>
      <c r="HD18" s="8"/>
      <c r="HE18" s="7"/>
      <c r="HF18" s="7"/>
      <c r="HG18" s="8"/>
      <c r="HH18" s="8"/>
      <c r="HI18" s="8"/>
      <c r="HJ18" s="8"/>
      <c r="HK18" s="8"/>
      <c r="HL18" s="7"/>
      <c r="HM18" s="7"/>
      <c r="HN18" s="8"/>
      <c r="HO18" s="8"/>
      <c r="HP18" s="8"/>
      <c r="HQ18" s="69"/>
      <c r="HR18" s="69"/>
      <c r="HS18" s="7"/>
      <c r="HT18" s="7"/>
      <c r="HU18" s="8"/>
      <c r="HV18" s="8"/>
      <c r="HW18" s="8"/>
      <c r="HX18" s="8"/>
      <c r="HY18" s="8"/>
      <c r="HZ18" s="7"/>
      <c r="IA18" s="7"/>
      <c r="IB18" s="8"/>
      <c r="IC18" s="8"/>
      <c r="ID18" s="8"/>
      <c r="IE18" s="8"/>
      <c r="IF18" s="8"/>
      <c r="IG18" s="7"/>
      <c r="IH18" s="7"/>
      <c r="II18" s="8"/>
      <c r="IJ18" s="8"/>
      <c r="IK18" s="8"/>
      <c r="IL18" s="8"/>
      <c r="IM18" s="8"/>
      <c r="IN18" s="7"/>
      <c r="IO18" s="7"/>
      <c r="IP18" s="8"/>
      <c r="IQ18" s="8"/>
      <c r="IR18" s="8"/>
      <c r="IS18" s="8"/>
      <c r="IT18" s="8"/>
      <c r="IU18" s="184"/>
      <c r="IV18" s="55"/>
      <c r="IW18" s="8"/>
      <c r="IX18" s="8"/>
      <c r="IY18" s="8"/>
      <c r="IZ18" s="8"/>
      <c r="JA18" s="8"/>
      <c r="JB18" s="7"/>
      <c r="JC18" s="7"/>
      <c r="JD18" s="8"/>
      <c r="JE18" s="8"/>
      <c r="JF18" s="8"/>
      <c r="JG18" s="8"/>
      <c r="JH18" s="8"/>
      <c r="JI18" s="7"/>
      <c r="JJ18" s="7"/>
      <c r="JK18" s="8"/>
      <c r="JL18" s="8"/>
      <c r="JM18" s="8"/>
      <c r="JN18" s="8"/>
      <c r="JO18" s="8"/>
      <c r="JP18" s="7"/>
      <c r="JQ18" s="7"/>
      <c r="JR18" s="8"/>
      <c r="JS18" s="8"/>
      <c r="JT18" s="69"/>
      <c r="JU18" s="8"/>
      <c r="JV18" s="8"/>
      <c r="JW18" s="7"/>
      <c r="JX18" s="7"/>
      <c r="JY18" s="8"/>
      <c r="JZ18" s="148"/>
      <c r="KA18" s="69"/>
      <c r="KB18" s="8"/>
      <c r="KC18" s="8"/>
      <c r="KD18" s="7"/>
      <c r="KE18" s="7"/>
      <c r="KF18" s="8"/>
      <c r="KG18" s="8"/>
      <c r="KH18" s="8"/>
      <c r="KI18" s="8"/>
      <c r="KJ18" s="8"/>
      <c r="KK18" s="7"/>
      <c r="KL18" s="7"/>
      <c r="KM18" s="8"/>
      <c r="KN18" s="8"/>
      <c r="KO18" s="8"/>
      <c r="KP18" s="8"/>
      <c r="KQ18" s="8"/>
      <c r="KR18" s="7"/>
      <c r="KS18" s="7"/>
      <c r="KT18" s="8"/>
      <c r="KU18" s="8"/>
      <c r="KV18" s="8"/>
      <c r="KW18" s="8"/>
      <c r="KX18" s="8"/>
      <c r="KY18" s="7"/>
      <c r="KZ18" s="7"/>
      <c r="LA18" s="8"/>
      <c r="LB18" s="8"/>
      <c r="LC18" s="8"/>
      <c r="LD18" s="8"/>
      <c r="LE18" s="58"/>
      <c r="LF18" s="332"/>
      <c r="LG18" s="333"/>
      <c r="LH18" s="334" t="s">
        <v>1</v>
      </c>
      <c r="LI18" s="334" t="s">
        <v>1</v>
      </c>
      <c r="LJ18" s="334" t="s">
        <v>1</v>
      </c>
      <c r="LK18" s="334" t="s">
        <v>1</v>
      </c>
      <c r="LL18" s="334" t="s">
        <v>1</v>
      </c>
      <c r="LM18" s="333"/>
      <c r="LN18" s="333"/>
      <c r="LO18" s="334" t="s">
        <v>1</v>
      </c>
      <c r="LP18" s="334" t="s">
        <v>1</v>
      </c>
      <c r="LQ18" s="334" t="s">
        <v>1</v>
      </c>
      <c r="LR18" s="334" t="s">
        <v>1</v>
      </c>
      <c r="LS18" s="334" t="s">
        <v>1</v>
      </c>
      <c r="LT18" s="333"/>
      <c r="LU18" s="333"/>
      <c r="LV18" s="334" t="s">
        <v>1</v>
      </c>
      <c r="LW18" s="334" t="s">
        <v>1</v>
      </c>
      <c r="LX18" s="334" t="s">
        <v>1</v>
      </c>
      <c r="LY18" s="334" t="s">
        <v>1</v>
      </c>
      <c r="LZ18" s="334" t="s">
        <v>1</v>
      </c>
      <c r="MA18" s="333"/>
      <c r="MB18" s="333"/>
      <c r="MC18" s="335"/>
      <c r="MD18" s="335"/>
      <c r="ME18" s="335"/>
      <c r="MF18" s="335"/>
      <c r="MG18" s="336"/>
      <c r="MH18" s="332"/>
      <c r="MI18" s="333"/>
      <c r="MJ18" s="335"/>
      <c r="MK18" s="335"/>
      <c r="ML18" s="335"/>
      <c r="MM18" s="335"/>
      <c r="MN18" s="335"/>
      <c r="MO18" s="333"/>
      <c r="MP18" s="333"/>
      <c r="MQ18" s="335"/>
      <c r="MR18" s="335"/>
      <c r="MS18" s="335"/>
      <c r="MT18" s="335"/>
      <c r="MU18" s="335"/>
      <c r="MV18" s="333"/>
      <c r="MW18" s="333"/>
      <c r="MX18" s="335"/>
      <c r="MY18" s="335"/>
      <c r="MZ18" s="335"/>
      <c r="NA18" s="335"/>
      <c r="NB18" s="335"/>
      <c r="NC18" s="333"/>
      <c r="ND18" s="333"/>
      <c r="NE18" s="335"/>
      <c r="NF18" s="335"/>
      <c r="NG18" s="335"/>
      <c r="NH18" s="335"/>
      <c r="NI18" s="335"/>
      <c r="NJ18" s="333"/>
      <c r="NK18" s="333"/>
      <c r="NL18" s="336"/>
    </row>
    <row r="19" spans="1:376" customFormat="1" ht="15.75" hidden="1" customHeight="1" thickBot="1">
      <c r="A19" s="1"/>
      <c r="B19" s="278" t="s">
        <v>55</v>
      </c>
      <c r="C19" s="278" t="s">
        <v>30</v>
      </c>
      <c r="D19" s="278" t="s">
        <v>49</v>
      </c>
      <c r="E19" s="37">
        <v>0</v>
      </c>
      <c r="F19" s="29">
        <v>15</v>
      </c>
      <c r="G19" s="29">
        <v>3</v>
      </c>
      <c r="H19" s="29">
        <f t="shared" si="0"/>
        <v>15</v>
      </c>
      <c r="I19" s="30">
        <f t="shared" si="1"/>
        <v>3</v>
      </c>
      <c r="J19" s="30">
        <f t="shared" si="2"/>
        <v>0</v>
      </c>
      <c r="K19" s="71">
        <f t="shared" si="3"/>
        <v>30</v>
      </c>
      <c r="L19" s="8"/>
      <c r="M19" s="8"/>
      <c r="N19" s="8"/>
      <c r="O19" s="8"/>
      <c r="P19" s="8"/>
      <c r="Q19" s="7"/>
      <c r="R19" s="7"/>
      <c r="S19" s="8"/>
      <c r="T19" s="8"/>
      <c r="U19" s="8"/>
      <c r="V19" s="8"/>
      <c r="W19" s="8"/>
      <c r="X19" s="7"/>
      <c r="Y19" s="7"/>
      <c r="Z19" s="8"/>
      <c r="AA19" s="8"/>
      <c r="AB19" s="8"/>
      <c r="AC19" s="8"/>
      <c r="AD19" s="8"/>
      <c r="AE19" s="7"/>
      <c r="AF19" s="7"/>
      <c r="AG19" s="8"/>
      <c r="AH19" s="8"/>
      <c r="AI19" s="8"/>
      <c r="AJ19" s="8"/>
      <c r="AK19" s="8"/>
      <c r="AL19" s="7"/>
      <c r="AM19" s="7"/>
      <c r="AN19" s="8"/>
      <c r="AO19" s="148"/>
      <c r="AP19" s="69"/>
      <c r="AQ19" s="8"/>
      <c r="AR19" s="8"/>
      <c r="AS19" s="7"/>
      <c r="AT19" s="7"/>
      <c r="AU19" s="8"/>
      <c r="AV19" s="8"/>
      <c r="AW19" s="8"/>
      <c r="AX19" s="8"/>
      <c r="AY19" s="8"/>
      <c r="AZ19" s="7"/>
      <c r="BA19" s="7"/>
      <c r="BB19" s="8"/>
      <c r="BC19" s="8"/>
      <c r="BD19" s="8"/>
      <c r="BE19" s="8"/>
      <c r="BF19" s="68" t="s">
        <v>7</v>
      </c>
      <c r="BG19" s="7"/>
      <c r="BH19" s="7"/>
      <c r="BI19" s="68" t="s">
        <v>7</v>
      </c>
      <c r="BJ19" s="69"/>
      <c r="BK19" s="68" t="s">
        <v>7</v>
      </c>
      <c r="BL19" s="68" t="s">
        <v>7</v>
      </c>
      <c r="BM19" s="68" t="s">
        <v>7</v>
      </c>
      <c r="BN19" s="7"/>
      <c r="BO19" s="7"/>
      <c r="BP19" s="68" t="s">
        <v>7</v>
      </c>
      <c r="BQ19" s="68" t="s">
        <v>7</v>
      </c>
      <c r="BR19" s="68" t="s">
        <v>7</v>
      </c>
      <c r="BS19" s="68" t="s">
        <v>7</v>
      </c>
      <c r="BT19" s="68" t="s">
        <v>7</v>
      </c>
      <c r="BU19" s="7"/>
      <c r="BV19" s="7"/>
      <c r="BW19" s="68" t="s">
        <v>7</v>
      </c>
      <c r="BX19" s="68" t="s">
        <v>7</v>
      </c>
      <c r="BY19" s="68" t="s">
        <v>7</v>
      </c>
      <c r="BZ19" s="68" t="s">
        <v>7</v>
      </c>
      <c r="CA19" s="68" t="s">
        <v>7</v>
      </c>
      <c r="CB19" s="7"/>
      <c r="CC19" s="7"/>
      <c r="CD19" s="68" t="s">
        <v>7</v>
      </c>
      <c r="CE19" s="68" t="s">
        <v>7</v>
      </c>
      <c r="CF19" s="68" t="s">
        <v>7</v>
      </c>
      <c r="CG19" s="68" t="s">
        <v>7</v>
      </c>
      <c r="CH19" s="68" t="s">
        <v>7</v>
      </c>
      <c r="CI19" s="7"/>
      <c r="CJ19" s="7"/>
      <c r="CK19" s="68" t="s">
        <v>7</v>
      </c>
      <c r="CL19" s="68" t="s">
        <v>7</v>
      </c>
      <c r="CM19" s="68" t="s">
        <v>7</v>
      </c>
      <c r="CN19" s="69"/>
      <c r="CO19" s="68" t="s">
        <v>7</v>
      </c>
      <c r="CP19" s="7"/>
      <c r="CQ19" s="7"/>
      <c r="CR19" s="68" t="s">
        <v>7</v>
      </c>
      <c r="CS19" s="68" t="s">
        <v>7</v>
      </c>
      <c r="CT19" s="68" t="s">
        <v>7</v>
      </c>
      <c r="CU19" s="68" t="s">
        <v>7</v>
      </c>
      <c r="CV19" s="68" t="s">
        <v>7</v>
      </c>
      <c r="CW19" s="7"/>
      <c r="CX19" s="7"/>
      <c r="CY19" s="68" t="s">
        <v>7</v>
      </c>
      <c r="CZ19" s="8"/>
      <c r="DA19" s="8"/>
      <c r="DB19" s="8"/>
      <c r="DC19" s="8"/>
      <c r="DD19" s="7"/>
      <c r="DE19" s="7"/>
      <c r="DF19" s="8"/>
      <c r="DG19" s="8"/>
      <c r="DH19" s="8"/>
      <c r="DI19" s="8"/>
      <c r="DJ19" s="8"/>
      <c r="DK19" s="7"/>
      <c r="DL19" s="7"/>
      <c r="DM19" s="8"/>
      <c r="DN19" s="69"/>
      <c r="DO19" s="8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245"/>
      <c r="ED19" s="277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247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245"/>
      <c r="FI19" s="277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247"/>
      <c r="GA19" s="247"/>
      <c r="GB19" s="247"/>
      <c r="GC19" s="32"/>
      <c r="GD19" s="32"/>
      <c r="GE19" s="32"/>
      <c r="GF19" s="32"/>
      <c r="GG19" s="32"/>
      <c r="GH19" s="32"/>
      <c r="GI19" s="32"/>
      <c r="GJ19" s="32"/>
      <c r="GK19" s="32"/>
      <c r="GL19" s="245"/>
      <c r="GM19" s="277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247"/>
      <c r="HR19" s="247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245"/>
      <c r="IV19" s="277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247"/>
      <c r="JU19" s="32"/>
      <c r="JV19" s="32"/>
      <c r="JW19" s="32"/>
      <c r="JX19" s="32"/>
      <c r="JY19" s="32"/>
      <c r="JZ19" s="245"/>
      <c r="KA19" s="247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245"/>
      <c r="LF19" s="328"/>
      <c r="LG19" s="328"/>
      <c r="LH19" s="328"/>
      <c r="LI19" s="328"/>
      <c r="LJ19" s="328"/>
      <c r="LK19" s="328"/>
      <c r="LL19" s="328"/>
      <c r="LM19" s="328"/>
      <c r="LN19" s="328"/>
      <c r="LO19" s="328"/>
      <c r="LP19" s="328"/>
      <c r="LQ19" s="328"/>
      <c r="LR19" s="328"/>
      <c r="LS19" s="328"/>
      <c r="LT19" s="328"/>
      <c r="LU19" s="328"/>
      <c r="LV19" s="328"/>
      <c r="LW19" s="328"/>
      <c r="LX19" s="328"/>
      <c r="LY19" s="328"/>
      <c r="LZ19" s="328"/>
      <c r="MA19" s="328"/>
      <c r="MB19" s="328"/>
      <c r="MC19" s="328"/>
      <c r="MD19" s="328"/>
      <c r="ME19" s="328"/>
      <c r="MF19" s="328"/>
      <c r="MG19" s="328"/>
      <c r="MH19" s="346"/>
      <c r="MI19" s="328"/>
      <c r="MJ19" s="328"/>
      <c r="MK19" s="328"/>
      <c r="ML19" s="328"/>
      <c r="MM19" s="328"/>
      <c r="MN19" s="328"/>
      <c r="MO19" s="328"/>
      <c r="MP19" s="328"/>
      <c r="MQ19" s="328"/>
      <c r="MR19" s="328"/>
      <c r="MS19" s="328"/>
      <c r="MT19" s="328"/>
      <c r="MU19" s="328"/>
      <c r="MV19" s="328"/>
      <c r="MW19" s="328"/>
      <c r="MX19" s="328"/>
      <c r="MY19" s="328"/>
      <c r="MZ19" s="328"/>
      <c r="NA19" s="328"/>
      <c r="NB19" s="328"/>
      <c r="NC19" s="328"/>
      <c r="ND19" s="328"/>
      <c r="NE19" s="328"/>
      <c r="NF19" s="328"/>
      <c r="NG19" s="328"/>
      <c r="NH19" s="328"/>
      <c r="NI19" s="328"/>
      <c r="NJ19" s="328"/>
      <c r="NK19" s="328"/>
      <c r="NL19" s="347"/>
    </row>
    <row r="20" spans="1:376" customFormat="1" ht="15.75" customHeight="1">
      <c r="A20" s="1"/>
      <c r="B20" s="29" t="s">
        <v>111</v>
      </c>
      <c r="C20" s="29" t="s">
        <v>30</v>
      </c>
      <c r="D20" s="29" t="s">
        <v>31</v>
      </c>
      <c r="E20" s="37">
        <v>0</v>
      </c>
      <c r="F20" s="29">
        <v>15</v>
      </c>
      <c r="G20" s="29">
        <v>3</v>
      </c>
      <c r="H20" s="29">
        <f t="shared" ref="H20" si="4">E20+F20-COUNTIF(L20:NL20,$C$2)</f>
        <v>0</v>
      </c>
      <c r="I20" s="30">
        <f t="shared" ref="I20" si="5">G20-COUNTIF(L20:NL20,$C$3)</f>
        <v>3</v>
      </c>
      <c r="J20" s="30">
        <f t="shared" ref="J20" si="6">COUNTIF(K20:NG20,$C$4)</f>
        <v>0</v>
      </c>
      <c r="K20" s="71">
        <f t="shared" ref="K20" si="7">COUNTIF(L20:NL20,$C$5)</f>
        <v>23</v>
      </c>
      <c r="L20" s="32"/>
      <c r="M20" s="32"/>
      <c r="N20" s="32"/>
      <c r="O20" s="32"/>
      <c r="P20" s="32"/>
      <c r="Q20" s="34"/>
      <c r="R20" s="34"/>
      <c r="S20" s="32"/>
      <c r="T20" s="32"/>
      <c r="U20" s="32"/>
      <c r="V20" s="32"/>
      <c r="W20" s="32"/>
      <c r="X20" s="34"/>
      <c r="Y20" s="34"/>
      <c r="Z20" s="32"/>
      <c r="AA20" s="32"/>
      <c r="AB20" s="32"/>
      <c r="AC20" s="32"/>
      <c r="AD20" s="32"/>
      <c r="AE20" s="34"/>
      <c r="AF20" s="34"/>
      <c r="AG20" s="32"/>
      <c r="AH20" s="32"/>
      <c r="AI20" s="32"/>
      <c r="AJ20" s="32"/>
      <c r="AK20" s="32"/>
      <c r="AL20" s="34"/>
      <c r="AM20" s="34"/>
      <c r="AN20" s="32"/>
      <c r="AO20" s="245"/>
      <c r="AP20" s="247"/>
      <c r="AQ20" s="32"/>
      <c r="AR20" s="32"/>
      <c r="AS20" s="34"/>
      <c r="AT20" s="34"/>
      <c r="AU20" s="32"/>
      <c r="AV20" s="32"/>
      <c r="AW20" s="32"/>
      <c r="AX20" s="32"/>
      <c r="AY20" s="32"/>
      <c r="AZ20" s="34"/>
      <c r="BA20" s="34"/>
      <c r="BB20" s="32"/>
      <c r="BC20" s="32"/>
      <c r="BD20" s="32"/>
      <c r="BE20" s="32"/>
      <c r="BF20" s="283"/>
      <c r="BG20" s="34"/>
      <c r="BH20" s="34"/>
      <c r="BI20" s="283"/>
      <c r="BJ20" s="247"/>
      <c r="BK20" s="283"/>
      <c r="BL20" s="283"/>
      <c r="BM20" s="283"/>
      <c r="BN20" s="34"/>
      <c r="BO20" s="34"/>
      <c r="BP20" s="283"/>
      <c r="BQ20" s="283"/>
      <c r="BR20" s="283"/>
      <c r="BS20" s="283"/>
      <c r="BT20" s="283"/>
      <c r="BU20" s="34"/>
      <c r="BV20" s="34"/>
      <c r="BW20" s="283"/>
      <c r="BX20" s="283"/>
      <c r="BY20" s="283"/>
      <c r="BZ20" s="283"/>
      <c r="CA20" s="283"/>
      <c r="CB20" s="34"/>
      <c r="CC20" s="34"/>
      <c r="CD20" s="283"/>
      <c r="CE20" s="283"/>
      <c r="CF20" s="283"/>
      <c r="CG20" s="283"/>
      <c r="CH20" s="283"/>
      <c r="CI20" s="34"/>
      <c r="CJ20" s="34"/>
      <c r="CK20" s="283"/>
      <c r="CL20" s="283"/>
      <c r="CM20" s="283"/>
      <c r="CN20" s="247"/>
      <c r="CO20" s="283"/>
      <c r="CP20" s="34"/>
      <c r="CQ20" s="34"/>
      <c r="CR20" s="283"/>
      <c r="CS20" s="283"/>
      <c r="CT20" s="283"/>
      <c r="CU20" s="283"/>
      <c r="CV20" s="283"/>
      <c r="CW20" s="34"/>
      <c r="CX20" s="34"/>
      <c r="CY20" s="283"/>
      <c r="CZ20" s="32"/>
      <c r="DA20" s="32"/>
      <c r="DB20" s="32"/>
      <c r="DC20" s="32"/>
      <c r="DD20" s="34"/>
      <c r="DE20" s="34"/>
      <c r="DF20" s="32"/>
      <c r="DG20" s="32"/>
      <c r="DH20" s="32"/>
      <c r="DI20" s="32"/>
      <c r="DJ20" s="32"/>
      <c r="DK20" s="34"/>
      <c r="DL20" s="34"/>
      <c r="DM20" s="32"/>
      <c r="DN20" s="247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245"/>
      <c r="ED20" s="277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247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245"/>
      <c r="FI20" s="277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282"/>
      <c r="FY20" s="282"/>
      <c r="FZ20" s="247"/>
      <c r="GA20" s="247"/>
      <c r="GB20" s="247"/>
      <c r="GC20" s="32"/>
      <c r="GD20" s="32"/>
      <c r="GE20" s="32"/>
      <c r="GF20" s="32"/>
      <c r="GG20" s="32"/>
      <c r="GH20" s="32"/>
      <c r="GI20" s="32"/>
      <c r="GJ20" s="32"/>
      <c r="GK20" s="32"/>
      <c r="GL20" s="245"/>
      <c r="GM20" s="277"/>
      <c r="GN20" s="32"/>
      <c r="GO20" s="32"/>
      <c r="GP20" s="32"/>
      <c r="GQ20" s="32"/>
      <c r="GR20" s="32"/>
      <c r="GS20" s="8"/>
      <c r="GT20" s="8"/>
      <c r="GU20" s="8"/>
      <c r="GV20" s="8"/>
      <c r="GW20" s="8"/>
      <c r="GX20" s="7"/>
      <c r="GY20" s="7"/>
      <c r="GZ20" s="8"/>
      <c r="HA20" s="8"/>
      <c r="HB20" s="8"/>
      <c r="HC20" s="8"/>
      <c r="HD20" s="8"/>
      <c r="HE20" s="7"/>
      <c r="HF20" s="7"/>
      <c r="HG20" s="8"/>
      <c r="HH20" s="8"/>
      <c r="HI20" s="8"/>
      <c r="HJ20" s="8"/>
      <c r="HK20" s="8"/>
      <c r="HL20" s="7"/>
      <c r="HM20" s="7"/>
      <c r="HN20" s="8"/>
      <c r="HO20" s="8"/>
      <c r="HP20" s="8"/>
      <c r="HQ20" s="69"/>
      <c r="HR20" s="69"/>
      <c r="HS20" s="7"/>
      <c r="HT20" s="7"/>
      <c r="HU20" s="8"/>
      <c r="HV20" s="8"/>
      <c r="HW20" s="8"/>
      <c r="HX20" s="8"/>
      <c r="HY20" s="8"/>
      <c r="HZ20" s="7"/>
      <c r="IA20" s="7"/>
      <c r="IB20" s="8"/>
      <c r="IC20" s="8"/>
      <c r="ID20" s="8"/>
      <c r="IE20" s="8"/>
      <c r="IF20" s="8"/>
      <c r="IG20" s="7"/>
      <c r="IH20" s="7"/>
      <c r="II20" s="8"/>
      <c r="IJ20" s="8"/>
      <c r="IK20" s="8"/>
      <c r="IL20" s="8"/>
      <c r="IM20" s="8"/>
      <c r="IN20" s="7"/>
      <c r="IO20" s="7"/>
      <c r="IP20" s="8"/>
      <c r="IQ20" s="8"/>
      <c r="IR20" s="8"/>
      <c r="IS20" s="8"/>
      <c r="IT20" s="8"/>
      <c r="IU20" s="184"/>
      <c r="IV20" s="55"/>
      <c r="IW20" s="8"/>
      <c r="IX20" s="68" t="s">
        <v>7</v>
      </c>
      <c r="IY20" s="68" t="s">
        <v>7</v>
      </c>
      <c r="IZ20" s="68" t="s">
        <v>7</v>
      </c>
      <c r="JA20" s="68" t="s">
        <v>7</v>
      </c>
      <c r="JB20" s="7"/>
      <c r="JC20" s="7"/>
      <c r="JD20" s="68" t="s">
        <v>7</v>
      </c>
      <c r="JE20" s="68" t="s">
        <v>7</v>
      </c>
      <c r="JF20" s="68" t="s">
        <v>7</v>
      </c>
      <c r="JG20" s="68" t="s">
        <v>7</v>
      </c>
      <c r="JH20" s="68" t="s">
        <v>7</v>
      </c>
      <c r="JI20" s="7"/>
      <c r="JJ20" s="7"/>
      <c r="JK20" s="68" t="s">
        <v>7</v>
      </c>
      <c r="JL20" s="68" t="s">
        <v>7</v>
      </c>
      <c r="JM20" s="68" t="s">
        <v>7</v>
      </c>
      <c r="JN20" s="68" t="s">
        <v>7</v>
      </c>
      <c r="JO20" s="68" t="s">
        <v>7</v>
      </c>
      <c r="JP20" s="7"/>
      <c r="JQ20" s="7"/>
      <c r="JR20" s="68" t="s">
        <v>7</v>
      </c>
      <c r="JS20" s="68" t="s">
        <v>7</v>
      </c>
      <c r="JT20" s="69"/>
      <c r="JU20" s="68" t="s">
        <v>7</v>
      </c>
      <c r="JV20" s="68" t="s">
        <v>7</v>
      </c>
      <c r="JW20" s="7"/>
      <c r="JX20" s="7"/>
      <c r="JY20" s="68" t="s">
        <v>7</v>
      </c>
      <c r="JZ20" s="68" t="s">
        <v>7</v>
      </c>
      <c r="KA20" s="69"/>
      <c r="KB20" s="68" t="s">
        <v>7</v>
      </c>
      <c r="KC20" s="68" t="s">
        <v>7</v>
      </c>
      <c r="KD20" s="7"/>
      <c r="KE20" s="7"/>
      <c r="KF20" s="68" t="s">
        <v>7</v>
      </c>
      <c r="KG20" s="8"/>
      <c r="KH20" s="8"/>
      <c r="KI20" s="8"/>
      <c r="KJ20" s="8"/>
      <c r="KK20" s="7"/>
      <c r="KL20" s="7"/>
      <c r="KM20" s="8"/>
      <c r="KN20" s="8"/>
      <c r="KO20" s="8"/>
      <c r="KP20" s="8"/>
      <c r="KQ20" s="8"/>
      <c r="KR20" s="7"/>
      <c r="KS20" s="7"/>
      <c r="KT20" s="8"/>
      <c r="KU20" s="8"/>
      <c r="KV20" s="8"/>
      <c r="KW20" s="8"/>
      <c r="KX20" s="8"/>
      <c r="KY20" s="7"/>
      <c r="KZ20" s="7"/>
      <c r="LA20" s="8"/>
      <c r="LB20" s="8"/>
      <c r="LC20" s="8"/>
      <c r="LD20" s="8"/>
      <c r="LE20" s="58"/>
      <c r="LF20" s="337"/>
      <c r="LG20" s="145"/>
      <c r="LH20" s="144"/>
      <c r="LI20" s="144"/>
      <c r="LJ20" s="144"/>
      <c r="LK20" s="144"/>
      <c r="LL20" s="144"/>
      <c r="LM20" s="145"/>
      <c r="LN20" s="145"/>
      <c r="LO20" s="144"/>
      <c r="LP20" s="144"/>
      <c r="LQ20" s="144"/>
      <c r="LR20" s="144"/>
      <c r="LS20" s="144"/>
      <c r="LT20" s="145"/>
      <c r="LU20" s="145"/>
      <c r="LV20" s="144"/>
      <c r="LW20" s="144"/>
      <c r="LX20" s="144"/>
      <c r="LY20" s="144"/>
      <c r="LZ20" s="144"/>
      <c r="MA20" s="145"/>
      <c r="MB20" s="145"/>
      <c r="MC20" s="144"/>
      <c r="MD20" s="144"/>
      <c r="ME20" s="144"/>
      <c r="MF20" s="144"/>
      <c r="MG20" s="338"/>
      <c r="MH20" s="337"/>
      <c r="MI20" s="145"/>
      <c r="MJ20" s="166" t="s">
        <v>1</v>
      </c>
      <c r="MK20" s="166" t="s">
        <v>1</v>
      </c>
      <c r="ML20" s="166" t="s">
        <v>1</v>
      </c>
      <c r="MM20" s="166" t="s">
        <v>1</v>
      </c>
      <c r="MN20" s="166" t="s">
        <v>1</v>
      </c>
      <c r="MO20" s="145"/>
      <c r="MP20" s="145"/>
      <c r="MQ20" s="166" t="s">
        <v>1</v>
      </c>
      <c r="MR20" s="166" t="s">
        <v>1</v>
      </c>
      <c r="MS20" s="166" t="s">
        <v>1</v>
      </c>
      <c r="MT20" s="166" t="s">
        <v>1</v>
      </c>
      <c r="MU20" s="166" t="s">
        <v>1</v>
      </c>
      <c r="MV20" s="145"/>
      <c r="MW20" s="145"/>
      <c r="MX20" s="166" t="s">
        <v>1</v>
      </c>
      <c r="MY20" s="166" t="s">
        <v>1</v>
      </c>
      <c r="MZ20" s="166" t="s">
        <v>1</v>
      </c>
      <c r="NA20" s="166" t="s">
        <v>1</v>
      </c>
      <c r="NB20" s="166" t="s">
        <v>1</v>
      </c>
      <c r="NC20" s="145"/>
      <c r="ND20" s="145"/>
      <c r="NE20" s="349"/>
      <c r="NF20" s="349"/>
      <c r="NG20" s="349"/>
      <c r="NH20" s="349"/>
      <c r="NI20" s="349"/>
      <c r="NJ20" s="145"/>
      <c r="NK20" s="145"/>
      <c r="NL20" s="338"/>
    </row>
    <row r="21" spans="1:376" customFormat="1" ht="15.75" thickBot="1">
      <c r="A21" s="1"/>
      <c r="B21" s="29" t="s">
        <v>63</v>
      </c>
      <c r="C21" s="29" t="s">
        <v>30</v>
      </c>
      <c r="D21" s="29" t="s">
        <v>49</v>
      </c>
      <c r="E21" s="37">
        <v>0</v>
      </c>
      <c r="F21" s="29">
        <v>15</v>
      </c>
      <c r="G21" s="29">
        <v>3</v>
      </c>
      <c r="H21" s="29">
        <f t="shared" si="0"/>
        <v>5</v>
      </c>
      <c r="I21" s="30">
        <f t="shared" si="1"/>
        <v>1</v>
      </c>
      <c r="J21" s="30">
        <f t="shared" si="2"/>
        <v>0</v>
      </c>
      <c r="K21" s="71">
        <f t="shared" si="3"/>
        <v>0</v>
      </c>
      <c r="L21" s="8"/>
      <c r="M21" s="8"/>
      <c r="N21" s="8"/>
      <c r="O21" s="8"/>
      <c r="P21" s="8"/>
      <c r="Q21" s="7"/>
      <c r="R21" s="7"/>
      <c r="S21" s="8"/>
      <c r="T21" s="8"/>
      <c r="U21" s="8"/>
      <c r="V21" s="8"/>
      <c r="W21" s="8"/>
      <c r="X21" s="7"/>
      <c r="Y21" s="7"/>
      <c r="Z21" s="8"/>
      <c r="AA21" s="8"/>
      <c r="AB21" s="8"/>
      <c r="AC21" s="8"/>
      <c r="AD21" s="8"/>
      <c r="AE21" s="7"/>
      <c r="AF21" s="7"/>
      <c r="AG21" s="8"/>
      <c r="AH21" s="8"/>
      <c r="AI21" s="8"/>
      <c r="AJ21" s="8"/>
      <c r="AK21" s="8"/>
      <c r="AL21" s="7"/>
      <c r="AM21" s="7"/>
      <c r="AN21" s="8"/>
      <c r="AO21" s="148"/>
      <c r="AP21" s="69"/>
      <c r="AQ21" s="8"/>
      <c r="AR21" s="8"/>
      <c r="AS21" s="7"/>
      <c r="AT21" s="7"/>
      <c r="AU21" s="8"/>
      <c r="AV21" s="8"/>
      <c r="AW21" s="8"/>
      <c r="AX21" s="8"/>
      <c r="AY21" s="8"/>
      <c r="AZ21" s="7"/>
      <c r="BA21" s="7"/>
      <c r="BB21" s="8"/>
      <c r="BC21" s="8"/>
      <c r="BD21" s="8"/>
      <c r="BE21" s="8"/>
      <c r="BF21" s="8"/>
      <c r="BG21" s="7"/>
      <c r="BH21" s="7"/>
      <c r="BI21" s="8"/>
      <c r="BJ21" s="69"/>
      <c r="BK21" s="8"/>
      <c r="BL21" s="8"/>
      <c r="BM21" s="8"/>
      <c r="BN21" s="7"/>
      <c r="BO21" s="7"/>
      <c r="BP21" s="8"/>
      <c r="BQ21" s="8"/>
      <c r="BR21" s="8"/>
      <c r="BS21" s="8"/>
      <c r="BT21" s="148"/>
      <c r="BU21" s="7"/>
      <c r="BV21" s="7"/>
      <c r="BW21" s="8"/>
      <c r="BX21" s="8"/>
      <c r="BY21" s="8"/>
      <c r="BZ21" s="8"/>
      <c r="CA21" s="8"/>
      <c r="CB21" s="7"/>
      <c r="CC21" s="7"/>
      <c r="CD21" s="8"/>
      <c r="CE21" s="8"/>
      <c r="CF21" s="8"/>
      <c r="CG21" s="8"/>
      <c r="CH21" s="8"/>
      <c r="CI21" s="7"/>
      <c r="CJ21" s="7"/>
      <c r="CK21" s="8"/>
      <c r="CL21" s="8"/>
      <c r="CM21" s="8"/>
      <c r="CN21" s="69"/>
      <c r="CO21" s="8"/>
      <c r="CP21" s="7"/>
      <c r="CQ21" s="7"/>
      <c r="CR21" s="8"/>
      <c r="CS21" s="8"/>
      <c r="CT21" s="8"/>
      <c r="CU21" s="8"/>
      <c r="CV21" s="8"/>
      <c r="CW21" s="7"/>
      <c r="CX21" s="7"/>
      <c r="CY21" s="28"/>
      <c r="CZ21" s="8"/>
      <c r="DA21" s="8"/>
      <c r="DB21" s="8"/>
      <c r="DC21" s="8"/>
      <c r="DD21" s="7"/>
      <c r="DE21" s="7"/>
      <c r="DF21" s="8"/>
      <c r="DG21" s="8"/>
      <c r="DH21" s="8"/>
      <c r="DI21" s="8"/>
      <c r="DJ21" s="8"/>
      <c r="DK21" s="7"/>
      <c r="DL21" s="7"/>
      <c r="DM21" s="8"/>
      <c r="DN21" s="69"/>
      <c r="DO21" s="8"/>
      <c r="DP21" s="8"/>
      <c r="DQ21" s="8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148"/>
      <c r="ED21" s="28"/>
      <c r="EE21" s="8"/>
      <c r="EF21" s="7"/>
      <c r="EG21" s="7"/>
      <c r="EH21" s="8"/>
      <c r="EI21" s="8"/>
      <c r="EJ21" s="8"/>
      <c r="EK21" s="8"/>
      <c r="EL21" s="8"/>
      <c r="EM21" s="7"/>
      <c r="EN21" s="7"/>
      <c r="EO21" s="8"/>
      <c r="EP21" s="8"/>
      <c r="EQ21" s="8"/>
      <c r="ER21" s="69"/>
      <c r="ES21" s="8"/>
      <c r="ET21" s="7"/>
      <c r="EU21" s="7"/>
      <c r="EV21" s="8"/>
      <c r="EW21" s="8"/>
      <c r="EX21" s="8"/>
      <c r="EY21" s="8"/>
      <c r="EZ21" s="8"/>
      <c r="FA21" s="7"/>
      <c r="FB21" s="7"/>
      <c r="FC21" s="8"/>
      <c r="FD21" s="8"/>
      <c r="FE21" s="8"/>
      <c r="FF21" s="8"/>
      <c r="FG21" s="8"/>
      <c r="FH21" s="184"/>
      <c r="FI21" s="55"/>
      <c r="FJ21" s="8"/>
      <c r="FK21" s="8"/>
      <c r="FL21" s="8"/>
      <c r="FM21" s="8"/>
      <c r="FN21" s="8"/>
      <c r="FO21" s="7"/>
      <c r="FP21" s="7"/>
      <c r="FQ21" s="8"/>
      <c r="FR21" s="8"/>
      <c r="FS21" s="8"/>
      <c r="FT21" s="8"/>
      <c r="FU21" s="8"/>
      <c r="FV21" s="7"/>
      <c r="FW21" s="7"/>
      <c r="FX21" s="280" t="s">
        <v>3</v>
      </c>
      <c r="FY21" s="280" t="s">
        <v>3</v>
      </c>
      <c r="FZ21" s="69"/>
      <c r="GA21" s="69"/>
      <c r="GB21" s="69"/>
      <c r="GC21" s="7"/>
      <c r="GD21" s="7"/>
      <c r="GE21" s="8"/>
      <c r="GF21" s="8"/>
      <c r="GG21" s="8"/>
      <c r="GH21" s="8"/>
      <c r="GI21" s="8"/>
      <c r="GJ21" s="7"/>
      <c r="GK21" s="7"/>
      <c r="GL21" s="148"/>
      <c r="GM21" s="28"/>
      <c r="GN21" s="8"/>
      <c r="GO21" s="8"/>
      <c r="GP21" s="8"/>
      <c r="GQ21" s="7"/>
      <c r="GR21" s="7"/>
      <c r="GS21" s="8"/>
      <c r="GT21" s="8"/>
      <c r="GU21" s="8"/>
      <c r="GV21" s="8"/>
      <c r="GW21" s="8"/>
      <c r="GX21" s="7"/>
      <c r="GY21" s="7"/>
      <c r="GZ21" s="8"/>
      <c r="HA21" s="8"/>
      <c r="HB21" s="8"/>
      <c r="HC21" s="8"/>
      <c r="HD21" s="8"/>
      <c r="HE21" s="7"/>
      <c r="HF21" s="7"/>
      <c r="HG21" s="8"/>
      <c r="HH21" s="8"/>
      <c r="HI21" s="8"/>
      <c r="HJ21" s="8"/>
      <c r="HK21" s="8"/>
      <c r="HL21" s="7"/>
      <c r="HM21" s="7"/>
      <c r="HN21" s="8"/>
      <c r="HO21" s="8"/>
      <c r="HP21" s="8"/>
      <c r="HQ21" s="69"/>
      <c r="HR21" s="69"/>
      <c r="HS21" s="7"/>
      <c r="HT21" s="7"/>
      <c r="HU21" s="8"/>
      <c r="HV21" s="8"/>
      <c r="HW21" s="8"/>
      <c r="HX21" s="8"/>
      <c r="HY21" s="8"/>
      <c r="HZ21" s="7"/>
      <c r="IA21" s="7"/>
      <c r="IB21" s="8"/>
      <c r="IC21" s="8"/>
      <c r="ID21" s="8"/>
      <c r="IE21" s="8"/>
      <c r="IF21" s="8"/>
      <c r="IG21" s="7"/>
      <c r="IH21" s="7"/>
      <c r="II21" s="8"/>
      <c r="IJ21" s="8"/>
      <c r="IK21" s="8"/>
      <c r="IL21" s="8"/>
      <c r="IM21" s="8"/>
      <c r="IN21" s="7"/>
      <c r="IO21" s="7"/>
      <c r="IP21" s="8"/>
      <c r="IQ21" s="8"/>
      <c r="IR21" s="8"/>
      <c r="IS21" s="8"/>
      <c r="IT21" s="8"/>
      <c r="IU21" s="184"/>
      <c r="IV21" s="55"/>
      <c r="IW21" s="8"/>
      <c r="IX21" s="8"/>
      <c r="IY21" s="8"/>
      <c r="IZ21" s="8"/>
      <c r="JA21" s="8"/>
      <c r="JB21" s="7"/>
      <c r="JC21" s="7"/>
      <c r="JD21" s="8"/>
      <c r="JE21" s="8"/>
      <c r="JF21" s="8"/>
      <c r="JG21" s="8"/>
      <c r="JH21" s="8"/>
      <c r="JI21" s="7"/>
      <c r="JJ21" s="7"/>
      <c r="JK21" s="8"/>
      <c r="JL21" s="8"/>
      <c r="JM21" s="8"/>
      <c r="JN21" s="8"/>
      <c r="JO21" s="8"/>
      <c r="JP21" s="7"/>
      <c r="JQ21" s="7"/>
      <c r="JR21" s="8"/>
      <c r="JS21" s="8"/>
      <c r="JT21" s="69"/>
      <c r="JU21" s="8"/>
      <c r="JV21" s="8"/>
      <c r="JW21" s="7"/>
      <c r="JX21" s="7"/>
      <c r="JY21" s="8"/>
      <c r="JZ21" s="148"/>
      <c r="KA21" s="69"/>
      <c r="KB21" s="8"/>
      <c r="KC21" s="8"/>
      <c r="KD21" s="7"/>
      <c r="KE21" s="7"/>
      <c r="KF21" s="8"/>
      <c r="KG21" s="8"/>
      <c r="KH21" s="8"/>
      <c r="KI21" s="8"/>
      <c r="KJ21" s="8"/>
      <c r="KK21" s="7"/>
      <c r="KL21" s="7"/>
      <c r="KM21" s="8"/>
      <c r="KN21" s="8"/>
      <c r="KO21" s="8"/>
      <c r="KP21" s="8"/>
      <c r="KQ21" s="8"/>
      <c r="KR21" s="7"/>
      <c r="KS21" s="7"/>
      <c r="KT21" s="8"/>
      <c r="KU21" s="8"/>
      <c r="KV21" s="8"/>
      <c r="KW21" s="8"/>
      <c r="KX21" s="8"/>
      <c r="KY21" s="7"/>
      <c r="KZ21" s="7"/>
      <c r="LA21" s="8"/>
      <c r="LB21" s="8"/>
      <c r="LC21" s="8"/>
      <c r="LD21" s="8"/>
      <c r="LE21" s="58"/>
      <c r="LF21" s="329"/>
      <c r="LG21" s="151"/>
      <c r="LH21" s="150"/>
      <c r="LI21" s="150"/>
      <c r="LJ21" s="150"/>
      <c r="LK21" s="150"/>
      <c r="LL21" s="150"/>
      <c r="LM21" s="151"/>
      <c r="LN21" s="151"/>
      <c r="LO21" s="150"/>
      <c r="LP21" s="150"/>
      <c r="LQ21" s="150"/>
      <c r="LR21" s="150"/>
      <c r="LS21" s="150"/>
      <c r="LT21" s="151"/>
      <c r="LU21" s="151"/>
      <c r="LV21" s="150"/>
      <c r="LW21" s="150"/>
      <c r="LX21" s="150"/>
      <c r="LY21" s="150"/>
      <c r="LZ21" s="150"/>
      <c r="MA21" s="151"/>
      <c r="MB21" s="151"/>
      <c r="MC21" s="150"/>
      <c r="MD21" s="150"/>
      <c r="ME21" s="150"/>
      <c r="MF21" s="150"/>
      <c r="MG21" s="152"/>
      <c r="MH21" s="329"/>
      <c r="MI21" s="151"/>
      <c r="MJ21" s="330" t="s">
        <v>1</v>
      </c>
      <c r="MK21" s="330" t="s">
        <v>1</v>
      </c>
      <c r="ML21" s="330" t="s">
        <v>1</v>
      </c>
      <c r="MM21" s="330" t="s">
        <v>1</v>
      </c>
      <c r="MN21" s="330" t="s">
        <v>1</v>
      </c>
      <c r="MO21" s="151"/>
      <c r="MP21" s="151"/>
      <c r="MQ21" s="330" t="s">
        <v>1</v>
      </c>
      <c r="MR21" s="330" t="s">
        <v>1</v>
      </c>
      <c r="MS21" s="330" t="s">
        <v>1</v>
      </c>
      <c r="MT21" s="330" t="s">
        <v>1</v>
      </c>
      <c r="MU21" s="330" t="s">
        <v>1</v>
      </c>
      <c r="MV21" s="151"/>
      <c r="MW21" s="151"/>
      <c r="MX21" s="150"/>
      <c r="MY21" s="150"/>
      <c r="MZ21" s="150"/>
      <c r="NA21" s="150"/>
      <c r="NB21" s="150"/>
      <c r="NC21" s="151"/>
      <c r="ND21" s="151"/>
      <c r="NE21" s="150"/>
      <c r="NF21" s="150"/>
      <c r="NG21" s="150"/>
      <c r="NH21" s="150"/>
      <c r="NI21" s="150"/>
      <c r="NJ21" s="151"/>
      <c r="NK21" s="151"/>
      <c r="NL21" s="152"/>
    </row>
    <row r="22" spans="1:376" customFormat="1" ht="15.75" hidden="1" customHeight="1">
      <c r="A22" s="1"/>
      <c r="B22" s="278" t="s">
        <v>101</v>
      </c>
      <c r="C22" s="278" t="s">
        <v>30</v>
      </c>
      <c r="D22" s="278" t="s">
        <v>49</v>
      </c>
      <c r="E22" s="37">
        <v>0</v>
      </c>
      <c r="F22" s="29">
        <v>23</v>
      </c>
      <c r="G22" s="29">
        <v>0</v>
      </c>
      <c r="H22" s="29">
        <f t="shared" si="0"/>
        <v>23</v>
      </c>
      <c r="I22" s="30">
        <f t="shared" si="1"/>
        <v>0</v>
      </c>
      <c r="J22" s="30">
        <f t="shared" si="2"/>
        <v>0</v>
      </c>
      <c r="K22" s="71">
        <f t="shared" si="3"/>
        <v>0</v>
      </c>
      <c r="L22" s="8"/>
      <c r="M22" s="8"/>
      <c r="N22" s="8"/>
      <c r="O22" s="8"/>
      <c r="P22" s="8"/>
      <c r="Q22" s="7"/>
      <c r="R22" s="7"/>
      <c r="S22" s="8"/>
      <c r="T22" s="8"/>
      <c r="U22" s="8"/>
      <c r="V22" s="8"/>
      <c r="W22" s="8"/>
      <c r="X22" s="7"/>
      <c r="Y22" s="7"/>
      <c r="Z22" s="8"/>
      <c r="AA22" s="8"/>
      <c r="AB22" s="8"/>
      <c r="AC22" s="8"/>
      <c r="AD22" s="8"/>
      <c r="AE22" s="7"/>
      <c r="AF22" s="7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247"/>
      <c r="BK22" s="32"/>
      <c r="BL22" s="32"/>
      <c r="BM22" s="32"/>
      <c r="BN22" s="32"/>
      <c r="BO22" s="32"/>
      <c r="BP22" s="32"/>
      <c r="BQ22" s="32"/>
      <c r="BR22" s="32"/>
      <c r="BS22" s="32"/>
      <c r="BT22" s="245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247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277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247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245"/>
      <c r="ED22" s="277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247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245"/>
      <c r="FI22" s="277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247"/>
      <c r="GA22" s="247"/>
      <c r="GB22" s="247"/>
      <c r="GC22" s="32"/>
      <c r="GD22" s="32"/>
      <c r="GE22" s="32"/>
      <c r="GF22" s="32"/>
      <c r="GG22" s="32"/>
      <c r="GH22" s="32"/>
      <c r="GI22" s="32"/>
      <c r="GJ22" s="32"/>
      <c r="GK22" s="32"/>
      <c r="GL22" s="245"/>
      <c r="GM22" s="277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247"/>
      <c r="HR22" s="247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245"/>
      <c r="IV22" s="277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247"/>
      <c r="JU22" s="32"/>
      <c r="JV22" s="32"/>
      <c r="JW22" s="32"/>
      <c r="JX22" s="32"/>
      <c r="JY22" s="32"/>
      <c r="JZ22" s="245"/>
      <c r="KA22" s="247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245"/>
      <c r="LF22" s="327"/>
      <c r="LG22" s="327"/>
      <c r="LH22" s="327"/>
      <c r="LI22" s="327"/>
      <c r="LJ22" s="327"/>
      <c r="LK22" s="327"/>
      <c r="LL22" s="327"/>
      <c r="LM22" s="327"/>
      <c r="LN22" s="327"/>
      <c r="LO22" s="327"/>
      <c r="LP22" s="327"/>
      <c r="LQ22" s="327"/>
      <c r="LR22" s="327"/>
      <c r="LS22" s="327"/>
      <c r="LT22" s="327"/>
      <c r="LU22" s="327"/>
      <c r="LV22" s="327"/>
      <c r="LW22" s="327"/>
      <c r="LX22" s="327"/>
      <c r="LY22" s="327"/>
      <c r="LZ22" s="327"/>
      <c r="MA22" s="327"/>
      <c r="MB22" s="327"/>
      <c r="MC22" s="327"/>
      <c r="MD22" s="327"/>
      <c r="ME22" s="327"/>
      <c r="MF22" s="327"/>
      <c r="MG22" s="327"/>
      <c r="MH22" s="344"/>
      <c r="MI22" s="327"/>
      <c r="MJ22" s="327"/>
      <c r="MK22" s="327"/>
      <c r="ML22" s="327"/>
      <c r="MM22" s="327"/>
      <c r="MN22" s="327"/>
      <c r="MO22" s="327"/>
      <c r="MP22" s="327"/>
      <c r="MQ22" s="327"/>
      <c r="MR22" s="327"/>
      <c r="MS22" s="327"/>
      <c r="MT22" s="327"/>
      <c r="MU22" s="327"/>
      <c r="MV22" s="327"/>
      <c r="MW22" s="327"/>
      <c r="MX22" s="327"/>
      <c r="MY22" s="327"/>
      <c r="MZ22" s="327"/>
      <c r="NA22" s="327"/>
      <c r="NB22" s="327"/>
      <c r="NC22" s="327"/>
      <c r="ND22" s="327"/>
      <c r="NE22" s="327"/>
      <c r="NF22" s="327"/>
      <c r="NG22" s="327"/>
      <c r="NH22" s="327"/>
      <c r="NI22" s="327"/>
      <c r="NJ22" s="327"/>
      <c r="NK22" s="327"/>
      <c r="NL22" s="345"/>
    </row>
    <row r="23" spans="1:376" customFormat="1" ht="15.75" hidden="1" customHeight="1">
      <c r="A23" s="1"/>
      <c r="B23" s="278" t="s">
        <v>102</v>
      </c>
      <c r="C23" s="278" t="s">
        <v>30</v>
      </c>
      <c r="D23" s="278" t="s">
        <v>49</v>
      </c>
      <c r="E23" s="37">
        <v>0</v>
      </c>
      <c r="F23" s="29">
        <v>23</v>
      </c>
      <c r="G23" s="29">
        <v>0</v>
      </c>
      <c r="H23" s="29">
        <f t="shared" si="0"/>
        <v>23</v>
      </c>
      <c r="I23" s="30">
        <f t="shared" si="1"/>
        <v>0</v>
      </c>
      <c r="J23" s="30">
        <f t="shared" si="2"/>
        <v>0</v>
      </c>
      <c r="K23" s="71">
        <f t="shared" si="3"/>
        <v>0</v>
      </c>
      <c r="L23" s="8"/>
      <c r="M23" s="8"/>
      <c r="N23" s="8"/>
      <c r="O23" s="8"/>
      <c r="P23" s="8"/>
      <c r="Q23" s="7"/>
      <c r="R23" s="7"/>
      <c r="S23" s="8"/>
      <c r="T23" s="8"/>
      <c r="U23" s="8"/>
      <c r="V23" s="8"/>
      <c r="W23" s="8"/>
      <c r="X23" s="7"/>
      <c r="Y23" s="7"/>
      <c r="Z23" s="8"/>
      <c r="AA23" s="8"/>
      <c r="AB23" s="8"/>
      <c r="AC23" s="8"/>
      <c r="AD23" s="8"/>
      <c r="AE23" s="7"/>
      <c r="AF23" s="7"/>
      <c r="AG23" s="8"/>
      <c r="AH23" s="8"/>
      <c r="AI23" s="8"/>
      <c r="AJ23" s="8"/>
      <c r="AK23" s="8"/>
      <c r="AL23" s="7"/>
      <c r="AM23" s="7"/>
      <c r="AN23" s="8"/>
      <c r="AO23" s="148"/>
      <c r="AP23" s="69"/>
      <c r="AQ23" s="8"/>
      <c r="AR23" s="8"/>
      <c r="AS23" s="7"/>
      <c r="AT23" s="7"/>
      <c r="AU23" s="8"/>
      <c r="AV23" s="8"/>
      <c r="AW23" s="8"/>
      <c r="AX23" s="8"/>
      <c r="AY23" s="8"/>
      <c r="AZ23" s="7"/>
      <c r="BA23" s="7"/>
      <c r="BB23" s="8"/>
      <c r="BC23" s="8"/>
      <c r="BD23" s="8"/>
      <c r="BE23" s="32"/>
      <c r="BF23" s="32"/>
      <c r="BG23" s="32"/>
      <c r="BH23" s="32"/>
      <c r="BI23" s="32"/>
      <c r="BJ23" s="247"/>
      <c r="BK23" s="32"/>
      <c r="BL23" s="32"/>
      <c r="BM23" s="32"/>
      <c r="BN23" s="32"/>
      <c r="BO23" s="32"/>
      <c r="BP23" s="32"/>
      <c r="BQ23" s="32"/>
      <c r="BR23" s="32"/>
      <c r="BS23" s="32"/>
      <c r="BT23" s="245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247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277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247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245"/>
      <c r="ED23" s="277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247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245"/>
      <c r="FI23" s="277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247"/>
      <c r="GA23" s="247"/>
      <c r="GB23" s="247"/>
      <c r="GC23" s="32"/>
      <c r="GD23" s="32"/>
      <c r="GE23" s="32"/>
      <c r="GF23" s="32"/>
      <c r="GG23" s="32"/>
      <c r="GH23" s="32"/>
      <c r="GI23" s="32"/>
      <c r="GJ23" s="32"/>
      <c r="GK23" s="32"/>
      <c r="GL23" s="245"/>
      <c r="GM23" s="277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247"/>
      <c r="HR23" s="247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245"/>
      <c r="IV23" s="277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247"/>
      <c r="JU23" s="32"/>
      <c r="JV23" s="32"/>
      <c r="JW23" s="32"/>
      <c r="JX23" s="32"/>
      <c r="JY23" s="32"/>
      <c r="JZ23" s="245"/>
      <c r="KA23" s="247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245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277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245"/>
    </row>
    <row r="24" spans="1:376" customFormat="1" ht="15.75" hidden="1" customHeight="1">
      <c r="A24" s="1"/>
      <c r="B24" s="278" t="s">
        <v>103</v>
      </c>
      <c r="C24" s="278" t="s">
        <v>30</v>
      </c>
      <c r="D24" s="278" t="s">
        <v>49</v>
      </c>
      <c r="E24" s="37">
        <v>0</v>
      </c>
      <c r="F24" s="29">
        <v>23</v>
      </c>
      <c r="G24" s="29">
        <v>0</v>
      </c>
      <c r="H24" s="29">
        <f t="shared" si="0"/>
        <v>23</v>
      </c>
      <c r="I24" s="30">
        <f t="shared" si="1"/>
        <v>0</v>
      </c>
      <c r="J24" s="30">
        <f t="shared" si="2"/>
        <v>0</v>
      </c>
      <c r="K24" s="71">
        <f t="shared" si="3"/>
        <v>0</v>
      </c>
      <c r="L24" s="8"/>
      <c r="M24" s="8"/>
      <c r="N24" s="8"/>
      <c r="O24" s="8"/>
      <c r="P24" s="8"/>
      <c r="Q24" s="7"/>
      <c r="R24" s="7"/>
      <c r="S24" s="8"/>
      <c r="T24" s="8"/>
      <c r="U24" s="8"/>
      <c r="V24" s="8"/>
      <c r="W24" s="32"/>
      <c r="X24" s="7"/>
      <c r="Y24" s="7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247"/>
      <c r="BK24" s="32"/>
      <c r="BL24" s="32"/>
      <c r="BM24" s="32"/>
      <c r="BN24" s="32"/>
      <c r="BO24" s="32"/>
      <c r="BP24" s="32"/>
      <c r="BQ24" s="32"/>
      <c r="BR24" s="32"/>
      <c r="BS24" s="32"/>
      <c r="BT24" s="245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247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277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247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245"/>
      <c r="ED24" s="277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247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245"/>
      <c r="FI24" s="277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247"/>
      <c r="GA24" s="247"/>
      <c r="GB24" s="247"/>
      <c r="GC24" s="32"/>
      <c r="GD24" s="32"/>
      <c r="GE24" s="32"/>
      <c r="GF24" s="32"/>
      <c r="GG24" s="32"/>
      <c r="GH24" s="32"/>
      <c r="GI24" s="32"/>
      <c r="GJ24" s="32"/>
      <c r="GK24" s="32"/>
      <c r="GL24" s="245"/>
      <c r="GM24" s="277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247"/>
      <c r="HR24" s="247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245"/>
      <c r="IV24" s="277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247"/>
      <c r="JU24" s="32"/>
      <c r="JV24" s="32"/>
      <c r="JW24" s="32"/>
      <c r="JX24" s="32"/>
      <c r="JY24" s="32"/>
      <c r="JZ24" s="245"/>
      <c r="KA24" s="247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245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32"/>
      <c r="MH24" s="277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245"/>
    </row>
    <row r="25" spans="1:376" customFormat="1" ht="15.75" hidden="1" customHeight="1" thickBot="1">
      <c r="A25" s="1"/>
      <c r="B25" s="278" t="s">
        <v>104</v>
      </c>
      <c r="C25" s="278" t="s">
        <v>30</v>
      </c>
      <c r="D25" s="278" t="s">
        <v>49</v>
      </c>
      <c r="E25" s="37">
        <v>0</v>
      </c>
      <c r="F25" s="29">
        <v>23</v>
      </c>
      <c r="G25" s="29">
        <v>0</v>
      </c>
      <c r="H25" s="29">
        <f t="shared" si="0"/>
        <v>23</v>
      </c>
      <c r="I25" s="30">
        <f t="shared" si="1"/>
        <v>0</v>
      </c>
      <c r="J25" s="30">
        <f t="shared" si="2"/>
        <v>0</v>
      </c>
      <c r="K25" s="71">
        <f t="shared" si="3"/>
        <v>0</v>
      </c>
      <c r="L25" s="8"/>
      <c r="M25" s="8"/>
      <c r="N25" s="8"/>
      <c r="O25" s="8"/>
      <c r="P25" s="8"/>
      <c r="Q25" s="7"/>
      <c r="R25" s="7"/>
      <c r="S25" s="8"/>
      <c r="T25" s="8"/>
      <c r="U25" s="8"/>
      <c r="V25" s="8"/>
      <c r="W25" s="8"/>
      <c r="X25" s="7"/>
      <c r="Y25" s="7"/>
      <c r="Z25" s="8"/>
      <c r="AA25" s="8"/>
      <c r="AB25" s="8"/>
      <c r="AC25" s="8"/>
      <c r="AD25" s="8"/>
      <c r="AE25" s="7"/>
      <c r="AF25" s="7"/>
      <c r="AG25" s="8"/>
      <c r="AH25" s="8"/>
      <c r="AI25" s="8"/>
      <c r="AJ25" s="8"/>
      <c r="AK25" s="8"/>
      <c r="AL25" s="7"/>
      <c r="AM25" s="7"/>
      <c r="AN25" s="8"/>
      <c r="AO25" s="148"/>
      <c r="AP25" s="69"/>
      <c r="AQ25" s="8"/>
      <c r="AR25" s="8"/>
      <c r="AS25" s="7"/>
      <c r="AT25" s="7"/>
      <c r="AU25" s="8"/>
      <c r="AV25" s="8"/>
      <c r="AW25" s="8"/>
      <c r="AX25" s="8"/>
      <c r="AY25" s="8"/>
      <c r="AZ25" s="7"/>
      <c r="BA25" s="7"/>
      <c r="BB25" s="8"/>
      <c r="BC25" s="8"/>
      <c r="BD25" s="8"/>
      <c r="BE25" s="32"/>
      <c r="BF25" s="32"/>
      <c r="BG25" s="32"/>
      <c r="BH25" s="32"/>
      <c r="BI25" s="32"/>
      <c r="BJ25" s="247"/>
      <c r="BK25" s="32"/>
      <c r="BL25" s="32"/>
      <c r="BM25" s="32"/>
      <c r="BN25" s="32"/>
      <c r="BO25" s="32"/>
      <c r="BP25" s="32"/>
      <c r="BQ25" s="32"/>
      <c r="BR25" s="32"/>
      <c r="BS25" s="32"/>
      <c r="BT25" s="245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247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277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247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245"/>
      <c r="ED25" s="277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247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245"/>
      <c r="FI25" s="277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247"/>
      <c r="GA25" s="247"/>
      <c r="GB25" s="247"/>
      <c r="GC25" s="32"/>
      <c r="GD25" s="32"/>
      <c r="GE25" s="32"/>
      <c r="GF25" s="32"/>
      <c r="GG25" s="32"/>
      <c r="GH25" s="32"/>
      <c r="GI25" s="32"/>
      <c r="GJ25" s="32"/>
      <c r="GK25" s="32"/>
      <c r="GL25" s="245"/>
      <c r="GM25" s="277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247"/>
      <c r="HR25" s="247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245"/>
      <c r="IV25" s="277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247"/>
      <c r="JU25" s="32"/>
      <c r="JV25" s="32"/>
      <c r="JW25" s="32"/>
      <c r="JX25" s="32"/>
      <c r="JY25" s="32"/>
      <c r="JZ25" s="245"/>
      <c r="KA25" s="247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245"/>
      <c r="LF25" s="326"/>
      <c r="LG25" s="326"/>
      <c r="LH25" s="326"/>
      <c r="LI25" s="326"/>
      <c r="LJ25" s="326"/>
      <c r="LK25" s="326"/>
      <c r="LL25" s="326"/>
      <c r="LM25" s="326"/>
      <c r="LN25" s="326"/>
      <c r="LO25" s="326"/>
      <c r="LP25" s="326"/>
      <c r="LQ25" s="326"/>
      <c r="LR25" s="326"/>
      <c r="LS25" s="326"/>
      <c r="LT25" s="326"/>
      <c r="LU25" s="326"/>
      <c r="LV25" s="326"/>
      <c r="LW25" s="326"/>
      <c r="LX25" s="326"/>
      <c r="LY25" s="326"/>
      <c r="LZ25" s="326"/>
      <c r="MA25" s="326"/>
      <c r="MB25" s="326"/>
      <c r="MC25" s="326"/>
      <c r="MD25" s="326"/>
      <c r="ME25" s="326"/>
      <c r="MF25" s="326"/>
      <c r="MG25" s="326"/>
      <c r="MH25" s="342"/>
      <c r="MI25" s="326"/>
      <c r="MJ25" s="326"/>
      <c r="MK25" s="326"/>
      <c r="ML25" s="326"/>
      <c r="MM25" s="326"/>
      <c r="MN25" s="326"/>
      <c r="MO25" s="326"/>
      <c r="MP25" s="326"/>
      <c r="MQ25" s="326"/>
      <c r="MR25" s="326"/>
      <c r="MS25" s="326"/>
      <c r="MT25" s="326"/>
      <c r="MU25" s="326"/>
      <c r="MV25" s="326"/>
      <c r="MW25" s="326"/>
      <c r="MX25" s="326"/>
      <c r="MY25" s="326"/>
      <c r="MZ25" s="326"/>
      <c r="NA25" s="326"/>
      <c r="NB25" s="326"/>
      <c r="NC25" s="326"/>
      <c r="ND25" s="326"/>
      <c r="NE25" s="326"/>
      <c r="NF25" s="326"/>
      <c r="NG25" s="326"/>
      <c r="NH25" s="326"/>
      <c r="NI25" s="326"/>
      <c r="NJ25" s="326"/>
      <c r="NK25" s="326"/>
      <c r="NL25" s="343"/>
    </row>
    <row r="26" spans="1:376" customFormat="1" ht="15" customHeight="1">
      <c r="A26" s="1"/>
      <c r="B26" s="29" t="s">
        <v>61</v>
      </c>
      <c r="C26" s="29" t="s">
        <v>30</v>
      </c>
      <c r="D26" s="29" t="s">
        <v>49</v>
      </c>
      <c r="E26" s="37">
        <v>0</v>
      </c>
      <c r="F26" s="29">
        <v>15</v>
      </c>
      <c r="G26" s="29">
        <v>3</v>
      </c>
      <c r="H26" s="29">
        <f t="shared" si="0"/>
        <v>0</v>
      </c>
      <c r="I26" s="30">
        <f t="shared" si="1"/>
        <v>3</v>
      </c>
      <c r="J26" s="30">
        <f t="shared" si="2"/>
        <v>5</v>
      </c>
      <c r="K26" s="71">
        <f t="shared" si="3"/>
        <v>0</v>
      </c>
      <c r="L26" s="8"/>
      <c r="M26" s="8"/>
      <c r="N26" s="8"/>
      <c r="O26" s="8"/>
      <c r="P26" s="8"/>
      <c r="Q26" s="7"/>
      <c r="R26" s="7"/>
      <c r="S26" s="8"/>
      <c r="T26" s="8"/>
      <c r="U26" s="8"/>
      <c r="V26" s="8"/>
      <c r="W26" s="8"/>
      <c r="X26" s="7"/>
      <c r="Y26" s="7"/>
      <c r="Z26" s="8"/>
      <c r="AA26" s="8"/>
      <c r="AB26" s="8"/>
      <c r="AC26" s="8"/>
      <c r="AD26" s="8"/>
      <c r="AE26" s="7"/>
      <c r="AF26" s="7"/>
      <c r="AG26" s="8"/>
      <c r="AH26" s="8"/>
      <c r="AI26" s="8"/>
      <c r="AJ26" s="8"/>
      <c r="AK26" s="8"/>
      <c r="AL26" s="7"/>
      <c r="AM26" s="7"/>
      <c r="AN26" s="8"/>
      <c r="AO26" s="148"/>
      <c r="AP26" s="69"/>
      <c r="AQ26" s="8"/>
      <c r="AR26" s="8"/>
      <c r="AS26" s="7"/>
      <c r="AT26" s="7"/>
      <c r="AU26" s="8"/>
      <c r="AV26" s="8"/>
      <c r="AW26" s="8"/>
      <c r="AX26" s="8"/>
      <c r="AY26" s="8"/>
      <c r="AZ26" s="7"/>
      <c r="BA26" s="7"/>
      <c r="BB26" s="8"/>
      <c r="BC26" s="8"/>
      <c r="BD26" s="8"/>
      <c r="BE26" s="8"/>
      <c r="BF26" s="8"/>
      <c r="BG26" s="7"/>
      <c r="BH26" s="7"/>
      <c r="BI26" s="8"/>
      <c r="BJ26" s="69"/>
      <c r="BK26" s="8"/>
      <c r="BL26" s="8"/>
      <c r="BM26" s="8"/>
      <c r="BN26" s="7"/>
      <c r="BO26" s="7"/>
      <c r="BP26" s="8"/>
      <c r="BQ26" s="8"/>
      <c r="BR26" s="8"/>
      <c r="BS26" s="8"/>
      <c r="BT26" s="148"/>
      <c r="BU26" s="7"/>
      <c r="BV26" s="7"/>
      <c r="BW26" s="8"/>
      <c r="BX26" s="8"/>
      <c r="BY26" s="8"/>
      <c r="BZ26" s="8"/>
      <c r="CA26" s="8"/>
      <c r="CB26" s="7"/>
      <c r="CC26" s="7"/>
      <c r="CD26" s="8"/>
      <c r="CE26" s="8"/>
      <c r="CF26" s="8"/>
      <c r="CG26" s="8"/>
      <c r="CH26" s="8"/>
      <c r="CI26" s="7"/>
      <c r="CJ26" s="7"/>
      <c r="CK26" s="8"/>
      <c r="CL26" s="8"/>
      <c r="CM26" s="8"/>
      <c r="CN26" s="69"/>
      <c r="CO26" s="8"/>
      <c r="CP26" s="7"/>
      <c r="CQ26" s="7"/>
      <c r="CR26" s="8"/>
      <c r="CS26" s="8"/>
      <c r="CT26" s="8"/>
      <c r="CU26" s="8"/>
      <c r="CV26" s="8"/>
      <c r="CW26" s="7"/>
      <c r="CX26" s="7"/>
      <c r="CY26" s="28"/>
      <c r="CZ26" s="8"/>
      <c r="DA26" s="8"/>
      <c r="DB26" s="8"/>
      <c r="DC26" s="8"/>
      <c r="DD26" s="7"/>
      <c r="DE26" s="7"/>
      <c r="DF26" s="8"/>
      <c r="DG26" s="8"/>
      <c r="DH26" s="8"/>
      <c r="DI26" s="8"/>
      <c r="DJ26" s="8"/>
      <c r="DK26" s="7"/>
      <c r="DL26" s="7"/>
      <c r="DM26" s="8"/>
      <c r="DN26" s="69"/>
      <c r="DO26" s="8"/>
      <c r="DP26" s="8"/>
      <c r="DQ26" s="8"/>
      <c r="DR26" s="7"/>
      <c r="DS26" s="7"/>
      <c r="DT26" s="8"/>
      <c r="DU26" s="8"/>
      <c r="DV26" s="8"/>
      <c r="DW26" s="8"/>
      <c r="DX26" s="8"/>
      <c r="DY26" s="7"/>
      <c r="DZ26" s="7"/>
      <c r="EA26" s="8"/>
      <c r="EB26" s="8"/>
      <c r="EC26" s="148"/>
      <c r="ED26" s="28"/>
      <c r="EE26" s="8"/>
      <c r="EF26" s="7"/>
      <c r="EG26" s="7"/>
      <c r="EH26" s="8"/>
      <c r="EI26" s="8"/>
      <c r="EJ26" s="8"/>
      <c r="EK26" s="8"/>
      <c r="EL26" s="8"/>
      <c r="EM26" s="7"/>
      <c r="EN26" s="7"/>
      <c r="EO26" s="8"/>
      <c r="EP26" s="8"/>
      <c r="EQ26" s="8"/>
      <c r="ER26" s="69"/>
      <c r="ES26" s="8"/>
      <c r="ET26" s="7"/>
      <c r="EU26" s="7"/>
      <c r="EV26" s="8"/>
      <c r="EW26" s="8"/>
      <c r="EX26" s="8"/>
      <c r="EY26" s="8"/>
      <c r="EZ26" s="8"/>
      <c r="FA26" s="7"/>
      <c r="FB26" s="7"/>
      <c r="FC26" s="8"/>
      <c r="FD26" s="8"/>
      <c r="FE26" s="8"/>
      <c r="FF26" s="8"/>
      <c r="FG26" s="8"/>
      <c r="FH26" s="184"/>
      <c r="FI26" s="55"/>
      <c r="FJ26" s="8"/>
      <c r="FK26" s="8"/>
      <c r="FL26" s="8"/>
      <c r="FM26" s="8"/>
      <c r="FN26" s="8"/>
      <c r="FO26" s="7"/>
      <c r="FP26" s="7"/>
      <c r="FQ26" s="8"/>
      <c r="FR26" s="8"/>
      <c r="FS26" s="8"/>
      <c r="FT26" s="8"/>
      <c r="FU26" s="8"/>
      <c r="FV26" s="7"/>
      <c r="FW26" s="7"/>
      <c r="FX26" s="8"/>
      <c r="FY26" s="8"/>
      <c r="FZ26" s="69"/>
      <c r="GA26" s="69"/>
      <c r="GB26" s="69"/>
      <c r="GC26" s="7"/>
      <c r="GD26" s="7"/>
      <c r="GE26" s="8"/>
      <c r="GF26" s="8"/>
      <c r="GG26" s="8"/>
      <c r="GH26" s="8"/>
      <c r="GI26" s="8"/>
      <c r="GJ26" s="7"/>
      <c r="GK26" s="7"/>
      <c r="GL26" s="148"/>
      <c r="GM26" s="28"/>
      <c r="GN26" s="8"/>
      <c r="GO26" s="8"/>
      <c r="GP26" s="8"/>
      <c r="GQ26" s="7"/>
      <c r="GR26" s="7"/>
      <c r="GS26" s="8"/>
      <c r="GT26" s="8"/>
      <c r="GU26" s="8"/>
      <c r="GV26" s="8"/>
      <c r="GW26" s="8"/>
      <c r="GX26" s="7"/>
      <c r="GY26" s="7"/>
      <c r="GZ26" s="8"/>
      <c r="HA26" s="8"/>
      <c r="HB26" s="8"/>
      <c r="HC26" s="8"/>
      <c r="HD26" s="8"/>
      <c r="HE26" s="7"/>
      <c r="HF26" s="7"/>
      <c r="HG26" s="8"/>
      <c r="HH26" s="8"/>
      <c r="HI26" s="8"/>
      <c r="HJ26" s="8"/>
      <c r="HK26" s="8"/>
      <c r="HL26" s="7"/>
      <c r="HM26" s="7"/>
      <c r="HN26" s="8"/>
      <c r="HO26" s="8"/>
      <c r="HP26" s="8"/>
      <c r="HQ26" s="69"/>
      <c r="HR26" s="69"/>
      <c r="HS26" s="7"/>
      <c r="HT26" s="7"/>
      <c r="HU26" s="8"/>
      <c r="HV26" s="8"/>
      <c r="HW26" s="8"/>
      <c r="HX26" s="8"/>
      <c r="HY26" s="8"/>
      <c r="HZ26" s="7"/>
      <c r="IA26" s="7"/>
      <c r="IB26" s="8"/>
      <c r="IC26" s="8"/>
      <c r="ID26" s="8"/>
      <c r="IE26" s="8"/>
      <c r="IF26" s="8"/>
      <c r="IG26" s="7"/>
      <c r="IH26" s="7"/>
      <c r="II26" s="8"/>
      <c r="IJ26" s="8"/>
      <c r="IK26" s="8"/>
      <c r="IL26" s="8"/>
      <c r="IM26" s="8"/>
      <c r="IN26" s="7"/>
      <c r="IO26" s="7"/>
      <c r="IP26" s="8"/>
      <c r="IQ26" s="280" t="s">
        <v>1</v>
      </c>
      <c r="IR26" s="280" t="s">
        <v>1</v>
      </c>
      <c r="IS26" s="280" t="s">
        <v>1</v>
      </c>
      <c r="IT26" s="280" t="s">
        <v>1</v>
      </c>
      <c r="IU26" s="184"/>
      <c r="IV26" s="55"/>
      <c r="IW26" s="280" t="s">
        <v>1</v>
      </c>
      <c r="IX26" s="280" t="s">
        <v>1</v>
      </c>
      <c r="IY26" s="280" t="s">
        <v>1</v>
      </c>
      <c r="IZ26" s="280" t="s">
        <v>1</v>
      </c>
      <c r="JA26" s="280" t="s">
        <v>1</v>
      </c>
      <c r="JB26" s="7"/>
      <c r="JC26" s="7"/>
      <c r="JD26" s="280" t="s">
        <v>1</v>
      </c>
      <c r="JE26" s="280" t="s">
        <v>1</v>
      </c>
      <c r="JF26" s="280" t="s">
        <v>1</v>
      </c>
      <c r="JG26" s="280" t="s">
        <v>1</v>
      </c>
      <c r="JH26" s="280" t="s">
        <v>1</v>
      </c>
      <c r="JI26" s="7"/>
      <c r="JJ26" s="7"/>
      <c r="JK26" s="67" t="s">
        <v>5</v>
      </c>
      <c r="JL26" s="67" t="s">
        <v>5</v>
      </c>
      <c r="JM26" s="67" t="s">
        <v>5</v>
      </c>
      <c r="JN26" s="67" t="s">
        <v>5</v>
      </c>
      <c r="JO26" s="67" t="s">
        <v>5</v>
      </c>
      <c r="JP26" s="7"/>
      <c r="JQ26" s="7"/>
      <c r="JR26" s="280" t="s">
        <v>1</v>
      </c>
      <c r="JS26" s="8"/>
      <c r="JT26" s="69"/>
      <c r="JU26" s="8"/>
      <c r="JV26" s="8"/>
      <c r="JW26" s="7"/>
      <c r="JX26" s="7"/>
      <c r="JY26" s="8"/>
      <c r="JZ26" s="148"/>
      <c r="KA26" s="69"/>
      <c r="KB26" s="8"/>
      <c r="KC26" s="8"/>
      <c r="KD26" s="7"/>
      <c r="KE26" s="7"/>
      <c r="KF26" s="8"/>
      <c r="KG26" s="8"/>
      <c r="KH26" s="8"/>
      <c r="KI26" s="8"/>
      <c r="KJ26" s="8"/>
      <c r="KK26" s="7"/>
      <c r="KL26" s="7"/>
      <c r="KM26" s="8"/>
      <c r="KN26" s="8"/>
      <c r="KO26" s="8"/>
      <c r="KP26" s="8"/>
      <c r="KQ26" s="8"/>
      <c r="KR26" s="7"/>
      <c r="KS26" s="7"/>
      <c r="KT26" s="8"/>
      <c r="KU26" s="8"/>
      <c r="KV26" s="8"/>
      <c r="KW26" s="8"/>
      <c r="KX26" s="8"/>
      <c r="KY26" s="7"/>
      <c r="KZ26" s="7"/>
      <c r="LA26" s="8"/>
      <c r="LB26" s="8"/>
      <c r="LC26" s="8"/>
      <c r="LD26" s="8"/>
      <c r="LE26" s="58"/>
      <c r="LF26" s="337"/>
      <c r="LG26" s="145"/>
      <c r="LH26" s="144"/>
      <c r="LI26" s="144"/>
      <c r="LJ26" s="144"/>
      <c r="LK26" s="144"/>
      <c r="LL26" s="144"/>
      <c r="LM26" s="145"/>
      <c r="LN26" s="145"/>
      <c r="LO26" s="144"/>
      <c r="LP26" s="144"/>
      <c r="LQ26" s="144"/>
      <c r="LR26" s="144"/>
      <c r="LS26" s="144"/>
      <c r="LT26" s="145"/>
      <c r="LU26" s="145"/>
      <c r="LV26" s="144"/>
      <c r="LW26" s="144"/>
      <c r="LX26" s="144"/>
      <c r="LY26" s="144"/>
      <c r="LZ26" s="144"/>
      <c r="MA26" s="145"/>
      <c r="MB26" s="145"/>
      <c r="MC26" s="144"/>
      <c r="MD26" s="144"/>
      <c r="ME26" s="144"/>
      <c r="MF26" s="144"/>
      <c r="MG26" s="146"/>
      <c r="MH26" s="337"/>
      <c r="MI26" s="145"/>
      <c r="MJ26" s="144"/>
      <c r="MK26" s="144"/>
      <c r="ML26" s="144"/>
      <c r="MM26" s="144"/>
      <c r="MN26" s="144"/>
      <c r="MO26" s="145"/>
      <c r="MP26" s="145"/>
      <c r="MQ26" s="144"/>
      <c r="MR26" s="144"/>
      <c r="MS26" s="144"/>
      <c r="MT26" s="144"/>
      <c r="MU26" s="144"/>
      <c r="MV26" s="145"/>
      <c r="MW26" s="145"/>
      <c r="MX26" s="144"/>
      <c r="MY26" s="144"/>
      <c r="MZ26" s="144"/>
      <c r="NA26" s="144"/>
      <c r="NB26" s="144"/>
      <c r="NC26" s="145"/>
      <c r="ND26" s="145"/>
      <c r="NE26" s="144"/>
      <c r="NF26" s="144"/>
      <c r="NG26" s="144"/>
      <c r="NH26" s="144"/>
      <c r="NI26" s="144"/>
      <c r="NJ26" s="145"/>
      <c r="NK26" s="145"/>
      <c r="NL26" s="146"/>
    </row>
    <row r="27" spans="1:376" customFormat="1" ht="15" customHeight="1" thickBot="1">
      <c r="A27" s="1"/>
      <c r="B27" s="29" t="s">
        <v>112</v>
      </c>
      <c r="C27" s="29" t="s">
        <v>30</v>
      </c>
      <c r="D27" s="29" t="s">
        <v>49</v>
      </c>
      <c r="E27" s="37">
        <v>0</v>
      </c>
      <c r="F27" s="29">
        <v>15</v>
      </c>
      <c r="G27" s="29">
        <v>3</v>
      </c>
      <c r="H27" s="29">
        <f t="shared" ref="H27" si="8">E27+F27-COUNTIF(L27:NL27,$C$2)</f>
        <v>2</v>
      </c>
      <c r="I27" s="30">
        <f t="shared" ref="I27" si="9">G27-COUNTIF(L27:NL27,$C$3)</f>
        <v>3</v>
      </c>
      <c r="J27" s="30">
        <f t="shared" ref="J27" si="10">COUNTIF(K27:NG27,$C$4)</f>
        <v>0</v>
      </c>
      <c r="K27" s="71">
        <f t="shared" ref="K27" si="11">COUNTIF(L27:NL27,$C$5)</f>
        <v>0</v>
      </c>
      <c r="L27" s="8"/>
      <c r="M27" s="8"/>
      <c r="N27" s="8"/>
      <c r="O27" s="8"/>
      <c r="P27" s="8"/>
      <c r="Q27" s="7"/>
      <c r="R27" s="7"/>
      <c r="S27" s="8"/>
      <c r="T27" s="8"/>
      <c r="U27" s="8"/>
      <c r="V27" s="8"/>
      <c r="W27" s="8"/>
      <c r="X27" s="7"/>
      <c r="Y27" s="7"/>
      <c r="Z27" s="8"/>
      <c r="AA27" s="8"/>
      <c r="AB27" s="8"/>
      <c r="AC27" s="8"/>
      <c r="AD27" s="8"/>
      <c r="AE27" s="7"/>
      <c r="AF27" s="7"/>
      <c r="AG27" s="8"/>
      <c r="AH27" s="8"/>
      <c r="AI27" s="8"/>
      <c r="AJ27" s="8"/>
      <c r="AK27" s="8"/>
      <c r="AL27" s="7"/>
      <c r="AM27" s="7"/>
      <c r="AN27" s="8"/>
      <c r="AO27" s="148"/>
      <c r="AP27" s="69"/>
      <c r="AQ27" s="8"/>
      <c r="AR27" s="8"/>
      <c r="AS27" s="7"/>
      <c r="AT27" s="7"/>
      <c r="AU27" s="8"/>
      <c r="AV27" s="8"/>
      <c r="AW27" s="8"/>
      <c r="AX27" s="8"/>
      <c r="AY27" s="8"/>
      <c r="AZ27" s="7"/>
      <c r="BA27" s="7"/>
      <c r="BB27" s="8"/>
      <c r="BC27" s="8"/>
      <c r="BD27" s="8"/>
      <c r="BE27" s="8"/>
      <c r="BF27" s="8"/>
      <c r="BG27" s="7"/>
      <c r="BH27" s="7"/>
      <c r="BI27" s="8"/>
      <c r="BJ27" s="69"/>
      <c r="BK27" s="8"/>
      <c r="BL27" s="8"/>
      <c r="BM27" s="8"/>
      <c r="BN27" s="7"/>
      <c r="BO27" s="7"/>
      <c r="BP27" s="8"/>
      <c r="BQ27" s="8"/>
      <c r="BR27" s="8"/>
      <c r="BS27" s="8"/>
      <c r="BT27" s="148"/>
      <c r="BU27" s="7"/>
      <c r="BV27" s="7"/>
      <c r="BW27" s="8"/>
      <c r="BX27" s="8"/>
      <c r="BY27" s="8"/>
      <c r="BZ27" s="8"/>
      <c r="CA27" s="8"/>
      <c r="CB27" s="7"/>
      <c r="CC27" s="7"/>
      <c r="CD27" s="8"/>
      <c r="CE27" s="8"/>
      <c r="CF27" s="8"/>
      <c r="CG27" s="8"/>
      <c r="CH27" s="8"/>
      <c r="CI27" s="7"/>
      <c r="CJ27" s="7"/>
      <c r="CK27" s="8"/>
      <c r="CL27" s="8"/>
      <c r="CM27" s="8"/>
      <c r="CN27" s="69"/>
      <c r="CO27" s="8"/>
      <c r="CP27" s="7"/>
      <c r="CQ27" s="7"/>
      <c r="CR27" s="8"/>
      <c r="CS27" s="8"/>
      <c r="CT27" s="8"/>
      <c r="CU27" s="8"/>
      <c r="CV27" s="8"/>
      <c r="CW27" s="7"/>
      <c r="CX27" s="7"/>
      <c r="CY27" s="28"/>
      <c r="CZ27" s="8"/>
      <c r="DA27" s="8"/>
      <c r="DB27" s="8"/>
      <c r="DC27" s="8"/>
      <c r="DD27" s="7"/>
      <c r="DE27" s="7"/>
      <c r="DF27" s="8"/>
      <c r="DG27" s="8"/>
      <c r="DH27" s="8"/>
      <c r="DI27" s="8"/>
      <c r="DJ27" s="8"/>
      <c r="DK27" s="7"/>
      <c r="DL27" s="7"/>
      <c r="DM27" s="8"/>
      <c r="DN27" s="69"/>
      <c r="DO27" s="8"/>
      <c r="DP27" s="8"/>
      <c r="DQ27" s="8"/>
      <c r="DR27" s="7"/>
      <c r="DS27" s="7"/>
      <c r="DT27" s="8"/>
      <c r="DU27" s="8"/>
      <c r="DV27" s="8"/>
      <c r="DW27" s="8"/>
      <c r="DX27" s="8"/>
      <c r="DY27" s="7"/>
      <c r="DZ27" s="7"/>
      <c r="EA27" s="8"/>
      <c r="EB27" s="8"/>
      <c r="EC27" s="148"/>
      <c r="ED27" s="28"/>
      <c r="EE27" s="8"/>
      <c r="EF27" s="7"/>
      <c r="EG27" s="7"/>
      <c r="EH27" s="8"/>
      <c r="EI27" s="8"/>
      <c r="EJ27" s="8"/>
      <c r="EK27" s="8"/>
      <c r="EL27" s="8"/>
      <c r="EM27" s="7"/>
      <c r="EN27" s="7"/>
      <c r="EO27" s="8"/>
      <c r="EP27" s="8"/>
      <c r="EQ27" s="8"/>
      <c r="ER27" s="69"/>
      <c r="ES27" s="8"/>
      <c r="ET27" s="7"/>
      <c r="EU27" s="7"/>
      <c r="EV27" s="8"/>
      <c r="EW27" s="8"/>
      <c r="EX27" s="8"/>
      <c r="EY27" s="8"/>
      <c r="EZ27" s="8"/>
      <c r="FA27" s="7"/>
      <c r="FB27" s="7"/>
      <c r="FC27" s="8"/>
      <c r="FD27" s="8"/>
      <c r="FE27" s="8"/>
      <c r="FF27" s="8"/>
      <c r="FG27" s="8"/>
      <c r="FH27" s="184"/>
      <c r="FI27" s="55"/>
      <c r="FJ27" s="8"/>
      <c r="FK27" s="8"/>
      <c r="FL27" s="8"/>
      <c r="FM27" s="8"/>
      <c r="FN27" s="8"/>
      <c r="FO27" s="7"/>
      <c r="FP27" s="7"/>
      <c r="FQ27" s="8"/>
      <c r="FR27" s="8"/>
      <c r="FS27" s="8"/>
      <c r="FT27" s="8"/>
      <c r="FU27" s="8"/>
      <c r="FV27" s="7"/>
      <c r="FW27" s="7"/>
      <c r="FX27" s="280" t="s">
        <v>1</v>
      </c>
      <c r="FY27" s="280" t="s">
        <v>1</v>
      </c>
      <c r="FZ27" s="69"/>
      <c r="GA27" s="69"/>
      <c r="GB27" s="69"/>
      <c r="GC27" s="7"/>
      <c r="GD27" s="7"/>
      <c r="GE27" s="8"/>
      <c r="GF27" s="8"/>
      <c r="GG27" s="8"/>
      <c r="GH27" s="8"/>
      <c r="GI27" s="8"/>
      <c r="GJ27" s="7"/>
      <c r="GK27" s="7"/>
      <c r="GL27" s="148"/>
      <c r="GM27" s="28"/>
      <c r="GN27" s="8"/>
      <c r="GO27" s="8"/>
      <c r="GP27" s="8"/>
      <c r="GQ27" s="7"/>
      <c r="GR27" s="7"/>
      <c r="GS27" s="8"/>
      <c r="GT27" s="8"/>
      <c r="GU27" s="8"/>
      <c r="GV27" s="8"/>
      <c r="GW27" s="8"/>
      <c r="GX27" s="7"/>
      <c r="GY27" s="7"/>
      <c r="GZ27" s="8"/>
      <c r="HA27" s="8"/>
      <c r="HB27" s="8"/>
      <c r="HC27" s="8"/>
      <c r="HD27" s="8"/>
      <c r="HE27" s="7"/>
      <c r="HF27" s="7"/>
      <c r="HG27" s="8"/>
      <c r="HH27" s="8"/>
      <c r="HI27" s="8"/>
      <c r="HJ27" s="8"/>
      <c r="HK27" s="8"/>
      <c r="HL27" s="7"/>
      <c r="HM27" s="7"/>
      <c r="HN27" s="66" t="s">
        <v>1</v>
      </c>
      <c r="HO27" s="66" t="s">
        <v>1</v>
      </c>
      <c r="HP27" s="66" t="s">
        <v>1</v>
      </c>
      <c r="HQ27" s="69"/>
      <c r="HR27" s="69"/>
      <c r="HS27" s="7"/>
      <c r="HT27" s="7"/>
      <c r="HU27" s="8"/>
      <c r="HV27" s="8"/>
      <c r="HW27" s="8"/>
      <c r="HX27" s="8"/>
      <c r="HY27" s="8"/>
      <c r="HZ27" s="7"/>
      <c r="IA27" s="7"/>
      <c r="IB27" s="8"/>
      <c r="IC27" s="8"/>
      <c r="ID27" s="8"/>
      <c r="IE27" s="8"/>
      <c r="IF27" s="8"/>
      <c r="IG27" s="7"/>
      <c r="IH27" s="7"/>
      <c r="II27" s="8"/>
      <c r="IJ27" s="8"/>
      <c r="IK27" s="8"/>
      <c r="IL27" s="8"/>
      <c r="IM27" s="8"/>
      <c r="IN27" s="7"/>
      <c r="IO27" s="7"/>
      <c r="IP27" s="8"/>
      <c r="IQ27" s="8"/>
      <c r="IR27" s="8"/>
      <c r="IS27" s="8"/>
      <c r="IT27" s="8"/>
      <c r="IU27" s="184"/>
      <c r="IV27" s="55"/>
      <c r="IW27" s="8"/>
      <c r="IX27" s="8"/>
      <c r="IY27" s="8"/>
      <c r="IZ27" s="8"/>
      <c r="JA27" s="8"/>
      <c r="JB27" s="7"/>
      <c r="JC27" s="7"/>
      <c r="JD27" s="8"/>
      <c r="JE27" s="8"/>
      <c r="JF27" s="8"/>
      <c r="JG27" s="8"/>
      <c r="JH27" s="8"/>
      <c r="JI27" s="7"/>
      <c r="JJ27" s="7"/>
      <c r="JK27" s="8"/>
      <c r="JL27" s="8"/>
      <c r="JM27" s="8"/>
      <c r="JN27" s="8"/>
      <c r="JO27" s="8"/>
      <c r="JP27" s="7"/>
      <c r="JQ27" s="7"/>
      <c r="JR27" s="8"/>
      <c r="JS27" s="8"/>
      <c r="JT27" s="69"/>
      <c r="JU27" s="8"/>
      <c r="JV27" s="8"/>
      <c r="JW27" s="7"/>
      <c r="JX27" s="7"/>
      <c r="JY27" s="280" t="s">
        <v>1</v>
      </c>
      <c r="JZ27" s="280" t="s">
        <v>1</v>
      </c>
      <c r="KA27" s="69"/>
      <c r="KB27" s="280" t="s">
        <v>1</v>
      </c>
      <c r="KC27" s="280" t="s">
        <v>1</v>
      </c>
      <c r="KD27" s="7"/>
      <c r="KE27" s="7"/>
      <c r="KF27" s="8"/>
      <c r="KG27" s="8"/>
      <c r="KH27" s="8"/>
      <c r="KI27" s="8"/>
      <c r="KJ27" s="8"/>
      <c r="KK27" s="7"/>
      <c r="KL27" s="7"/>
      <c r="KM27" s="8"/>
      <c r="KN27" s="8"/>
      <c r="KO27" s="8"/>
      <c r="KP27" s="8"/>
      <c r="KQ27" s="8"/>
      <c r="KR27" s="7"/>
      <c r="KS27" s="7"/>
      <c r="KT27" s="8"/>
      <c r="KU27" s="8"/>
      <c r="KV27" s="8"/>
      <c r="KW27" s="8"/>
      <c r="KX27" s="8"/>
      <c r="KY27" s="7"/>
      <c r="KZ27" s="7"/>
      <c r="LA27" s="8"/>
      <c r="LB27" s="8"/>
      <c r="LC27" s="8"/>
      <c r="LD27" s="8"/>
      <c r="LE27" s="58"/>
      <c r="LF27" s="329"/>
      <c r="LG27" s="151"/>
      <c r="LH27" s="150"/>
      <c r="LI27" s="150"/>
      <c r="LJ27" s="339" t="s">
        <v>1</v>
      </c>
      <c r="LK27" s="339" t="s">
        <v>1</v>
      </c>
      <c r="LL27" s="339" t="s">
        <v>1</v>
      </c>
      <c r="LM27" s="151"/>
      <c r="LN27" s="151"/>
      <c r="LO27" s="339" t="s">
        <v>1</v>
      </c>
      <c r="LP27" s="150"/>
      <c r="LQ27" s="150"/>
      <c r="LR27" s="150"/>
      <c r="LS27" s="150"/>
      <c r="LT27" s="151"/>
      <c r="LU27" s="151"/>
      <c r="LV27" s="150"/>
      <c r="LW27" s="150"/>
      <c r="LX27" s="150"/>
      <c r="LY27" s="150"/>
      <c r="LZ27" s="150"/>
      <c r="MA27" s="151"/>
      <c r="MB27" s="151"/>
      <c r="MC27" s="150"/>
      <c r="MD27" s="150"/>
      <c r="ME27" s="150"/>
      <c r="MF27" s="150"/>
      <c r="MG27" s="152"/>
      <c r="MH27" s="329"/>
      <c r="MI27" s="151"/>
      <c r="MJ27" s="150"/>
      <c r="MK27" s="150"/>
      <c r="ML27" s="150"/>
      <c r="MM27" s="150"/>
      <c r="MN27" s="150"/>
      <c r="MO27" s="151"/>
      <c r="MP27" s="151"/>
      <c r="MQ27" s="150"/>
      <c r="MR27" s="150"/>
      <c r="MS27" s="150"/>
      <c r="MT27" s="150"/>
      <c r="MU27" s="150"/>
      <c r="MV27" s="151"/>
      <c r="MW27" s="151"/>
      <c r="MX27" s="150"/>
      <c r="MY27" s="150"/>
      <c r="MZ27" s="150"/>
      <c r="NA27" s="150"/>
      <c r="NB27" s="150"/>
      <c r="NC27" s="151"/>
      <c r="ND27" s="151"/>
      <c r="NE27" s="150"/>
      <c r="NF27" s="150"/>
      <c r="NG27" s="150"/>
      <c r="NH27" s="150"/>
      <c r="NI27" s="150"/>
      <c r="NJ27" s="151"/>
      <c r="NK27" s="151"/>
      <c r="NL27" s="152"/>
    </row>
    <row r="28" spans="1:376" customFormat="1" ht="15" hidden="1" customHeight="1" thickBot="1">
      <c r="A28" s="1"/>
      <c r="B28" s="278" t="s">
        <v>59</v>
      </c>
      <c r="C28" s="278" t="s">
        <v>30</v>
      </c>
      <c r="D28" s="278" t="s">
        <v>60</v>
      </c>
      <c r="E28" s="37">
        <v>0</v>
      </c>
      <c r="F28" s="29">
        <v>23</v>
      </c>
      <c r="G28" s="29">
        <v>0</v>
      </c>
      <c r="H28" s="29">
        <f t="shared" si="0"/>
        <v>23</v>
      </c>
      <c r="I28" s="30">
        <f t="shared" si="1"/>
        <v>0</v>
      </c>
      <c r="J28" s="30">
        <f t="shared" si="2"/>
        <v>0</v>
      </c>
      <c r="K28" s="71">
        <f t="shared" si="3"/>
        <v>0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245"/>
      <c r="AP28" s="247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247"/>
      <c r="BK28" s="32"/>
      <c r="BL28" s="32"/>
      <c r="BM28" s="32"/>
      <c r="BN28" s="32"/>
      <c r="BO28" s="32"/>
      <c r="BP28" s="32"/>
      <c r="BQ28" s="32"/>
      <c r="BR28" s="32"/>
      <c r="BS28" s="32"/>
      <c r="BT28" s="245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247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277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247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245"/>
      <c r="ED28" s="277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247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245"/>
      <c r="FI28" s="277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247"/>
      <c r="GA28" s="247"/>
      <c r="GB28" s="247"/>
      <c r="GC28" s="32"/>
      <c r="GD28" s="32"/>
      <c r="GE28" s="32"/>
      <c r="GF28" s="32"/>
      <c r="GG28" s="32"/>
      <c r="GH28" s="32"/>
      <c r="GI28" s="32"/>
      <c r="GJ28" s="32"/>
      <c r="GK28" s="32"/>
      <c r="GL28" s="245"/>
      <c r="GM28" s="277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247"/>
      <c r="HR28" s="247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245"/>
      <c r="IV28" s="277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247"/>
      <c r="JU28" s="32"/>
      <c r="JV28" s="32"/>
      <c r="JW28" s="32"/>
      <c r="JX28" s="32"/>
      <c r="JY28" s="32"/>
      <c r="JZ28" s="245"/>
      <c r="KA28" s="247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245"/>
      <c r="LF28" s="328"/>
      <c r="LG28" s="328"/>
      <c r="LH28" s="328"/>
      <c r="LI28" s="328"/>
      <c r="LJ28" s="328"/>
      <c r="LK28" s="328"/>
      <c r="LL28" s="328"/>
      <c r="LM28" s="328"/>
      <c r="LN28" s="328"/>
      <c r="LO28" s="328"/>
      <c r="LP28" s="328"/>
      <c r="LQ28" s="328"/>
      <c r="LR28" s="328"/>
      <c r="LS28" s="328"/>
      <c r="LT28" s="328"/>
      <c r="LU28" s="328"/>
      <c r="LV28" s="328"/>
      <c r="LW28" s="328"/>
      <c r="LX28" s="328"/>
      <c r="LY28" s="328"/>
      <c r="LZ28" s="328"/>
      <c r="MA28" s="328"/>
      <c r="MB28" s="328"/>
      <c r="MC28" s="328"/>
      <c r="MD28" s="328"/>
      <c r="ME28" s="328"/>
      <c r="MF28" s="328"/>
      <c r="MG28" s="328"/>
      <c r="MH28" s="346"/>
      <c r="MI28" s="328"/>
      <c r="MJ28" s="328"/>
      <c r="MK28" s="328"/>
      <c r="ML28" s="328"/>
      <c r="MM28" s="328"/>
      <c r="MN28" s="328"/>
      <c r="MO28" s="328"/>
      <c r="MP28" s="328"/>
      <c r="MQ28" s="328"/>
      <c r="MR28" s="328"/>
      <c r="MS28" s="328"/>
      <c r="MT28" s="328"/>
      <c r="MU28" s="328"/>
      <c r="MV28" s="328"/>
      <c r="MW28" s="328"/>
      <c r="MX28" s="328"/>
      <c r="MY28" s="328"/>
      <c r="MZ28" s="328"/>
      <c r="NA28" s="328"/>
      <c r="NB28" s="328"/>
      <c r="NC28" s="328"/>
      <c r="ND28" s="328"/>
      <c r="NE28" s="328"/>
      <c r="NF28" s="328"/>
      <c r="NG28" s="328"/>
      <c r="NH28" s="328"/>
      <c r="NI28" s="328"/>
      <c r="NJ28" s="328"/>
      <c r="NK28" s="328"/>
      <c r="NL28" s="347"/>
    </row>
    <row r="29" spans="1:376" customFormat="1" ht="15" customHeight="1">
      <c r="A29" s="1"/>
      <c r="B29" s="29" t="s">
        <v>105</v>
      </c>
      <c r="C29" s="29" t="s">
        <v>30</v>
      </c>
      <c r="D29" s="29" t="s">
        <v>106</v>
      </c>
      <c r="E29" s="37">
        <v>0</v>
      </c>
      <c r="F29" s="29">
        <v>15</v>
      </c>
      <c r="G29" s="29">
        <v>3</v>
      </c>
      <c r="H29" s="29">
        <f t="shared" si="0"/>
        <v>6</v>
      </c>
      <c r="I29" s="30">
        <f t="shared" si="1"/>
        <v>3</v>
      </c>
      <c r="J29" s="30">
        <f t="shared" si="2"/>
        <v>0</v>
      </c>
      <c r="K29" s="71">
        <f t="shared" si="3"/>
        <v>0</v>
      </c>
      <c r="L29" s="8"/>
      <c r="M29" s="8"/>
      <c r="N29" s="8"/>
      <c r="O29" s="8"/>
      <c r="P29" s="8"/>
      <c r="Q29" s="7"/>
      <c r="R29" s="7"/>
      <c r="S29" s="8"/>
      <c r="T29" s="8"/>
      <c r="U29" s="8"/>
      <c r="V29" s="8"/>
      <c r="W29" s="8"/>
      <c r="X29" s="7"/>
      <c r="Y29" s="7"/>
      <c r="Z29" s="8"/>
      <c r="AA29" s="8"/>
      <c r="AB29" s="8"/>
      <c r="AC29" s="8"/>
      <c r="AD29" s="8"/>
      <c r="AE29" s="7"/>
      <c r="AF29" s="7"/>
      <c r="AG29" s="8"/>
      <c r="AH29" s="8"/>
      <c r="AI29" s="8"/>
      <c r="AJ29" s="8"/>
      <c r="AK29" s="8"/>
      <c r="AL29" s="7"/>
      <c r="AM29" s="7"/>
      <c r="AN29" s="8"/>
      <c r="AO29" s="148"/>
      <c r="AP29" s="69"/>
      <c r="AQ29" s="8"/>
      <c r="AR29" s="8"/>
      <c r="AS29" s="7"/>
      <c r="AT29" s="7"/>
      <c r="AU29" s="8"/>
      <c r="AV29" s="8"/>
      <c r="AW29" s="8"/>
      <c r="AX29" s="8"/>
      <c r="AY29" s="8"/>
      <c r="AZ29" s="7"/>
      <c r="BA29" s="7"/>
      <c r="BB29" s="8"/>
      <c r="BC29" s="8"/>
      <c r="BD29" s="8"/>
      <c r="BE29" s="8"/>
      <c r="BF29" s="8"/>
      <c r="BG29" s="7"/>
      <c r="BH29" s="7"/>
      <c r="BI29" s="8"/>
      <c r="BJ29" s="69"/>
      <c r="BK29" s="8"/>
      <c r="BL29" s="8"/>
      <c r="BM29" s="8"/>
      <c r="BN29" s="7"/>
      <c r="BO29" s="7"/>
      <c r="BP29" s="8"/>
      <c r="BQ29" s="8"/>
      <c r="BR29" s="8"/>
      <c r="BS29" s="8"/>
      <c r="BT29" s="148"/>
      <c r="BU29" s="7"/>
      <c r="BV29" s="7"/>
      <c r="BW29" s="8"/>
      <c r="BX29" s="8"/>
      <c r="BY29" s="8"/>
      <c r="BZ29" s="8"/>
      <c r="CA29" s="8"/>
      <c r="CB29" s="7"/>
      <c r="CC29" s="7"/>
      <c r="CD29" s="8"/>
      <c r="CE29" s="8"/>
      <c r="CF29" s="8"/>
      <c r="CG29" s="8"/>
      <c r="CH29" s="8"/>
      <c r="CI29" s="7"/>
      <c r="CJ29" s="7"/>
      <c r="CK29" s="8"/>
      <c r="CL29" s="8"/>
      <c r="CM29" s="8"/>
      <c r="CN29" s="69"/>
      <c r="CO29" s="8"/>
      <c r="CP29" s="7"/>
      <c r="CQ29" s="7"/>
      <c r="CR29" s="8"/>
      <c r="CS29" s="8"/>
      <c r="CT29" s="8"/>
      <c r="CU29" s="8"/>
      <c r="CV29" s="8"/>
      <c r="CW29" s="7"/>
      <c r="CX29" s="7"/>
      <c r="CY29" s="28"/>
      <c r="CZ29" s="8"/>
      <c r="DA29" s="8"/>
      <c r="DB29" s="8"/>
      <c r="DC29" s="8"/>
      <c r="DD29" s="7"/>
      <c r="DE29" s="7"/>
      <c r="DF29" s="8"/>
      <c r="DG29" s="8"/>
      <c r="DH29" s="8"/>
      <c r="DI29" s="8"/>
      <c r="DJ29" s="8"/>
      <c r="DK29" s="7"/>
      <c r="DL29" s="7"/>
      <c r="DM29" s="8"/>
      <c r="DN29" s="69"/>
      <c r="DO29" s="8"/>
      <c r="DP29" s="8"/>
      <c r="DQ29" s="8"/>
      <c r="DR29" s="7"/>
      <c r="DS29" s="7"/>
      <c r="DT29" s="8"/>
      <c r="DU29" s="8"/>
      <c r="DV29" s="8"/>
      <c r="DW29" s="8"/>
      <c r="DX29" s="8"/>
      <c r="DY29" s="7"/>
      <c r="DZ29" s="7"/>
      <c r="EA29" s="8"/>
      <c r="EB29" s="8"/>
      <c r="EC29" s="148"/>
      <c r="ED29" s="28"/>
      <c r="EE29" s="8"/>
      <c r="EF29" s="7"/>
      <c r="EG29" s="7"/>
      <c r="EH29" s="8"/>
      <c r="EI29" s="8"/>
      <c r="EJ29" s="8"/>
      <c r="EK29" s="8"/>
      <c r="EL29" s="8"/>
      <c r="EM29" s="7"/>
      <c r="EN29" s="7"/>
      <c r="EO29" s="8"/>
      <c r="EP29" s="8"/>
      <c r="EQ29" s="8"/>
      <c r="ER29" s="69"/>
      <c r="ES29" s="8"/>
      <c r="ET29" s="7"/>
      <c r="EU29" s="7"/>
      <c r="EV29" s="8"/>
      <c r="EW29" s="8"/>
      <c r="EX29" s="8"/>
      <c r="EY29" s="8"/>
      <c r="EZ29" s="8"/>
      <c r="FA29" s="7"/>
      <c r="FB29" s="7"/>
      <c r="FC29" s="8"/>
      <c r="FD29" s="8"/>
      <c r="FE29" s="8"/>
      <c r="FF29" s="8"/>
      <c r="FG29" s="8"/>
      <c r="FH29" s="184"/>
      <c r="FI29" s="55"/>
      <c r="FJ29" s="8"/>
      <c r="FK29" s="8"/>
      <c r="FL29" s="8"/>
      <c r="FM29" s="8"/>
      <c r="FN29" s="8"/>
      <c r="FO29" s="7"/>
      <c r="FP29" s="7"/>
      <c r="FQ29" s="8"/>
      <c r="FR29" s="8"/>
      <c r="FS29" s="8"/>
      <c r="FT29" s="8"/>
      <c r="FU29" s="8"/>
      <c r="FV29" s="7"/>
      <c r="FW29" s="7"/>
      <c r="FX29" s="66" t="s">
        <v>1</v>
      </c>
      <c r="FY29" s="66" t="s">
        <v>1</v>
      </c>
      <c r="FZ29" s="69"/>
      <c r="GA29" s="69"/>
      <c r="GB29" s="69"/>
      <c r="GC29" s="7"/>
      <c r="GD29" s="7"/>
      <c r="GE29" s="8"/>
      <c r="GF29" s="8"/>
      <c r="GG29" s="8"/>
      <c r="GH29" s="8"/>
      <c r="GI29" s="8"/>
      <c r="GJ29" s="7"/>
      <c r="GK29" s="7"/>
      <c r="GL29" s="148"/>
      <c r="GM29" s="28"/>
      <c r="GN29" s="8"/>
      <c r="GO29" s="8"/>
      <c r="GP29" s="8"/>
      <c r="GQ29" s="7"/>
      <c r="GR29" s="7"/>
      <c r="GS29" s="8"/>
      <c r="GT29" s="8"/>
      <c r="GU29" s="8"/>
      <c r="GV29" s="8"/>
      <c r="GW29" s="8"/>
      <c r="GX29" s="7"/>
      <c r="GY29" s="7"/>
      <c r="GZ29" s="8"/>
      <c r="HA29" s="8"/>
      <c r="HB29" s="8"/>
      <c r="HC29" s="8"/>
      <c r="HD29" s="8"/>
      <c r="HE29" s="7"/>
      <c r="HF29" s="7"/>
      <c r="HG29" s="8"/>
      <c r="HH29" s="8"/>
      <c r="HI29" s="8"/>
      <c r="HJ29" s="8"/>
      <c r="HK29" s="8"/>
      <c r="HL29" s="7"/>
      <c r="HM29" s="7"/>
      <c r="HN29" s="8"/>
      <c r="HO29" s="8"/>
      <c r="HP29" s="8"/>
      <c r="HQ29" s="69"/>
      <c r="HR29" s="69"/>
      <c r="HS29" s="7"/>
      <c r="HT29" s="7"/>
      <c r="HU29" s="8"/>
      <c r="HV29" s="8"/>
      <c r="HW29" s="8"/>
      <c r="HX29" s="8"/>
      <c r="HY29" s="8"/>
      <c r="HZ29" s="7"/>
      <c r="IA29" s="7"/>
      <c r="IB29" s="8"/>
      <c r="IC29" s="8"/>
      <c r="ID29" s="8"/>
      <c r="IE29" s="8"/>
      <c r="IF29" s="8"/>
      <c r="IG29" s="7"/>
      <c r="IH29" s="7"/>
      <c r="II29" s="8"/>
      <c r="IJ29" s="8"/>
      <c r="IK29" s="8"/>
      <c r="IL29" s="8"/>
      <c r="IM29" s="8"/>
      <c r="IN29" s="7"/>
      <c r="IO29" s="7"/>
      <c r="IP29" s="8"/>
      <c r="IQ29" s="8"/>
      <c r="IR29" s="8"/>
      <c r="IS29" s="8"/>
      <c r="IT29" s="8"/>
      <c r="IU29" s="184"/>
      <c r="IV29" s="55"/>
      <c r="IW29" s="8"/>
      <c r="IX29" s="8"/>
      <c r="IY29" s="8"/>
      <c r="IZ29" s="8"/>
      <c r="JA29" s="8"/>
      <c r="JB29" s="7"/>
      <c r="JC29" s="7"/>
      <c r="JD29" s="8"/>
      <c r="JE29" s="8"/>
      <c r="JF29" s="8"/>
      <c r="JG29" s="8"/>
      <c r="JH29" s="8"/>
      <c r="JI29" s="7"/>
      <c r="JJ29" s="7"/>
      <c r="JK29" s="8"/>
      <c r="JL29" s="8"/>
      <c r="JM29" s="8"/>
      <c r="JN29" s="8"/>
      <c r="JO29" s="8"/>
      <c r="JP29" s="7"/>
      <c r="JQ29" s="7"/>
      <c r="JR29" s="8"/>
      <c r="JS29" s="8"/>
      <c r="JT29" s="69"/>
      <c r="JU29" s="8"/>
      <c r="JV29" s="8"/>
      <c r="JW29" s="7"/>
      <c r="JX29" s="7"/>
      <c r="JY29" s="8"/>
      <c r="JZ29" s="148"/>
      <c r="KA29" s="69"/>
      <c r="KB29" s="280" t="s">
        <v>1</v>
      </c>
      <c r="KC29" s="280" t="s">
        <v>1</v>
      </c>
      <c r="KD29" s="7"/>
      <c r="KE29" s="7"/>
      <c r="KF29" s="8"/>
      <c r="KG29" s="8"/>
      <c r="KH29" s="8"/>
      <c r="KI29" s="8"/>
      <c r="KJ29" s="8"/>
      <c r="KK29" s="7"/>
      <c r="KL29" s="7"/>
      <c r="KM29" s="8"/>
      <c r="KN29" s="8"/>
      <c r="KO29" s="8"/>
      <c r="KP29" s="8"/>
      <c r="KQ29" s="8"/>
      <c r="KR29" s="7"/>
      <c r="KS29" s="7"/>
      <c r="KT29" s="8"/>
      <c r="KU29" s="8"/>
      <c r="KV29" s="8"/>
      <c r="KW29" s="8"/>
      <c r="KX29" s="8"/>
      <c r="KY29" s="7"/>
      <c r="KZ29" s="7"/>
      <c r="LA29" s="8"/>
      <c r="LB29" s="8"/>
      <c r="LC29" s="8"/>
      <c r="LD29" s="8"/>
      <c r="LE29" s="58"/>
      <c r="LF29" s="337"/>
      <c r="LG29" s="145"/>
      <c r="LH29" s="144"/>
      <c r="LI29" s="144"/>
      <c r="LJ29" s="144"/>
      <c r="LK29" s="144"/>
      <c r="LL29" s="144"/>
      <c r="LM29" s="145"/>
      <c r="LN29" s="145"/>
      <c r="LO29" s="144"/>
      <c r="LP29" s="144"/>
      <c r="LQ29" s="144"/>
      <c r="LR29" s="144"/>
      <c r="LS29" s="144"/>
      <c r="LT29" s="145"/>
      <c r="LU29" s="145"/>
      <c r="LV29" s="144"/>
      <c r="LW29" s="144"/>
      <c r="LX29" s="144"/>
      <c r="LY29" s="144"/>
      <c r="LZ29" s="144"/>
      <c r="MA29" s="145"/>
      <c r="MB29" s="145"/>
      <c r="MC29" s="340"/>
      <c r="MD29" s="340"/>
      <c r="ME29" s="340"/>
      <c r="MF29" s="340"/>
      <c r="MG29" s="341"/>
      <c r="MH29" s="337"/>
      <c r="MI29" s="145"/>
      <c r="MJ29" s="340"/>
      <c r="MK29" s="340"/>
      <c r="ML29" s="340"/>
      <c r="MM29" s="340"/>
      <c r="MN29" s="340"/>
      <c r="MO29" s="145"/>
      <c r="MP29" s="145"/>
      <c r="MQ29" s="340"/>
      <c r="MR29" s="340"/>
      <c r="MS29" s="340"/>
      <c r="MT29" s="340"/>
      <c r="MU29" s="340"/>
      <c r="MV29" s="145"/>
      <c r="MW29" s="145"/>
      <c r="MX29" s="166" t="s">
        <v>1</v>
      </c>
      <c r="MY29" s="166" t="s">
        <v>1</v>
      </c>
      <c r="MZ29" s="166" t="s">
        <v>1</v>
      </c>
      <c r="NA29" s="166" t="s">
        <v>1</v>
      </c>
      <c r="NB29" s="166" t="s">
        <v>1</v>
      </c>
      <c r="NC29" s="145"/>
      <c r="ND29" s="145"/>
      <c r="NE29" s="144"/>
      <c r="NF29" s="144"/>
      <c r="NG29" s="144"/>
      <c r="NH29" s="144"/>
      <c r="NI29" s="144"/>
      <c r="NJ29" s="145"/>
      <c r="NK29" s="145"/>
      <c r="NL29" s="146"/>
    </row>
    <row r="30" spans="1:376" customFormat="1" ht="15" customHeight="1">
      <c r="A30" s="1"/>
      <c r="B30" s="29" t="s">
        <v>107</v>
      </c>
      <c r="C30" s="29" t="s">
        <v>30</v>
      </c>
      <c r="D30" s="29" t="s">
        <v>106</v>
      </c>
      <c r="E30" s="37">
        <v>0</v>
      </c>
      <c r="F30" s="29">
        <v>15</v>
      </c>
      <c r="G30" s="29">
        <v>3</v>
      </c>
      <c r="H30" s="29">
        <f t="shared" si="0"/>
        <v>-1</v>
      </c>
      <c r="I30" s="30">
        <f t="shared" si="1"/>
        <v>2</v>
      </c>
      <c r="J30" s="30">
        <f t="shared" si="2"/>
        <v>0</v>
      </c>
      <c r="K30" s="71">
        <f t="shared" si="3"/>
        <v>0</v>
      </c>
      <c r="L30" s="8"/>
      <c r="M30" s="8"/>
      <c r="N30" s="8"/>
      <c r="O30" s="8"/>
      <c r="P30" s="8"/>
      <c r="Q30" s="7"/>
      <c r="R30" s="7"/>
      <c r="S30" s="8"/>
      <c r="T30" s="8"/>
      <c r="U30" s="8"/>
      <c r="V30" s="8"/>
      <c r="W30" s="8"/>
      <c r="X30" s="7"/>
      <c r="Y30" s="7"/>
      <c r="Z30" s="8"/>
      <c r="AA30" s="8"/>
      <c r="AB30" s="8"/>
      <c r="AC30" s="8"/>
      <c r="AD30" s="8"/>
      <c r="AE30" s="7"/>
      <c r="AF30" s="7"/>
      <c r="AG30" s="8"/>
      <c r="AH30" s="8"/>
      <c r="AI30" s="8"/>
      <c r="AJ30" s="8"/>
      <c r="AK30" s="8"/>
      <c r="AL30" s="7"/>
      <c r="AM30" s="7"/>
      <c r="AN30" s="8"/>
      <c r="AO30" s="148"/>
      <c r="AP30" s="69"/>
      <c r="AQ30" s="8"/>
      <c r="AR30" s="8"/>
      <c r="AS30" s="7"/>
      <c r="AT30" s="7"/>
      <c r="AU30" s="8"/>
      <c r="AV30" s="8"/>
      <c r="AW30" s="8"/>
      <c r="AX30" s="8"/>
      <c r="AY30" s="8"/>
      <c r="AZ30" s="7"/>
      <c r="BA30" s="7"/>
      <c r="BB30" s="8"/>
      <c r="BC30" s="8"/>
      <c r="BD30" s="8"/>
      <c r="BE30" s="8"/>
      <c r="BF30" s="8"/>
      <c r="BG30" s="7"/>
      <c r="BH30" s="7"/>
      <c r="BI30" s="8"/>
      <c r="BJ30" s="69"/>
      <c r="BK30" s="8"/>
      <c r="BL30" s="8"/>
      <c r="BM30" s="8"/>
      <c r="BN30" s="7"/>
      <c r="BO30" s="7"/>
      <c r="BP30" s="8"/>
      <c r="BQ30" s="8"/>
      <c r="BR30" s="8"/>
      <c r="BS30" s="8"/>
      <c r="BT30" s="148"/>
      <c r="BU30" s="7"/>
      <c r="BV30" s="7"/>
      <c r="BW30" s="8"/>
      <c r="BX30" s="8"/>
      <c r="BY30" s="8"/>
      <c r="BZ30" s="8"/>
      <c r="CA30" s="8"/>
      <c r="CB30" s="7"/>
      <c r="CC30" s="7"/>
      <c r="CD30" s="8"/>
      <c r="CE30" s="8"/>
      <c r="CF30" s="8"/>
      <c r="CG30" s="8"/>
      <c r="CH30" s="8"/>
      <c r="CI30" s="7"/>
      <c r="CJ30" s="7"/>
      <c r="CK30" s="8"/>
      <c r="CL30" s="8"/>
      <c r="CM30" s="8"/>
      <c r="CN30" s="69"/>
      <c r="CO30" s="8"/>
      <c r="CP30" s="7"/>
      <c r="CQ30" s="7"/>
      <c r="CR30" s="8"/>
      <c r="CS30" s="8"/>
      <c r="CT30" s="8"/>
      <c r="CU30" s="8"/>
      <c r="CV30" s="8"/>
      <c r="CW30" s="7"/>
      <c r="CX30" s="7"/>
      <c r="CY30" s="28"/>
      <c r="CZ30" s="8"/>
      <c r="DA30" s="8"/>
      <c r="DB30" s="8"/>
      <c r="DC30" s="8"/>
      <c r="DD30" s="7"/>
      <c r="DE30" s="7"/>
      <c r="DF30" s="8"/>
      <c r="DG30" s="8"/>
      <c r="DH30" s="8"/>
      <c r="DI30" s="8"/>
      <c r="DJ30" s="8"/>
      <c r="DK30" s="7"/>
      <c r="DL30" s="7"/>
      <c r="DM30" s="8"/>
      <c r="DN30" s="69"/>
      <c r="DO30" s="8"/>
      <c r="DP30" s="8"/>
      <c r="DQ30" s="8"/>
      <c r="DR30" s="7"/>
      <c r="DS30" s="7"/>
      <c r="DT30" s="8"/>
      <c r="DU30" s="8"/>
      <c r="DV30" s="8"/>
      <c r="DW30" s="8"/>
      <c r="DX30" s="8"/>
      <c r="DY30" s="7"/>
      <c r="DZ30" s="7"/>
      <c r="EA30" s="8"/>
      <c r="EB30" s="8"/>
      <c r="EC30" s="148"/>
      <c r="ED30" s="28"/>
      <c r="EE30" s="8"/>
      <c r="EF30" s="7"/>
      <c r="EG30" s="7"/>
      <c r="EH30" s="8"/>
      <c r="EI30" s="8"/>
      <c r="EJ30" s="8"/>
      <c r="EK30" s="8"/>
      <c r="EL30" s="8"/>
      <c r="EM30" s="7"/>
      <c r="EN30" s="7"/>
      <c r="EO30" s="8"/>
      <c r="EP30" s="8"/>
      <c r="EQ30" s="8"/>
      <c r="ER30" s="69"/>
      <c r="ES30" s="66" t="s">
        <v>1</v>
      </c>
      <c r="ET30" s="7"/>
      <c r="EU30" s="7"/>
      <c r="EV30" s="8"/>
      <c r="EW30" s="8"/>
      <c r="EX30" s="8"/>
      <c r="EY30" s="8"/>
      <c r="EZ30" s="8"/>
      <c r="FA30" s="7"/>
      <c r="FB30" s="7"/>
      <c r="FC30" s="8"/>
      <c r="FD30" s="8"/>
      <c r="FE30" s="8"/>
      <c r="FF30" s="8"/>
      <c r="FG30" s="8"/>
      <c r="FH30" s="184"/>
      <c r="FI30" s="55"/>
      <c r="FJ30" s="8"/>
      <c r="FK30" s="8"/>
      <c r="FL30" s="8"/>
      <c r="FM30" s="8"/>
      <c r="FN30" s="8"/>
      <c r="FO30" s="7"/>
      <c r="FP30" s="7"/>
      <c r="FQ30" s="8"/>
      <c r="FR30" s="8"/>
      <c r="FS30" s="8"/>
      <c r="FT30" s="8"/>
      <c r="FU30" s="8"/>
      <c r="FV30" s="7"/>
      <c r="FW30" s="7"/>
      <c r="FX30" s="8"/>
      <c r="FY30" s="8"/>
      <c r="FZ30" s="69"/>
      <c r="GA30" s="69"/>
      <c r="GB30" s="69"/>
      <c r="GC30" s="7"/>
      <c r="GD30" s="7"/>
      <c r="GE30" s="66" t="s">
        <v>1</v>
      </c>
      <c r="GF30" s="66" t="s">
        <v>1</v>
      </c>
      <c r="GG30" s="8"/>
      <c r="GH30" s="8"/>
      <c r="GI30" s="8"/>
      <c r="GJ30" s="7"/>
      <c r="GK30" s="7"/>
      <c r="GL30" s="148"/>
      <c r="GM30" s="28"/>
      <c r="GN30" s="8"/>
      <c r="GO30" s="8"/>
      <c r="GP30" s="8"/>
      <c r="GQ30" s="7"/>
      <c r="GR30" s="7"/>
      <c r="GS30" s="8"/>
      <c r="GT30" s="8"/>
      <c r="GU30" s="8"/>
      <c r="GV30" s="8"/>
      <c r="GW30" s="8"/>
      <c r="GX30" s="7"/>
      <c r="GY30" s="7"/>
      <c r="GZ30" s="8"/>
      <c r="HA30" s="8"/>
      <c r="HB30" s="8"/>
      <c r="HC30" s="8"/>
      <c r="HD30" s="8"/>
      <c r="HE30" s="7"/>
      <c r="HF30" s="7"/>
      <c r="HG30" s="8"/>
      <c r="HH30" s="8"/>
      <c r="HI30" s="8"/>
      <c r="HJ30" s="8"/>
      <c r="HK30" s="8"/>
      <c r="HL30" s="7"/>
      <c r="HM30" s="7"/>
      <c r="HN30" s="66" t="s">
        <v>1</v>
      </c>
      <c r="HO30" s="66" t="s">
        <v>1</v>
      </c>
      <c r="HP30" s="66" t="s">
        <v>1</v>
      </c>
      <c r="HQ30" s="69"/>
      <c r="HR30" s="69"/>
      <c r="HS30" s="7"/>
      <c r="HT30" s="7"/>
      <c r="HU30" s="8"/>
      <c r="HV30" s="8"/>
      <c r="HW30" s="8"/>
      <c r="HX30" s="8"/>
      <c r="HY30" s="8"/>
      <c r="HZ30" s="7"/>
      <c r="IA30" s="7"/>
      <c r="IB30" s="8"/>
      <c r="IC30" s="8"/>
      <c r="ID30" s="8"/>
      <c r="IE30" s="8"/>
      <c r="IF30" s="8"/>
      <c r="IG30" s="7"/>
      <c r="IH30" s="7"/>
      <c r="II30" s="8"/>
      <c r="IJ30" s="8"/>
      <c r="IK30" s="8"/>
      <c r="IL30" s="8"/>
      <c r="IM30" s="8"/>
      <c r="IN30" s="7"/>
      <c r="IO30" s="7"/>
      <c r="IP30" s="8"/>
      <c r="IQ30" s="8"/>
      <c r="IR30" s="8"/>
      <c r="IS30" s="8"/>
      <c r="IT30" s="8"/>
      <c r="IU30" s="184"/>
      <c r="IV30" s="55"/>
      <c r="IW30" s="8"/>
      <c r="IX30" s="8"/>
      <c r="IY30" s="8"/>
      <c r="IZ30" s="8"/>
      <c r="JA30" s="8"/>
      <c r="JB30" s="7"/>
      <c r="JC30" s="7"/>
      <c r="JD30" s="8"/>
      <c r="JE30" s="8"/>
      <c r="JF30" s="8"/>
      <c r="JG30" s="8"/>
      <c r="JH30" s="66" t="s">
        <v>3</v>
      </c>
      <c r="JI30" s="7"/>
      <c r="JJ30" s="7"/>
      <c r="JK30" s="8"/>
      <c r="JL30" s="8"/>
      <c r="JM30" s="8"/>
      <c r="JN30" s="8"/>
      <c r="JO30" s="8"/>
      <c r="JP30" s="7"/>
      <c r="JQ30" s="7"/>
      <c r="JR30" s="8"/>
      <c r="JS30" s="8"/>
      <c r="JT30" s="69"/>
      <c r="JU30" s="11"/>
      <c r="JV30" s="11"/>
      <c r="JW30" s="7"/>
      <c r="JX30" s="7"/>
      <c r="JY30" s="11"/>
      <c r="JZ30" s="284"/>
      <c r="KA30" s="69"/>
      <c r="KB30" s="11"/>
      <c r="KC30" s="284"/>
      <c r="KD30" s="7"/>
      <c r="KE30" s="7"/>
      <c r="KF30" s="8"/>
      <c r="KG30" s="8"/>
      <c r="KH30" s="8"/>
      <c r="KI30" s="8"/>
      <c r="KJ30" s="8"/>
      <c r="KK30" s="7"/>
      <c r="KL30" s="7"/>
      <c r="KM30" s="8"/>
      <c r="KN30" s="8"/>
      <c r="KO30" s="8"/>
      <c r="KP30" s="8"/>
      <c r="KQ30" s="8"/>
      <c r="KR30" s="7"/>
      <c r="KS30" s="7"/>
      <c r="KT30" s="280" t="s">
        <v>1</v>
      </c>
      <c r="KU30" s="280" t="s">
        <v>1</v>
      </c>
      <c r="KV30" s="280" t="s">
        <v>1</v>
      </c>
      <c r="KW30" s="280" t="s">
        <v>1</v>
      </c>
      <c r="KX30" s="280" t="s">
        <v>1</v>
      </c>
      <c r="KY30" s="7"/>
      <c r="KZ30" s="7"/>
      <c r="LA30" s="8"/>
      <c r="LB30" s="8"/>
      <c r="LC30" s="8"/>
      <c r="LD30" s="8"/>
      <c r="LE30" s="58"/>
      <c r="LF30" s="183"/>
      <c r="LG30" s="7"/>
      <c r="LH30" s="8"/>
      <c r="LI30" s="8"/>
      <c r="LJ30" s="8"/>
      <c r="LK30" s="8"/>
      <c r="LL30" s="8"/>
      <c r="LM30" s="7"/>
      <c r="LN30" s="7"/>
      <c r="LO30" s="8"/>
      <c r="LP30" s="8"/>
      <c r="LQ30" s="8"/>
      <c r="LR30" s="8"/>
      <c r="LS30" s="8"/>
      <c r="LT30" s="7"/>
      <c r="LU30" s="7"/>
      <c r="LV30" s="66" t="s">
        <v>1</v>
      </c>
      <c r="LW30" s="66" t="s">
        <v>1</v>
      </c>
      <c r="LX30" s="66" t="s">
        <v>1</v>
      </c>
      <c r="LY30" s="66" t="s">
        <v>1</v>
      </c>
      <c r="LZ30" s="66" t="s">
        <v>1</v>
      </c>
      <c r="MA30" s="7"/>
      <c r="MB30" s="7"/>
      <c r="MC30" s="8"/>
      <c r="MD30" s="8"/>
      <c r="ME30" s="8"/>
      <c r="MF30" s="8"/>
      <c r="MG30" s="245"/>
      <c r="MH30" s="183"/>
      <c r="MI30" s="7"/>
      <c r="MJ30" s="32"/>
      <c r="MK30" s="32"/>
      <c r="ML30" s="32"/>
      <c r="MM30" s="32"/>
      <c r="MN30" s="32"/>
      <c r="MO30" s="7"/>
      <c r="MP30" s="7"/>
      <c r="MQ30" s="32"/>
      <c r="MR30" s="32"/>
      <c r="MS30" s="32"/>
      <c r="MT30" s="32"/>
      <c r="MU30" s="32"/>
      <c r="MV30" s="7"/>
      <c r="MW30" s="7"/>
      <c r="MX30" s="32"/>
      <c r="MY30" s="32"/>
      <c r="MZ30" s="32"/>
      <c r="NA30" s="32"/>
      <c r="NB30" s="32"/>
      <c r="NC30" s="7"/>
      <c r="ND30" s="7"/>
      <c r="NE30" s="32"/>
      <c r="NF30" s="32"/>
      <c r="NG30" s="32"/>
      <c r="NH30" s="32"/>
      <c r="NI30" s="32"/>
      <c r="NJ30" s="7"/>
      <c r="NK30" s="7"/>
      <c r="NL30" s="245"/>
    </row>
    <row r="31" spans="1:376" customFormat="1" ht="15" customHeight="1">
      <c r="A31" s="1"/>
      <c r="B31" s="29" t="s">
        <v>108</v>
      </c>
      <c r="C31" s="29" t="s">
        <v>30</v>
      </c>
      <c r="D31" s="29" t="s">
        <v>106</v>
      </c>
      <c r="E31" s="37">
        <v>0</v>
      </c>
      <c r="F31" s="29">
        <v>15</v>
      </c>
      <c r="G31" s="29">
        <v>3</v>
      </c>
      <c r="H31" s="29">
        <f t="shared" si="0"/>
        <v>-9</v>
      </c>
      <c r="I31" s="30">
        <f>G31-COUNTIF(L31:NL31,$C$3)</f>
        <v>2</v>
      </c>
      <c r="J31" s="30">
        <f t="shared" si="2"/>
        <v>0</v>
      </c>
      <c r="K31" s="71">
        <f t="shared" si="3"/>
        <v>0</v>
      </c>
      <c r="L31" s="8"/>
      <c r="M31" s="8"/>
      <c r="N31" s="8"/>
      <c r="O31" s="8"/>
      <c r="P31" s="8"/>
      <c r="Q31" s="7"/>
      <c r="R31" s="7"/>
      <c r="S31" s="8"/>
      <c r="T31" s="8"/>
      <c r="U31" s="8"/>
      <c r="V31" s="8"/>
      <c r="W31" s="8"/>
      <c r="X31" s="7"/>
      <c r="Y31" s="7"/>
      <c r="Z31" s="8"/>
      <c r="AA31" s="8"/>
      <c r="AB31" s="8"/>
      <c r="AC31" s="8"/>
      <c r="AD31" s="8"/>
      <c r="AE31" s="7"/>
      <c r="AF31" s="7"/>
      <c r="AG31" s="8"/>
      <c r="AH31" s="8"/>
      <c r="AI31" s="8"/>
      <c r="AJ31" s="8"/>
      <c r="AK31" s="8"/>
      <c r="AL31" s="7"/>
      <c r="AM31" s="7"/>
      <c r="AN31" s="8"/>
      <c r="AO31" s="148"/>
      <c r="AP31" s="69"/>
      <c r="AQ31" s="66" t="s">
        <v>1</v>
      </c>
      <c r="AR31" s="66" t="s">
        <v>1</v>
      </c>
      <c r="AS31" s="7"/>
      <c r="AT31" s="7"/>
      <c r="AU31" s="8"/>
      <c r="AV31" s="8"/>
      <c r="AW31" s="8"/>
      <c r="AX31" s="8"/>
      <c r="AY31" s="8"/>
      <c r="AZ31" s="7"/>
      <c r="BA31" s="7"/>
      <c r="BB31" s="8"/>
      <c r="BC31" s="8"/>
      <c r="BD31" s="8"/>
      <c r="BE31" s="8"/>
      <c r="BF31" s="8"/>
      <c r="BG31" s="7"/>
      <c r="BH31" s="7"/>
      <c r="BI31" s="66" t="s">
        <v>1</v>
      </c>
      <c r="BJ31" s="69"/>
      <c r="BK31" s="8"/>
      <c r="BL31" s="8"/>
      <c r="BM31" s="8"/>
      <c r="BN31" s="7"/>
      <c r="BO31" s="7"/>
      <c r="BP31" s="8"/>
      <c r="BQ31" s="8"/>
      <c r="BR31" s="8"/>
      <c r="BS31" s="8"/>
      <c r="BT31" s="148"/>
      <c r="BU31" s="7"/>
      <c r="BV31" s="7"/>
      <c r="BW31" s="8"/>
      <c r="BX31" s="8"/>
      <c r="BY31" s="8"/>
      <c r="BZ31" s="8"/>
      <c r="CA31" s="8"/>
      <c r="CB31" s="7"/>
      <c r="CC31" s="7"/>
      <c r="CD31" s="8"/>
      <c r="CE31" s="8"/>
      <c r="CF31" s="8"/>
      <c r="CG31" s="8"/>
      <c r="CH31" s="8"/>
      <c r="CI31" s="7"/>
      <c r="CJ31" s="7"/>
      <c r="CK31" s="8"/>
      <c r="CL31" s="8"/>
      <c r="CM31" s="8"/>
      <c r="CN31" s="69"/>
      <c r="CO31" s="66" t="s">
        <v>1</v>
      </c>
      <c r="CP31" s="7"/>
      <c r="CQ31" s="7"/>
      <c r="CR31" s="66" t="s">
        <v>1</v>
      </c>
      <c r="CS31" s="66" t="s">
        <v>1</v>
      </c>
      <c r="CT31" s="66" t="s">
        <v>1</v>
      </c>
      <c r="CU31" s="66" t="s">
        <v>1</v>
      </c>
      <c r="CV31" s="66" t="s">
        <v>1</v>
      </c>
      <c r="CW31" s="7"/>
      <c r="CX31" s="7"/>
      <c r="CY31" s="28"/>
      <c r="CZ31" s="8"/>
      <c r="DA31" s="8"/>
      <c r="DB31" s="8"/>
      <c r="DC31" s="8"/>
      <c r="DD31" s="7"/>
      <c r="DE31" s="7"/>
      <c r="DF31" s="8"/>
      <c r="DG31" s="8"/>
      <c r="DH31" s="8"/>
      <c r="DI31" s="8"/>
      <c r="DJ31" s="8"/>
      <c r="DK31" s="7"/>
      <c r="DL31" s="7"/>
      <c r="DM31" s="66" t="s">
        <v>1</v>
      </c>
      <c r="DN31" s="69"/>
      <c r="DO31" s="8"/>
      <c r="DP31" s="8"/>
      <c r="DQ31" s="8"/>
      <c r="DR31" s="7"/>
      <c r="DS31" s="7"/>
      <c r="DT31" s="8"/>
      <c r="DU31" s="8"/>
      <c r="DV31" s="8"/>
      <c r="DW31" s="8"/>
      <c r="DX31" s="8"/>
      <c r="DY31" s="7"/>
      <c r="DZ31" s="7"/>
      <c r="EA31" s="8"/>
      <c r="EB31" s="8"/>
      <c r="EC31" s="148"/>
      <c r="ED31" s="28"/>
      <c r="EE31" s="8"/>
      <c r="EF31" s="7"/>
      <c r="EG31" s="7"/>
      <c r="EH31" s="8"/>
      <c r="EI31" s="8"/>
      <c r="EJ31" s="8"/>
      <c r="EK31" s="8"/>
      <c r="EL31" s="8"/>
      <c r="EM31" s="7"/>
      <c r="EN31" s="7"/>
      <c r="EO31" s="8"/>
      <c r="EP31" s="8"/>
      <c r="EQ31" s="8"/>
      <c r="ER31" s="69"/>
      <c r="ES31" s="66" t="s">
        <v>1</v>
      </c>
      <c r="ET31" s="7"/>
      <c r="EU31" s="7"/>
      <c r="EV31" s="8"/>
      <c r="EW31" s="8"/>
      <c r="EX31" s="8"/>
      <c r="EY31" s="8"/>
      <c r="EZ31" s="8"/>
      <c r="FA31" s="7"/>
      <c r="FB31" s="7"/>
      <c r="FC31" s="8"/>
      <c r="FD31" s="8"/>
      <c r="FE31" s="8"/>
      <c r="FF31" s="8"/>
      <c r="FG31" s="8"/>
      <c r="FH31" s="184"/>
      <c r="FI31" s="55"/>
      <c r="FJ31" s="8"/>
      <c r="FK31" s="8"/>
      <c r="FL31" s="8"/>
      <c r="FM31" s="8"/>
      <c r="FN31" s="8"/>
      <c r="FO31" s="7"/>
      <c r="FP31" s="7"/>
      <c r="FQ31" s="8"/>
      <c r="FR31" s="8"/>
      <c r="FS31" s="8"/>
      <c r="FT31" s="8"/>
      <c r="FU31" s="8"/>
      <c r="FV31" s="7"/>
      <c r="FW31" s="7"/>
      <c r="FX31" s="66" t="s">
        <v>1</v>
      </c>
      <c r="FY31" s="66" t="s">
        <v>1</v>
      </c>
      <c r="FZ31" s="69"/>
      <c r="GA31" s="69"/>
      <c r="GB31" s="69"/>
      <c r="GC31" s="7"/>
      <c r="GD31" s="7"/>
      <c r="GE31" s="8"/>
      <c r="GF31" s="8"/>
      <c r="GG31" s="8"/>
      <c r="GH31" s="8"/>
      <c r="GI31" s="8"/>
      <c r="GJ31" s="7"/>
      <c r="GK31" s="7"/>
      <c r="GL31" s="148"/>
      <c r="GM31" s="28"/>
      <c r="GN31" s="8"/>
      <c r="GO31" s="8"/>
      <c r="GP31" s="8"/>
      <c r="GQ31" s="7"/>
      <c r="GR31" s="7"/>
      <c r="GS31" s="8"/>
      <c r="GT31" s="8"/>
      <c r="GU31" s="8"/>
      <c r="GV31" s="8"/>
      <c r="GW31" s="8"/>
      <c r="GX31" s="7"/>
      <c r="GY31" s="7"/>
      <c r="GZ31" s="8"/>
      <c r="HA31" s="8"/>
      <c r="HB31" s="8"/>
      <c r="HC31" s="8"/>
      <c r="HD31" s="8"/>
      <c r="HE31" s="7"/>
      <c r="HF31" s="7"/>
      <c r="HG31" s="8"/>
      <c r="HH31" s="8"/>
      <c r="HI31" s="8"/>
      <c r="HJ31" s="8"/>
      <c r="HK31" s="8"/>
      <c r="HL31" s="7"/>
      <c r="HM31" s="7"/>
      <c r="HN31" s="8"/>
      <c r="HO31" s="8"/>
      <c r="HP31" s="8"/>
      <c r="HQ31" s="69"/>
      <c r="HR31" s="69"/>
      <c r="HS31" s="7"/>
      <c r="HT31" s="7"/>
      <c r="HU31" s="8"/>
      <c r="HV31" s="8"/>
      <c r="HW31" s="8"/>
      <c r="HX31" s="8"/>
      <c r="HY31" s="8"/>
      <c r="HZ31" s="7"/>
      <c r="IA31" s="7"/>
      <c r="IB31" s="8"/>
      <c r="IC31" s="8"/>
      <c r="ID31" s="8"/>
      <c r="IE31" s="8"/>
      <c r="IF31" s="8"/>
      <c r="IG31" s="7"/>
      <c r="IH31" s="7"/>
      <c r="II31" s="8"/>
      <c r="IJ31" s="8"/>
      <c r="IK31" s="8"/>
      <c r="IL31" s="8"/>
      <c r="IM31" s="8"/>
      <c r="IN31" s="7"/>
      <c r="IO31" s="7"/>
      <c r="IP31" s="8"/>
      <c r="IQ31" s="8"/>
      <c r="IR31" s="8"/>
      <c r="IS31" s="8"/>
      <c r="IT31" s="8"/>
      <c r="IU31" s="184"/>
      <c r="IV31" s="55"/>
      <c r="IW31" s="8"/>
      <c r="IX31" s="8"/>
      <c r="IY31" s="8"/>
      <c r="IZ31" s="8"/>
      <c r="JA31" s="8"/>
      <c r="JB31" s="7"/>
      <c r="JC31" s="7"/>
      <c r="JD31" s="8"/>
      <c r="JE31" s="8"/>
      <c r="JF31" s="8"/>
      <c r="JG31" s="8"/>
      <c r="JH31" s="8"/>
      <c r="JI31" s="7"/>
      <c r="JJ31" s="7"/>
      <c r="JK31" s="8"/>
      <c r="JL31" s="8"/>
      <c r="JM31" s="8"/>
      <c r="JN31" s="8"/>
      <c r="JO31" s="8"/>
      <c r="JP31" s="7"/>
      <c r="JQ31" s="7"/>
      <c r="JR31" s="8"/>
      <c r="JS31" s="8"/>
      <c r="JT31" s="69"/>
      <c r="JU31" s="280" t="s">
        <v>1</v>
      </c>
      <c r="JV31" s="280" t="s">
        <v>1</v>
      </c>
      <c r="JW31" s="7"/>
      <c r="JX31" s="7"/>
      <c r="JY31" s="280" t="s">
        <v>1</v>
      </c>
      <c r="JZ31" s="280" t="s">
        <v>1</v>
      </c>
      <c r="KA31" s="69"/>
      <c r="KB31" s="280" t="s">
        <v>1</v>
      </c>
      <c r="KC31" s="280" t="s">
        <v>1</v>
      </c>
      <c r="KD31" s="7"/>
      <c r="KE31" s="7"/>
      <c r="KF31" s="280" t="s">
        <v>1</v>
      </c>
      <c r="KG31" s="280" t="s">
        <v>1</v>
      </c>
      <c r="KH31" s="280" t="s">
        <v>1</v>
      </c>
      <c r="KI31" s="280" t="s">
        <v>1</v>
      </c>
      <c r="KJ31" s="280" t="s">
        <v>1</v>
      </c>
      <c r="KK31" s="7"/>
      <c r="KL31" s="7"/>
      <c r="KM31" s="8"/>
      <c r="KN31" s="8"/>
      <c r="KO31" s="8"/>
      <c r="KP31" s="8"/>
      <c r="KQ31" s="8"/>
      <c r="KR31" s="7"/>
      <c r="KS31" s="7"/>
      <c r="KT31" s="11"/>
      <c r="KU31" s="11"/>
      <c r="KV31" s="11"/>
      <c r="KW31" s="11"/>
      <c r="KX31" s="11"/>
      <c r="KY31" s="7"/>
      <c r="KZ31" s="7"/>
      <c r="LA31" s="8"/>
      <c r="LB31" s="8"/>
      <c r="LC31" s="8"/>
      <c r="LD31" s="8"/>
      <c r="LE31" s="58"/>
      <c r="LF31" s="183"/>
      <c r="LG31" s="7"/>
      <c r="LH31" s="8"/>
      <c r="LI31" s="8"/>
      <c r="LJ31" s="8"/>
      <c r="LK31" s="8"/>
      <c r="LL31" s="8"/>
      <c r="LM31" s="7"/>
      <c r="LN31" s="7"/>
      <c r="LO31" s="8"/>
      <c r="LP31" s="8"/>
      <c r="LQ31" s="8"/>
      <c r="LR31" s="8"/>
      <c r="LS31" s="281" t="s">
        <v>3</v>
      </c>
      <c r="LT31" s="7"/>
      <c r="LU31" s="7"/>
      <c r="LV31" s="8"/>
      <c r="LW31" s="8"/>
      <c r="LX31" s="8"/>
      <c r="LY31" s="8"/>
      <c r="LZ31" s="8"/>
      <c r="MA31" s="7"/>
      <c r="MB31" s="7"/>
      <c r="MC31" s="8"/>
      <c r="MD31" s="8"/>
      <c r="ME31" s="8"/>
      <c r="MF31" s="8"/>
      <c r="MG31" s="245"/>
      <c r="MH31" s="183"/>
      <c r="MI31" s="7"/>
      <c r="MJ31" s="32"/>
      <c r="MK31" s="32"/>
      <c r="ML31" s="32"/>
      <c r="MM31" s="32"/>
      <c r="MN31" s="32"/>
      <c r="MO31" s="7"/>
      <c r="MP31" s="7"/>
      <c r="MQ31" s="32"/>
      <c r="MR31" s="32"/>
      <c r="MS31" s="32"/>
      <c r="MT31" s="32"/>
      <c r="MU31" s="32"/>
      <c r="MV31" s="7"/>
      <c r="MW31" s="7"/>
      <c r="MX31" s="32"/>
      <c r="MY31" s="32"/>
      <c r="MZ31" s="32"/>
      <c r="NA31" s="32"/>
      <c r="NB31" s="32"/>
      <c r="NC31" s="7"/>
      <c r="ND31" s="7"/>
      <c r="NE31" s="32"/>
      <c r="NF31" s="32"/>
      <c r="NG31" s="32"/>
      <c r="NH31" s="32"/>
      <c r="NI31" s="32"/>
      <c r="NJ31" s="7"/>
      <c r="NK31" s="7"/>
      <c r="NL31" s="245"/>
    </row>
    <row r="32" spans="1:376" customFormat="1" ht="15" customHeight="1">
      <c r="A32" s="1"/>
      <c r="B32" s="29" t="s">
        <v>113</v>
      </c>
      <c r="C32" s="29" t="s">
        <v>30</v>
      </c>
      <c r="D32" s="29" t="s">
        <v>106</v>
      </c>
      <c r="E32" s="37">
        <v>0</v>
      </c>
      <c r="F32" s="29">
        <v>15</v>
      </c>
      <c r="G32" s="29">
        <v>3</v>
      </c>
      <c r="H32" s="29">
        <f t="shared" si="0"/>
        <v>-3</v>
      </c>
      <c r="I32" s="30">
        <f>G32-COUNTIF(L32:NL32,$C$3)</f>
        <v>2</v>
      </c>
      <c r="J32" s="30">
        <f t="shared" ref="J32" si="12">COUNTIF(K32:NG32,$C$4)</f>
        <v>0</v>
      </c>
      <c r="K32" s="71">
        <f t="shared" ref="K32" si="13">COUNTIF(L32:NL32,$C$5)</f>
        <v>0</v>
      </c>
      <c r="L32" s="8"/>
      <c r="M32" s="8"/>
      <c r="N32" s="8"/>
      <c r="O32" s="8"/>
      <c r="P32" s="8"/>
      <c r="Q32" s="7"/>
      <c r="R32" s="7"/>
      <c r="S32" s="8"/>
      <c r="T32" s="8"/>
      <c r="U32" s="8"/>
      <c r="V32" s="8"/>
      <c r="W32" s="8"/>
      <c r="X32" s="7"/>
      <c r="Y32" s="7"/>
      <c r="Z32" s="8"/>
      <c r="AA32" s="8"/>
      <c r="AB32" s="8"/>
      <c r="AC32" s="8"/>
      <c r="AD32" s="8"/>
      <c r="AE32" s="7"/>
      <c r="AF32" s="7"/>
      <c r="AG32" s="8"/>
      <c r="AH32" s="8"/>
      <c r="AI32" s="8"/>
      <c r="AJ32" s="8"/>
      <c r="AK32" s="8"/>
      <c r="AL32" s="7"/>
      <c r="AM32" s="7"/>
      <c r="AN32" s="8"/>
      <c r="AO32" s="148"/>
      <c r="AP32" s="69"/>
      <c r="AQ32" s="279"/>
      <c r="AR32" s="279"/>
      <c r="AS32" s="7"/>
      <c r="AT32" s="7"/>
      <c r="AU32" s="8"/>
      <c r="AV32" s="8"/>
      <c r="AW32" s="8"/>
      <c r="AX32" s="8"/>
      <c r="AY32" s="8"/>
      <c r="AZ32" s="7"/>
      <c r="BA32" s="7"/>
      <c r="BB32" s="8"/>
      <c r="BC32" s="8"/>
      <c r="BD32" s="8"/>
      <c r="BE32" s="8"/>
      <c r="BF32" s="8"/>
      <c r="BG32" s="7"/>
      <c r="BH32" s="7"/>
      <c r="BI32" s="279"/>
      <c r="BJ32" s="69"/>
      <c r="BK32" s="8"/>
      <c r="BL32" s="8"/>
      <c r="BM32" s="8"/>
      <c r="BN32" s="7"/>
      <c r="BO32" s="7"/>
      <c r="BP32" s="8"/>
      <c r="BQ32" s="8"/>
      <c r="BR32" s="8"/>
      <c r="BS32" s="8"/>
      <c r="BT32" s="148"/>
      <c r="BU32" s="7"/>
      <c r="BV32" s="7"/>
      <c r="BW32" s="8"/>
      <c r="BX32" s="8"/>
      <c r="BY32" s="8"/>
      <c r="BZ32" s="8"/>
      <c r="CA32" s="8"/>
      <c r="CB32" s="7"/>
      <c r="CC32" s="7"/>
      <c r="CD32" s="8"/>
      <c r="CE32" s="8"/>
      <c r="CF32" s="8"/>
      <c r="CG32" s="8"/>
      <c r="CH32" s="8"/>
      <c r="CI32" s="7"/>
      <c r="CJ32" s="7"/>
      <c r="CK32" s="8"/>
      <c r="CL32" s="8"/>
      <c r="CM32" s="8"/>
      <c r="CN32" s="69"/>
      <c r="CO32" s="279"/>
      <c r="CP32" s="7"/>
      <c r="CQ32" s="7"/>
      <c r="CR32" s="279"/>
      <c r="CS32" s="279"/>
      <c r="CT32" s="279"/>
      <c r="CU32" s="279"/>
      <c r="CV32" s="279"/>
      <c r="CW32" s="7"/>
      <c r="CX32" s="7"/>
      <c r="CY32" s="28"/>
      <c r="CZ32" s="8"/>
      <c r="DA32" s="8"/>
      <c r="DB32" s="8"/>
      <c r="DC32" s="8"/>
      <c r="DD32" s="7"/>
      <c r="DE32" s="7"/>
      <c r="DF32" s="8"/>
      <c r="DG32" s="8"/>
      <c r="DH32" s="8"/>
      <c r="DI32" s="8"/>
      <c r="DJ32" s="8"/>
      <c r="DK32" s="7"/>
      <c r="DL32" s="7"/>
      <c r="DM32" s="8"/>
      <c r="DN32" s="69"/>
      <c r="DO32" s="8"/>
      <c r="DP32" s="8"/>
      <c r="DQ32" s="8"/>
      <c r="DR32" s="7"/>
      <c r="DS32" s="7"/>
      <c r="DT32" s="8"/>
      <c r="DU32" s="8"/>
      <c r="DV32" s="8"/>
      <c r="DW32" s="8"/>
      <c r="DX32" s="66" t="s">
        <v>3</v>
      </c>
      <c r="DY32" s="7"/>
      <c r="DZ32" s="7"/>
      <c r="EA32" s="8"/>
      <c r="EB32" s="8"/>
      <c r="EC32" s="148"/>
      <c r="ED32" s="28"/>
      <c r="EE32" s="8"/>
      <c r="EF32" s="7"/>
      <c r="EG32" s="7"/>
      <c r="EH32" s="8"/>
      <c r="EI32" s="8"/>
      <c r="EJ32" s="8"/>
      <c r="EK32" s="8"/>
      <c r="EL32" s="8"/>
      <c r="EM32" s="7"/>
      <c r="EN32" s="7"/>
      <c r="EO32" s="8"/>
      <c r="EP32" s="8"/>
      <c r="EQ32" s="8"/>
      <c r="ER32" s="69"/>
      <c r="ES32" s="8"/>
      <c r="ET32" s="7"/>
      <c r="EU32" s="7"/>
      <c r="EV32" s="8"/>
      <c r="EW32" s="8"/>
      <c r="EX32" s="8"/>
      <c r="EY32" s="8"/>
      <c r="EZ32" s="8"/>
      <c r="FA32" s="7"/>
      <c r="FB32" s="7"/>
      <c r="FC32" s="8"/>
      <c r="FD32" s="8"/>
      <c r="FE32" s="8"/>
      <c r="FF32" s="8"/>
      <c r="FG32" s="8"/>
      <c r="FH32" s="184"/>
      <c r="FI32" s="55"/>
      <c r="FJ32" s="8"/>
      <c r="FK32" s="8"/>
      <c r="FL32" s="8"/>
      <c r="FM32" s="8"/>
      <c r="FN32" s="8"/>
      <c r="FO32" s="7"/>
      <c r="FP32" s="7"/>
      <c r="FQ32" s="8"/>
      <c r="FR32" s="8"/>
      <c r="FS32" s="8"/>
      <c r="FT32" s="8"/>
      <c r="FU32" s="8"/>
      <c r="FV32" s="7"/>
      <c r="FW32" s="7"/>
      <c r="FX32" s="8"/>
      <c r="FY32" s="8"/>
      <c r="FZ32" s="69"/>
      <c r="GA32" s="69"/>
      <c r="GB32" s="69"/>
      <c r="GC32" s="7"/>
      <c r="GD32" s="7"/>
      <c r="GE32" s="8"/>
      <c r="GF32" s="8"/>
      <c r="GG32" s="8"/>
      <c r="GH32" s="8"/>
      <c r="GI32" s="8"/>
      <c r="GJ32" s="7"/>
      <c r="GK32" s="7"/>
      <c r="GL32" s="148"/>
      <c r="GM32" s="28"/>
      <c r="GN32" s="8"/>
      <c r="GO32" s="8"/>
      <c r="GP32" s="8"/>
      <c r="GQ32" s="7"/>
      <c r="GR32" s="7"/>
      <c r="GS32" s="8"/>
      <c r="GT32" s="8"/>
      <c r="GU32" s="8"/>
      <c r="GV32" s="8"/>
      <c r="GW32" s="8"/>
      <c r="GX32" s="7"/>
      <c r="GY32" s="7"/>
      <c r="GZ32" s="8"/>
      <c r="HA32" s="8"/>
      <c r="HB32" s="8"/>
      <c r="HC32" s="8"/>
      <c r="HD32" s="8"/>
      <c r="HE32" s="7"/>
      <c r="HF32" s="7"/>
      <c r="HG32" s="8"/>
      <c r="HH32" s="8"/>
      <c r="HI32" s="8"/>
      <c r="HJ32" s="8"/>
      <c r="HK32" s="8"/>
      <c r="HL32" s="7"/>
      <c r="HM32" s="7"/>
      <c r="HN32" s="8"/>
      <c r="HO32" s="8"/>
      <c r="HP32" s="8"/>
      <c r="HQ32" s="69"/>
      <c r="HR32" s="69"/>
      <c r="HS32" s="7"/>
      <c r="HT32" s="7"/>
      <c r="HU32" s="8"/>
      <c r="HV32" s="8"/>
      <c r="HW32" s="8"/>
      <c r="HX32" s="8"/>
      <c r="HY32" s="8"/>
      <c r="HZ32" s="7"/>
      <c r="IA32" s="7"/>
      <c r="IB32" s="8"/>
      <c r="IC32" s="8"/>
      <c r="ID32" s="8"/>
      <c r="IE32" s="8"/>
      <c r="IF32" s="8"/>
      <c r="IG32" s="7"/>
      <c r="IH32" s="7"/>
      <c r="II32" s="8"/>
      <c r="IJ32" s="8"/>
      <c r="IK32" s="8"/>
      <c r="IL32" s="8"/>
      <c r="IM32" s="8"/>
      <c r="IN32" s="7"/>
      <c r="IO32" s="7"/>
      <c r="IP32" s="8"/>
      <c r="IQ32" s="8"/>
      <c r="IR32" s="2"/>
      <c r="IS32" s="66" t="s">
        <v>1</v>
      </c>
      <c r="IT32" s="66" t="s">
        <v>1</v>
      </c>
      <c r="IU32" s="184"/>
      <c r="IV32" s="55"/>
      <c r="IW32" s="8"/>
      <c r="IX32" s="8"/>
      <c r="IY32" s="8"/>
      <c r="IZ32" s="8"/>
      <c r="JA32" s="8"/>
      <c r="JB32" s="7"/>
      <c r="JC32" s="7"/>
      <c r="JD32" s="8"/>
      <c r="JE32" s="8"/>
      <c r="JF32" s="11"/>
      <c r="JG32" s="11"/>
      <c r="JH32" s="8"/>
      <c r="JI32" s="7"/>
      <c r="JJ32" s="7"/>
      <c r="JK32" s="8"/>
      <c r="JL32" s="8"/>
      <c r="JM32" s="8"/>
      <c r="JN32" s="8"/>
      <c r="JO32" s="66" t="s">
        <v>1</v>
      </c>
      <c r="JP32" s="7"/>
      <c r="JQ32" s="7"/>
      <c r="JR32" s="8"/>
      <c r="JS32" s="8"/>
      <c r="JT32" s="69"/>
      <c r="JU32" s="8"/>
      <c r="JV32" s="8"/>
      <c r="JW32" s="7"/>
      <c r="JX32" s="7"/>
      <c r="JY32" s="8"/>
      <c r="JZ32" s="148"/>
      <c r="KA32" s="69"/>
      <c r="KB32" s="8"/>
      <c r="KC32" s="8"/>
      <c r="KD32" s="7"/>
      <c r="KE32" s="7"/>
      <c r="KF32" s="8"/>
      <c r="KG32" s="8"/>
      <c r="KH32" s="8"/>
      <c r="KI32" s="8"/>
      <c r="KJ32" s="8"/>
      <c r="KK32" s="7"/>
      <c r="KL32" s="7"/>
      <c r="KM32" s="8"/>
      <c r="KN32" s="8"/>
      <c r="KO32" s="8"/>
      <c r="KP32" s="8"/>
      <c r="KQ32" s="8"/>
      <c r="KR32" s="7"/>
      <c r="KS32" s="7"/>
      <c r="KT32" s="8"/>
      <c r="KU32" s="8"/>
      <c r="KV32" s="8"/>
      <c r="KW32" s="8"/>
      <c r="KX32" s="8"/>
      <c r="KY32" s="7"/>
      <c r="KZ32" s="7"/>
      <c r="LA32" s="66" t="s">
        <v>1</v>
      </c>
      <c r="LB32" s="66" t="s">
        <v>1</v>
      </c>
      <c r="LC32" s="66" t="s">
        <v>1</v>
      </c>
      <c r="LD32" s="66" t="s">
        <v>1</v>
      </c>
      <c r="LE32" s="172" t="s">
        <v>1</v>
      </c>
      <c r="LF32" s="183"/>
      <c r="LG32" s="7"/>
      <c r="LH32" s="66" t="s">
        <v>1</v>
      </c>
      <c r="LI32" s="66" t="s">
        <v>1</v>
      </c>
      <c r="LJ32" s="66" t="s">
        <v>1</v>
      </c>
      <c r="LK32" s="66" t="s">
        <v>1</v>
      </c>
      <c r="LL32" s="66" t="s">
        <v>1</v>
      </c>
      <c r="LM32" s="7"/>
      <c r="LN32" s="7"/>
      <c r="LO32" s="66" t="s">
        <v>1</v>
      </c>
      <c r="LP32" s="66" t="s">
        <v>1</v>
      </c>
      <c r="LQ32" s="66" t="s">
        <v>1</v>
      </c>
      <c r="LR32" s="66" t="s">
        <v>1</v>
      </c>
      <c r="LS32" s="66" t="s">
        <v>1</v>
      </c>
      <c r="LT32" s="7"/>
      <c r="LU32" s="7"/>
      <c r="LV32" s="8"/>
      <c r="LW32" s="8"/>
      <c r="LX32" s="8"/>
      <c r="LY32" s="8"/>
      <c r="LZ32" s="8"/>
      <c r="MA32" s="7"/>
      <c r="MB32" s="7"/>
      <c r="MC32" s="8"/>
      <c r="MD32" s="8"/>
      <c r="ME32" s="8"/>
      <c r="MF32" s="8"/>
      <c r="MG32" s="245"/>
      <c r="MH32" s="183"/>
      <c r="MI32" s="7"/>
      <c r="MJ32" s="32"/>
      <c r="MK32" s="32"/>
      <c r="ML32" s="32"/>
      <c r="MM32" s="32"/>
      <c r="MN32" s="32"/>
      <c r="MO32" s="7"/>
      <c r="MP32" s="7"/>
      <c r="MQ32" s="32"/>
      <c r="MR32" s="32"/>
      <c r="MS32" s="32"/>
      <c r="MT32" s="32"/>
      <c r="MU32" s="32"/>
      <c r="MV32" s="7"/>
      <c r="MW32" s="7"/>
      <c r="MX32" s="32"/>
      <c r="MY32" s="32"/>
      <c r="MZ32" s="32"/>
      <c r="NA32" s="32"/>
      <c r="NB32" s="32"/>
      <c r="NC32" s="7"/>
      <c r="ND32" s="7"/>
      <c r="NE32" s="32"/>
      <c r="NF32" s="32"/>
      <c r="NG32" s="32"/>
      <c r="NH32" s="32"/>
      <c r="NI32" s="32"/>
      <c r="NJ32" s="7"/>
      <c r="NK32" s="7"/>
      <c r="NL32" s="245"/>
    </row>
    <row r="33" spans="2:376">
      <c r="B33" s="29" t="s">
        <v>114</v>
      </c>
      <c r="C33" s="29" t="s">
        <v>30</v>
      </c>
      <c r="D33" s="29" t="s">
        <v>49</v>
      </c>
      <c r="E33" s="37">
        <v>0</v>
      </c>
      <c r="F33" s="29">
        <v>15</v>
      </c>
      <c r="G33" s="29">
        <v>3</v>
      </c>
      <c r="H33" s="29">
        <f t="shared" ref="H33:H38" si="14">E33+F33-COUNTIF(L33:NL33,$C$2)</f>
        <v>-3</v>
      </c>
      <c r="I33" s="30">
        <f t="shared" ref="I33:I38" si="15">G33-COUNTIF(L33:NL33,$C$3)</f>
        <v>3</v>
      </c>
      <c r="J33" s="30">
        <f t="shared" ref="J33:J38" si="16">COUNTIF(K33:NG33,$C$4)</f>
        <v>0</v>
      </c>
      <c r="K33" s="71">
        <f t="shared" ref="K33:K38" si="17">COUNTIF(L33:NL33,$C$5)</f>
        <v>0</v>
      </c>
      <c r="L33" s="8"/>
      <c r="M33" s="8"/>
      <c r="N33" s="8"/>
      <c r="O33" s="8"/>
      <c r="P33" s="8"/>
      <c r="Q33" s="7"/>
      <c r="R33" s="7"/>
      <c r="S33" s="8"/>
      <c r="T33" s="8"/>
      <c r="U33" s="8"/>
      <c r="V33" s="8"/>
      <c r="W33" s="8"/>
      <c r="X33" s="7"/>
      <c r="Y33" s="7"/>
      <c r="Z33" s="8"/>
      <c r="AA33" s="8"/>
      <c r="AB33" s="8"/>
      <c r="AC33" s="8"/>
      <c r="AD33" s="8"/>
      <c r="AE33" s="7"/>
      <c r="AF33" s="7"/>
      <c r="AG33" s="8"/>
      <c r="AH33" s="8"/>
      <c r="AI33" s="8"/>
      <c r="AJ33" s="8"/>
      <c r="AK33" s="8"/>
      <c r="AL33" s="7"/>
      <c r="AM33" s="7"/>
      <c r="AN33" s="8"/>
      <c r="AO33" s="148"/>
      <c r="AP33" s="69"/>
      <c r="AQ33" s="8"/>
      <c r="AR33" s="8"/>
      <c r="AS33" s="7"/>
      <c r="AT33" s="7"/>
      <c r="AU33" s="8"/>
      <c r="AV33" s="8"/>
      <c r="AW33" s="8"/>
      <c r="AX33" s="8"/>
      <c r="AY33" s="8"/>
      <c r="AZ33" s="7"/>
      <c r="BA33" s="7"/>
      <c r="BB33" s="8"/>
      <c r="BC33" s="8"/>
      <c r="BD33" s="8"/>
      <c r="BE33" s="8"/>
      <c r="BF33" s="8"/>
      <c r="BG33" s="7"/>
      <c r="BH33" s="7"/>
      <c r="BI33" s="8"/>
      <c r="BJ33" s="69"/>
      <c r="BK33" s="8"/>
      <c r="BL33" s="8"/>
      <c r="BM33" s="8"/>
      <c r="BN33" s="7"/>
      <c r="BO33" s="7"/>
      <c r="BP33" s="8"/>
      <c r="BQ33" s="8"/>
      <c r="BR33" s="8"/>
      <c r="BS33" s="8"/>
      <c r="BT33" s="148"/>
      <c r="BU33" s="7"/>
      <c r="BV33" s="7"/>
      <c r="BW33" s="8"/>
      <c r="BX33" s="8"/>
      <c r="BY33" s="8"/>
      <c r="BZ33" s="8"/>
      <c r="CA33" s="8"/>
      <c r="CB33" s="7"/>
      <c r="CC33" s="7"/>
      <c r="CD33" s="8"/>
      <c r="CE33" s="8"/>
      <c r="CF33" s="8"/>
      <c r="CG33" s="8"/>
      <c r="CH33" s="8"/>
      <c r="CI33" s="7"/>
      <c r="CJ33" s="7"/>
      <c r="CK33" s="8"/>
      <c r="CL33" s="8"/>
      <c r="CM33" s="8"/>
      <c r="CN33" s="69"/>
      <c r="CO33" s="8"/>
      <c r="CP33" s="7"/>
      <c r="CQ33" s="7"/>
      <c r="CR33" s="8"/>
      <c r="CS33" s="8"/>
      <c r="CT33" s="8"/>
      <c r="CU33" s="8"/>
      <c r="CV33" s="8"/>
      <c r="CW33" s="7"/>
      <c r="CX33" s="7"/>
      <c r="CY33" s="28"/>
      <c r="CZ33" s="8"/>
      <c r="DA33" s="8"/>
      <c r="DB33" s="8"/>
      <c r="DC33" s="8"/>
      <c r="DD33" s="7"/>
      <c r="DE33" s="7"/>
      <c r="DF33" s="8"/>
      <c r="DG33" s="8"/>
      <c r="DH33" s="8"/>
      <c r="DI33" s="8"/>
      <c r="DJ33" s="8"/>
      <c r="DK33" s="7"/>
      <c r="DL33" s="7"/>
      <c r="DM33" s="8"/>
      <c r="DN33" s="69"/>
      <c r="DO33" s="8"/>
      <c r="DP33" s="8"/>
      <c r="DQ33" s="8"/>
      <c r="DR33" s="7"/>
      <c r="DS33" s="7"/>
      <c r="DT33" s="8"/>
      <c r="DU33" s="8"/>
      <c r="DV33" s="8"/>
      <c r="DW33" s="8"/>
      <c r="DX33" s="8"/>
      <c r="DY33" s="7"/>
      <c r="DZ33" s="7"/>
      <c r="EA33" s="8"/>
      <c r="EB33" s="8"/>
      <c r="EC33" s="148"/>
      <c r="ED33" s="28"/>
      <c r="EE33" s="8"/>
      <c r="EF33" s="7"/>
      <c r="EG33" s="7"/>
      <c r="EH33" s="8"/>
      <c r="EI33" s="8"/>
      <c r="EJ33" s="8"/>
      <c r="EK33" s="8"/>
      <c r="EL33" s="8"/>
      <c r="EM33" s="7"/>
      <c r="EN33" s="7"/>
      <c r="EO33" s="8"/>
      <c r="EP33" s="8"/>
      <c r="EQ33" s="8"/>
      <c r="ER33" s="69"/>
      <c r="ES33" s="8"/>
      <c r="ET33" s="7"/>
      <c r="EU33" s="7"/>
      <c r="EV33" s="8"/>
      <c r="EW33" s="8"/>
      <c r="EX33" s="8"/>
      <c r="EY33" s="8"/>
      <c r="EZ33" s="8"/>
      <c r="FA33" s="7"/>
      <c r="FB33" s="7"/>
      <c r="FC33" s="8"/>
      <c r="FD33" s="8"/>
      <c r="FE33" s="8"/>
      <c r="FF33" s="8"/>
      <c r="FG33" s="8"/>
      <c r="FH33" s="184"/>
      <c r="FI33" s="55"/>
      <c r="FJ33" s="8"/>
      <c r="FK33" s="8"/>
      <c r="FL33" s="8"/>
      <c r="FM33" s="8"/>
      <c r="FN33" s="8"/>
      <c r="FO33" s="7"/>
      <c r="FP33" s="7"/>
      <c r="FQ33" s="8"/>
      <c r="FR33" s="8"/>
      <c r="FS33" s="8"/>
      <c r="FT33" s="8"/>
      <c r="FU33" s="8"/>
      <c r="FV33" s="7"/>
      <c r="FW33" s="7"/>
      <c r="FX33" s="280" t="s">
        <v>1</v>
      </c>
      <c r="FY33" s="280" t="s">
        <v>1</v>
      </c>
      <c r="FZ33" s="69"/>
      <c r="GA33" s="69"/>
      <c r="GB33" s="69"/>
      <c r="GC33" s="7"/>
      <c r="GD33" s="7"/>
      <c r="GE33" s="8"/>
      <c r="GF33" s="8"/>
      <c r="GG33" s="8"/>
      <c r="GH33" s="8"/>
      <c r="GI33" s="8"/>
      <c r="GJ33" s="7"/>
      <c r="GK33" s="7"/>
      <c r="GL33" s="148"/>
      <c r="GM33" s="28"/>
      <c r="GN33" s="8"/>
      <c r="GO33" s="8"/>
      <c r="GP33" s="8"/>
      <c r="GQ33" s="7"/>
      <c r="GR33" s="7"/>
      <c r="GS33" s="8"/>
      <c r="GT33" s="8"/>
      <c r="GU33" s="8"/>
      <c r="GV33" s="8"/>
      <c r="GW33" s="8"/>
      <c r="GX33" s="7"/>
      <c r="GY33" s="7"/>
      <c r="GZ33" s="8"/>
      <c r="HA33" s="8"/>
      <c r="HB33" s="8"/>
      <c r="HC33" s="8"/>
      <c r="HD33" s="8"/>
      <c r="HE33" s="7"/>
      <c r="HF33" s="7"/>
      <c r="HG33" s="8"/>
      <c r="HH33" s="8"/>
      <c r="HI33" s="8"/>
      <c r="HJ33" s="8"/>
      <c r="HK33" s="8"/>
      <c r="HL33" s="7"/>
      <c r="HM33" s="7"/>
      <c r="HN33" s="66" t="s">
        <v>1</v>
      </c>
      <c r="HO33" s="66" t="s">
        <v>1</v>
      </c>
      <c r="HP33" s="66" t="s">
        <v>1</v>
      </c>
      <c r="HQ33" s="69"/>
      <c r="HR33" s="69"/>
      <c r="HS33" s="7"/>
      <c r="HT33" s="7"/>
      <c r="HU33" s="8"/>
      <c r="HV33" s="8"/>
      <c r="HW33" s="8"/>
      <c r="HX33" s="8"/>
      <c r="HY33" s="8"/>
      <c r="HZ33" s="7"/>
      <c r="IA33" s="7"/>
      <c r="IB33" s="8"/>
      <c r="IC33" s="8"/>
      <c r="ID33" s="8"/>
      <c r="IE33" s="8"/>
      <c r="IF33" s="8"/>
      <c r="IG33" s="7"/>
      <c r="IH33" s="7"/>
      <c r="II33" s="8"/>
      <c r="IJ33" s="8"/>
      <c r="IK33" s="8"/>
      <c r="IL33" s="8"/>
      <c r="IM33" s="8"/>
      <c r="IN33" s="7"/>
      <c r="IO33" s="7"/>
      <c r="IP33" s="8"/>
      <c r="IQ33" s="280" t="s">
        <v>1</v>
      </c>
      <c r="IR33" s="280" t="s">
        <v>1</v>
      </c>
      <c r="IS33" s="280" t="s">
        <v>1</v>
      </c>
      <c r="IT33" s="280" t="s">
        <v>1</v>
      </c>
      <c r="IU33" s="184"/>
      <c r="IV33" s="55"/>
      <c r="IW33" s="8"/>
      <c r="IX33" s="8"/>
      <c r="IY33" s="8"/>
      <c r="IZ33" s="8"/>
      <c r="JA33" s="8"/>
      <c r="JB33" s="7"/>
      <c r="JC33" s="7"/>
      <c r="JD33" s="8"/>
      <c r="JE33" s="8"/>
      <c r="JF33" s="8"/>
      <c r="JG33" s="8"/>
      <c r="JH33" s="8"/>
      <c r="JI33" s="7"/>
      <c r="JJ33" s="7"/>
      <c r="JK33" s="8"/>
      <c r="JL33" s="8"/>
      <c r="JM33" s="8"/>
      <c r="JN33" s="8"/>
      <c r="JO33" s="8"/>
      <c r="JP33" s="7"/>
      <c r="JQ33" s="7"/>
      <c r="JR33" s="8"/>
      <c r="JS33" s="8"/>
      <c r="JT33" s="69"/>
      <c r="JU33" s="280" t="s">
        <v>1</v>
      </c>
      <c r="JV33" s="280" t="s">
        <v>1</v>
      </c>
      <c r="JW33" s="7"/>
      <c r="JX33" s="7"/>
      <c r="JY33" s="280" t="s">
        <v>1</v>
      </c>
      <c r="JZ33" s="280" t="s">
        <v>1</v>
      </c>
      <c r="KA33" s="69"/>
      <c r="KB33" s="8"/>
      <c r="KC33" s="8"/>
      <c r="KD33" s="7"/>
      <c r="KE33" s="7"/>
      <c r="KF33" s="8"/>
      <c r="KG33" s="8"/>
      <c r="KH33" s="8"/>
      <c r="KI33" s="8"/>
      <c r="KJ33" s="8"/>
      <c r="KK33" s="7"/>
      <c r="KL33" s="7"/>
      <c r="KM33" s="8"/>
      <c r="KN33" s="8"/>
      <c r="KO33" s="8"/>
      <c r="KP33" s="8"/>
      <c r="KQ33" s="8"/>
      <c r="KR33" s="7"/>
      <c r="KS33" s="7"/>
      <c r="KT33" s="8"/>
      <c r="KU33" s="8"/>
      <c r="KV33" s="8"/>
      <c r="KW33" s="8"/>
      <c r="KX33" s="8"/>
      <c r="KY33" s="7"/>
      <c r="KZ33" s="7"/>
      <c r="LA33" s="8"/>
      <c r="LB33" s="8"/>
      <c r="LC33" s="8"/>
      <c r="LD33" s="8"/>
      <c r="LE33" s="58"/>
      <c r="LF33" s="183"/>
      <c r="LG33" s="7"/>
      <c r="LH33" s="8"/>
      <c r="LI33" s="8"/>
      <c r="LJ33" s="8"/>
      <c r="LK33" s="8"/>
      <c r="LL33" s="8"/>
      <c r="LM33" s="7"/>
      <c r="LN33" s="7"/>
      <c r="LO33" s="8"/>
      <c r="LP33" s="8"/>
      <c r="LQ33" s="8"/>
      <c r="LR33" s="8"/>
      <c r="LS33" s="8"/>
      <c r="LT33" s="7"/>
      <c r="LU33" s="7"/>
      <c r="LV33" s="8"/>
      <c r="LW33" s="8"/>
      <c r="LX33" s="8"/>
      <c r="LY33" s="8"/>
      <c r="LZ33" s="8"/>
      <c r="MA33" s="7"/>
      <c r="MB33" s="7"/>
      <c r="MC33" s="66" t="s">
        <v>1</v>
      </c>
      <c r="MD33" s="66" t="s">
        <v>1</v>
      </c>
      <c r="ME33" s="66" t="s">
        <v>1</v>
      </c>
      <c r="MF33" s="66" t="s">
        <v>1</v>
      </c>
      <c r="MG33" s="153" t="s">
        <v>1</v>
      </c>
      <c r="MH33" s="183"/>
      <c r="MI33" s="7"/>
      <c r="MJ33" s="8"/>
      <c r="MK33" s="8"/>
      <c r="ML33" s="8"/>
      <c r="MM33" s="8"/>
      <c r="MN33" s="8"/>
      <c r="MO33" s="7"/>
      <c r="MP33" s="7"/>
      <c r="MQ33" s="8"/>
      <c r="MR33" s="8"/>
      <c r="MS33" s="8"/>
      <c r="MT33" s="8"/>
      <c r="MU33" s="8"/>
      <c r="MV33" s="7"/>
      <c r="MW33" s="7"/>
      <c r="MX33" s="8"/>
      <c r="MY33" s="8"/>
      <c r="MZ33" s="8"/>
      <c r="NA33" s="8"/>
      <c r="NB33" s="8"/>
      <c r="NC33" s="7"/>
      <c r="ND33" s="7"/>
      <c r="NE33" s="8"/>
      <c r="NF33" s="8"/>
      <c r="NG33" s="8"/>
      <c r="NH33" s="8"/>
      <c r="NI33" s="8"/>
      <c r="NJ33" s="7"/>
      <c r="NK33" s="7"/>
      <c r="NL33" s="148"/>
    </row>
    <row r="34" spans="2:376">
      <c r="B34" s="29" t="s">
        <v>115</v>
      </c>
      <c r="C34" s="29" t="s">
        <v>30</v>
      </c>
      <c r="D34" s="29" t="s">
        <v>49</v>
      </c>
      <c r="E34" s="37"/>
      <c r="F34" s="29"/>
      <c r="G34" s="29"/>
      <c r="H34" s="29"/>
      <c r="I34" s="30"/>
      <c r="J34" s="30"/>
      <c r="K34" s="71"/>
      <c r="L34" s="32"/>
      <c r="M34" s="245"/>
      <c r="N34" s="247"/>
      <c r="O34" s="283"/>
      <c r="P34" s="34"/>
      <c r="Q34" s="34"/>
      <c r="R34" s="283"/>
      <c r="S34" s="245"/>
      <c r="T34" s="277"/>
      <c r="U34" s="245"/>
      <c r="V34" s="277"/>
      <c r="W34" s="245"/>
      <c r="X34" s="277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7"/>
      <c r="BA34" s="7"/>
      <c r="BB34" s="8"/>
      <c r="BC34" s="8"/>
      <c r="BD34" s="8"/>
      <c r="BE34" s="8"/>
      <c r="BF34" s="285"/>
      <c r="BG34" s="7"/>
      <c r="BH34" s="7"/>
      <c r="BI34" s="285"/>
      <c r="BJ34" s="69"/>
      <c r="BK34" s="285"/>
      <c r="BL34" s="285"/>
      <c r="BM34" s="285"/>
      <c r="BN34" s="7"/>
      <c r="BO34" s="7"/>
      <c r="BP34" s="285"/>
      <c r="BQ34" s="285"/>
      <c r="BR34" s="285"/>
      <c r="BS34" s="285"/>
      <c r="BT34" s="32"/>
      <c r="BU34" s="245"/>
      <c r="BV34" s="247"/>
      <c r="BW34" s="283"/>
      <c r="BX34" s="34"/>
      <c r="BY34" s="34"/>
      <c r="BZ34" s="283"/>
      <c r="CA34" s="245"/>
      <c r="CB34" s="277"/>
      <c r="CC34" s="245"/>
      <c r="CD34" s="277"/>
      <c r="CE34" s="245"/>
      <c r="CF34" s="277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8"/>
      <c r="DI34" s="8"/>
      <c r="DJ34" s="8"/>
      <c r="DK34" s="7"/>
      <c r="DL34" s="7"/>
      <c r="DM34" s="8"/>
      <c r="DN34" s="69"/>
      <c r="DO34" s="8"/>
      <c r="DP34" s="8"/>
      <c r="DQ34" s="8"/>
      <c r="DR34" s="7"/>
      <c r="DS34" s="7"/>
      <c r="DT34" s="8"/>
      <c r="DU34" s="8"/>
      <c r="DV34" s="8"/>
      <c r="DW34" s="8"/>
      <c r="DX34" s="8"/>
      <c r="DY34" s="7"/>
      <c r="DZ34" s="7"/>
      <c r="EA34" s="8"/>
      <c r="EB34" s="8"/>
      <c r="EC34" s="32"/>
      <c r="ED34" s="245"/>
      <c r="EE34" s="247"/>
      <c r="EF34" s="283"/>
      <c r="EG34" s="34"/>
      <c r="EH34" s="34"/>
      <c r="EI34" s="283"/>
      <c r="EJ34" s="245"/>
      <c r="EK34" s="277"/>
      <c r="EL34" s="245"/>
      <c r="EM34" s="277"/>
      <c r="EN34" s="245"/>
      <c r="EO34" s="277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8"/>
      <c r="FR34" s="8"/>
      <c r="FS34" s="8"/>
      <c r="FT34" s="8"/>
      <c r="FU34" s="8"/>
      <c r="FV34" s="7"/>
      <c r="FW34" s="7"/>
      <c r="FX34" s="286"/>
      <c r="FY34" s="286"/>
      <c r="FZ34" s="69"/>
      <c r="GA34" s="69"/>
      <c r="GB34" s="69"/>
      <c r="GC34" s="7"/>
      <c r="GD34" s="7"/>
      <c r="GE34" s="8"/>
      <c r="GF34" s="8"/>
      <c r="GG34" s="8"/>
      <c r="GH34" s="8"/>
      <c r="GI34" s="8"/>
      <c r="GJ34" s="7"/>
      <c r="GK34" s="7"/>
      <c r="GL34" s="32"/>
      <c r="GM34" s="245"/>
      <c r="GN34" s="247"/>
      <c r="GO34" s="283"/>
      <c r="GP34" s="34"/>
      <c r="GQ34" s="34"/>
      <c r="GR34" s="283"/>
      <c r="GS34" s="245"/>
      <c r="GT34" s="277"/>
      <c r="GU34" s="245"/>
      <c r="GV34" s="277"/>
      <c r="GW34" s="245"/>
      <c r="GX34" s="277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245"/>
      <c r="IB34" s="247"/>
      <c r="IC34" s="283"/>
      <c r="ID34" s="34"/>
      <c r="IE34" s="34"/>
      <c r="IF34" s="283"/>
      <c r="IG34" s="245"/>
      <c r="IH34" s="277"/>
      <c r="II34" s="245"/>
      <c r="IJ34" s="277"/>
      <c r="IK34" s="245"/>
      <c r="IL34" s="277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8"/>
      <c r="KH34" s="8"/>
      <c r="KI34" s="8"/>
      <c r="KJ34" s="8"/>
      <c r="KK34" s="7"/>
      <c r="KL34" s="7"/>
      <c r="KM34" s="8"/>
      <c r="KN34" s="8"/>
      <c r="KO34" s="8"/>
      <c r="KP34" s="8"/>
      <c r="KQ34" s="8"/>
      <c r="KR34" s="7"/>
      <c r="KS34" s="7"/>
      <c r="KT34" s="8"/>
      <c r="KU34" s="8"/>
      <c r="KV34" s="8"/>
      <c r="KW34" s="8"/>
      <c r="KX34" s="285"/>
      <c r="KY34" s="7"/>
      <c r="KZ34" s="7"/>
      <c r="LA34" s="8"/>
      <c r="LB34" s="8"/>
      <c r="LC34" s="8"/>
      <c r="LD34" s="8"/>
      <c r="LE34" s="58"/>
      <c r="LF34" s="183"/>
      <c r="LG34" s="7"/>
      <c r="LH34" s="8"/>
      <c r="LI34" s="8"/>
      <c r="LJ34" s="8"/>
      <c r="LK34" s="8"/>
      <c r="LL34" s="8"/>
      <c r="LM34" s="7"/>
      <c r="LN34" s="7"/>
      <c r="LO34" s="8"/>
      <c r="LP34" s="8"/>
      <c r="LQ34" s="8"/>
      <c r="LR34" s="8"/>
      <c r="LS34" s="8"/>
      <c r="LT34" s="7"/>
      <c r="LU34" s="7"/>
      <c r="LV34" s="66" t="s">
        <v>1</v>
      </c>
      <c r="LW34" s="66" t="s">
        <v>1</v>
      </c>
      <c r="LX34" s="66" t="s">
        <v>1</v>
      </c>
      <c r="LY34" s="66" t="s">
        <v>1</v>
      </c>
      <c r="LZ34" s="66" t="s">
        <v>1</v>
      </c>
      <c r="MA34" s="7"/>
      <c r="MB34" s="7"/>
      <c r="MC34" s="66" t="s">
        <v>1</v>
      </c>
      <c r="MD34" s="66" t="s">
        <v>1</v>
      </c>
      <c r="ME34" s="66" t="s">
        <v>1</v>
      </c>
      <c r="MF34" s="66" t="s">
        <v>1</v>
      </c>
      <c r="MG34" s="153" t="s">
        <v>1</v>
      </c>
      <c r="MH34" s="183"/>
      <c r="MI34" s="7"/>
      <c r="MJ34" s="66" t="s">
        <v>1</v>
      </c>
      <c r="MK34" s="66" t="s">
        <v>1</v>
      </c>
      <c r="ML34" s="66" t="s">
        <v>1</v>
      </c>
      <c r="MM34" s="66" t="s">
        <v>1</v>
      </c>
      <c r="MN34" s="66" t="s">
        <v>1</v>
      </c>
      <c r="MO34" s="7"/>
      <c r="MP34" s="7"/>
      <c r="MQ34" s="8"/>
      <c r="MR34" s="8"/>
      <c r="MS34" s="8"/>
      <c r="MT34" s="8"/>
      <c r="MU34" s="8"/>
      <c r="MV34" s="7"/>
      <c r="MW34" s="7"/>
      <c r="MX34" s="8"/>
      <c r="MY34" s="8"/>
      <c r="MZ34" s="8"/>
      <c r="NA34" s="8"/>
      <c r="NB34" s="8"/>
      <c r="NC34" s="7"/>
      <c r="ND34" s="7"/>
      <c r="NE34" s="8"/>
      <c r="NF34" s="8"/>
      <c r="NG34" s="8"/>
      <c r="NH34" s="8"/>
      <c r="NI34" s="8"/>
      <c r="NJ34" s="7"/>
      <c r="NK34" s="7"/>
      <c r="NL34" s="148"/>
    </row>
    <row r="35" spans="2:376" ht="15.75" thickBot="1">
      <c r="B35" s="29" t="s">
        <v>116</v>
      </c>
      <c r="C35" s="29" t="s">
        <v>30</v>
      </c>
      <c r="D35" s="29" t="s">
        <v>49</v>
      </c>
      <c r="E35" s="37">
        <v>0</v>
      </c>
      <c r="F35" s="29">
        <v>15</v>
      </c>
      <c r="G35" s="29">
        <v>3</v>
      </c>
      <c r="H35" s="29">
        <f t="shared" ref="H35" si="18">E35+F35-COUNTIF(L35:NL35,$C$2)</f>
        <v>3</v>
      </c>
      <c r="I35" s="30">
        <f t="shared" ref="I35" si="19">G35-COUNTIF(L35:NL35,$C$3)</f>
        <v>3</v>
      </c>
      <c r="J35" s="30">
        <f t="shared" ref="J35" si="20">COUNTIF(K35:NG35,$C$4)</f>
        <v>0</v>
      </c>
      <c r="K35" s="71">
        <f t="shared" ref="K35" si="21">COUNTIF(L35:NL35,$C$5)</f>
        <v>0</v>
      </c>
      <c r="L35" s="32"/>
      <c r="M35" s="32"/>
      <c r="N35" s="32"/>
      <c r="O35" s="32"/>
      <c r="P35" s="32"/>
      <c r="Q35" s="34"/>
      <c r="R35" s="34"/>
      <c r="S35" s="32"/>
      <c r="T35" s="32"/>
      <c r="U35" s="32"/>
      <c r="V35" s="32"/>
      <c r="W35" s="32"/>
      <c r="X35" s="34"/>
      <c r="Y35" s="34"/>
      <c r="Z35" s="32"/>
      <c r="AA35" s="32"/>
      <c r="AB35" s="32"/>
      <c r="AC35" s="32"/>
      <c r="AD35" s="32"/>
      <c r="AE35" s="34"/>
      <c r="AF35" s="34"/>
      <c r="AG35" s="32"/>
      <c r="AH35" s="32"/>
      <c r="AI35" s="32"/>
      <c r="AJ35" s="32"/>
      <c r="AK35" s="32"/>
      <c r="AL35" s="34"/>
      <c r="AM35" s="34"/>
      <c r="AN35" s="32"/>
      <c r="AO35" s="245"/>
      <c r="AP35" s="247"/>
      <c r="AQ35" s="32"/>
      <c r="AR35" s="32"/>
      <c r="AS35" s="34"/>
      <c r="AT35" s="34"/>
      <c r="AU35" s="32"/>
      <c r="AV35" s="32"/>
      <c r="AW35" s="32"/>
      <c r="AX35" s="32"/>
      <c r="AY35" s="32"/>
      <c r="AZ35" s="34"/>
      <c r="BA35" s="34"/>
      <c r="BB35" s="32"/>
      <c r="BC35" s="32"/>
      <c r="BD35" s="32"/>
      <c r="BE35" s="32"/>
      <c r="BF35" s="283"/>
      <c r="BG35" s="34"/>
      <c r="BH35" s="34"/>
      <c r="BI35" s="283"/>
      <c r="BJ35" s="247"/>
      <c r="BK35" s="283"/>
      <c r="BL35" s="283"/>
      <c r="BM35" s="283"/>
      <c r="BN35" s="34"/>
      <c r="BO35" s="34"/>
      <c r="BP35" s="283"/>
      <c r="BQ35" s="283"/>
      <c r="BR35" s="283"/>
      <c r="BS35" s="283"/>
      <c r="BT35" s="283"/>
      <c r="BU35" s="34"/>
      <c r="BV35" s="34"/>
      <c r="BW35" s="283"/>
      <c r="BX35" s="283"/>
      <c r="BY35" s="283"/>
      <c r="BZ35" s="283"/>
      <c r="CA35" s="283"/>
      <c r="CB35" s="34"/>
      <c r="CC35" s="34"/>
      <c r="CD35" s="283"/>
      <c r="CE35" s="283"/>
      <c r="CF35" s="283"/>
      <c r="CG35" s="283"/>
      <c r="CH35" s="283"/>
      <c r="CI35" s="34"/>
      <c r="CJ35" s="34"/>
      <c r="CK35" s="283"/>
      <c r="CL35" s="283"/>
      <c r="CM35" s="283"/>
      <c r="CN35" s="247"/>
      <c r="CO35" s="283"/>
      <c r="CP35" s="34"/>
      <c r="CQ35" s="34"/>
      <c r="CR35" s="283"/>
      <c r="CS35" s="283"/>
      <c r="CT35" s="283"/>
      <c r="CU35" s="283"/>
      <c r="CV35" s="283"/>
      <c r="CW35" s="34"/>
      <c r="CX35" s="34"/>
      <c r="CY35" s="283"/>
      <c r="CZ35" s="32"/>
      <c r="DA35" s="32"/>
      <c r="DB35" s="32"/>
      <c r="DC35" s="32"/>
      <c r="DD35" s="34"/>
      <c r="DE35" s="34"/>
      <c r="DF35" s="32"/>
      <c r="DG35" s="32"/>
      <c r="DH35" s="32"/>
      <c r="DI35" s="32"/>
      <c r="DJ35" s="32"/>
      <c r="DK35" s="34"/>
      <c r="DL35" s="34"/>
      <c r="DM35" s="32"/>
      <c r="DN35" s="247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245"/>
      <c r="ED35" s="277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247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245"/>
      <c r="FI35" s="277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282"/>
      <c r="FY35" s="282"/>
      <c r="FZ35" s="247"/>
      <c r="GA35" s="247"/>
      <c r="GB35" s="247"/>
      <c r="GC35" s="32"/>
      <c r="GD35" s="32"/>
      <c r="GE35" s="32"/>
      <c r="GF35" s="32"/>
      <c r="GG35" s="32"/>
      <c r="GH35" s="32"/>
      <c r="GI35" s="32"/>
      <c r="GJ35" s="32"/>
      <c r="GK35" s="32"/>
      <c r="GL35" s="245"/>
      <c r="GM35" s="277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8"/>
      <c r="IS35" s="8"/>
      <c r="IT35" s="8"/>
      <c r="IU35" s="184"/>
      <c r="IV35" s="55"/>
      <c r="IW35" s="8"/>
      <c r="IX35" s="8"/>
      <c r="IY35" s="8"/>
      <c r="IZ35" s="8"/>
      <c r="JA35" s="8"/>
      <c r="JB35" s="7"/>
      <c r="JC35" s="7"/>
      <c r="JD35" s="8"/>
      <c r="JE35" s="8"/>
      <c r="JF35" s="8"/>
      <c r="JG35" s="8"/>
      <c r="JH35" s="8"/>
      <c r="JI35" s="7"/>
      <c r="JJ35" s="7"/>
      <c r="JK35" s="8"/>
      <c r="JL35" s="8"/>
      <c r="JM35" s="8"/>
      <c r="JN35" s="8"/>
      <c r="JO35" s="8"/>
      <c r="JP35" s="7"/>
      <c r="JQ35" s="7"/>
      <c r="JR35" s="8"/>
      <c r="JS35" s="8"/>
      <c r="JT35" s="69"/>
      <c r="JU35" s="280" t="s">
        <v>1</v>
      </c>
      <c r="JV35" s="280" t="s">
        <v>1</v>
      </c>
      <c r="JW35" s="7"/>
      <c r="JX35" s="7"/>
      <c r="JY35" s="280" t="s">
        <v>1</v>
      </c>
      <c r="JZ35" s="280" t="s">
        <v>1</v>
      </c>
      <c r="KA35" s="69"/>
      <c r="KB35" s="8"/>
      <c r="KC35" s="8"/>
      <c r="KD35" s="7"/>
      <c r="KE35" s="7"/>
      <c r="KF35" s="8"/>
      <c r="KG35" s="8"/>
      <c r="KH35" s="8"/>
      <c r="KI35" s="8"/>
      <c r="KJ35" s="8"/>
      <c r="KK35" s="7"/>
      <c r="KL35" s="7"/>
      <c r="KM35" s="8"/>
      <c r="KN35" s="8"/>
      <c r="KO35" s="8"/>
      <c r="KP35" s="8"/>
      <c r="KQ35" s="8"/>
      <c r="KR35" s="7"/>
      <c r="KS35" s="7"/>
      <c r="KT35" s="8"/>
      <c r="KU35" s="8"/>
      <c r="KV35" s="8"/>
      <c r="KW35" s="8"/>
      <c r="KX35" s="280" t="s">
        <v>1</v>
      </c>
      <c r="KY35" s="7"/>
      <c r="KZ35" s="7"/>
      <c r="LA35" s="8"/>
      <c r="LB35" s="8"/>
      <c r="LC35" s="8"/>
      <c r="LD35" s="8"/>
      <c r="LE35" s="58"/>
      <c r="LF35" s="329"/>
      <c r="LG35" s="151"/>
      <c r="LH35" s="150"/>
      <c r="LI35" s="150"/>
      <c r="LJ35" s="150"/>
      <c r="LK35" s="150"/>
      <c r="LL35" s="150"/>
      <c r="LM35" s="151"/>
      <c r="LN35" s="151"/>
      <c r="LO35" s="150"/>
      <c r="LP35" s="150"/>
      <c r="LQ35" s="150"/>
      <c r="LR35" s="150"/>
      <c r="LS35" s="150"/>
      <c r="LT35" s="151"/>
      <c r="LU35" s="151"/>
      <c r="LV35" s="150"/>
      <c r="LW35" s="150"/>
      <c r="LX35" s="150"/>
      <c r="LY35" s="150"/>
      <c r="LZ35" s="150"/>
      <c r="MA35" s="151"/>
      <c r="MB35" s="151"/>
      <c r="MC35" s="296"/>
      <c r="MD35" s="296"/>
      <c r="ME35" s="296"/>
      <c r="MF35" s="296"/>
      <c r="MG35" s="297"/>
      <c r="MH35" s="329"/>
      <c r="MI35" s="151"/>
      <c r="MJ35" s="296"/>
      <c r="MK35" s="296"/>
      <c r="ML35" s="339" t="s">
        <v>1</v>
      </c>
      <c r="MM35" s="339" t="s">
        <v>1</v>
      </c>
      <c r="MN35" s="339" t="s">
        <v>1</v>
      </c>
      <c r="MO35" s="151"/>
      <c r="MP35" s="151"/>
      <c r="MQ35" s="296"/>
      <c r="MR35" s="296"/>
      <c r="MS35" s="296"/>
      <c r="MT35" s="296"/>
      <c r="MU35" s="296"/>
      <c r="MV35" s="310"/>
      <c r="MW35" s="310"/>
      <c r="MX35" s="296"/>
      <c r="MY35" s="296"/>
      <c r="MZ35" s="296"/>
      <c r="NA35" s="339" t="s">
        <v>1</v>
      </c>
      <c r="NB35" s="339" t="s">
        <v>1</v>
      </c>
      <c r="NC35" s="151"/>
      <c r="ND35" s="151"/>
      <c r="NE35" s="339" t="s">
        <v>1</v>
      </c>
      <c r="NF35" s="339" t="s">
        <v>1</v>
      </c>
      <c r="NG35" s="296"/>
      <c r="NH35" s="296"/>
      <c r="NI35" s="296"/>
      <c r="NJ35" s="151"/>
      <c r="NK35" s="151"/>
      <c r="NL35" s="297"/>
    </row>
    <row r="36" spans="2:376" hidden="1">
      <c r="B36" s="29" t="s">
        <v>117</v>
      </c>
      <c r="C36" s="29" t="s">
        <v>118</v>
      </c>
      <c r="D36" s="29" t="s">
        <v>49</v>
      </c>
      <c r="E36" s="37">
        <v>0</v>
      </c>
      <c r="F36" s="29">
        <v>23</v>
      </c>
      <c r="G36" s="29">
        <v>0</v>
      </c>
      <c r="H36" s="29">
        <f t="shared" si="14"/>
        <v>13</v>
      </c>
      <c r="I36" s="30">
        <f t="shared" si="15"/>
        <v>0</v>
      </c>
      <c r="J36" s="30">
        <f t="shared" si="16"/>
        <v>0</v>
      </c>
      <c r="K36" s="71">
        <f t="shared" si="17"/>
        <v>0</v>
      </c>
      <c r="L36" s="8"/>
      <c r="M36" s="8"/>
      <c r="N36" s="8"/>
      <c r="O36" s="8"/>
      <c r="P36" s="8"/>
      <c r="Q36" s="7"/>
      <c r="R36" s="7"/>
      <c r="S36" s="8"/>
      <c r="T36" s="8"/>
      <c r="U36" s="8"/>
      <c r="V36" s="8"/>
      <c r="W36" s="8"/>
      <c r="X36" s="7"/>
      <c r="Y36" s="7"/>
      <c r="Z36" s="8"/>
      <c r="AA36" s="8"/>
      <c r="AB36" s="8"/>
      <c r="AC36" s="8"/>
      <c r="AD36" s="8"/>
      <c r="AE36" s="7"/>
      <c r="AF36" s="7"/>
      <c r="AG36" s="8"/>
      <c r="AH36" s="8"/>
      <c r="AI36" s="8"/>
      <c r="AJ36" s="8"/>
      <c r="AK36" s="8"/>
      <c r="AL36" s="7"/>
      <c r="AM36" s="7"/>
      <c r="AN36" s="8"/>
      <c r="AO36" s="148"/>
      <c r="AP36" s="69"/>
      <c r="AQ36" s="8"/>
      <c r="AR36" s="8"/>
      <c r="AS36" s="7"/>
      <c r="AT36" s="7"/>
      <c r="AU36" s="8"/>
      <c r="AV36" s="8"/>
      <c r="AW36" s="8"/>
      <c r="AX36" s="8"/>
      <c r="AY36" s="8"/>
      <c r="AZ36" s="7"/>
      <c r="BA36" s="7"/>
      <c r="BB36" s="8"/>
      <c r="BC36" s="8"/>
      <c r="BD36" s="8"/>
      <c r="BE36" s="8"/>
      <c r="BF36" s="8"/>
      <c r="BG36" s="7"/>
      <c r="BH36" s="7"/>
      <c r="BI36" s="8"/>
      <c r="BJ36" s="69"/>
      <c r="BK36" s="8"/>
      <c r="BL36" s="8"/>
      <c r="BM36" s="8"/>
      <c r="BN36" s="7"/>
      <c r="BO36" s="7"/>
      <c r="BP36" s="8"/>
      <c r="BQ36" s="8"/>
      <c r="BR36" s="8"/>
      <c r="BS36" s="8"/>
      <c r="BT36" s="148"/>
      <c r="BU36" s="7"/>
      <c r="BV36" s="7"/>
      <c r="BW36" s="8"/>
      <c r="BX36" s="8"/>
      <c r="BY36" s="8"/>
      <c r="BZ36" s="8"/>
      <c r="CA36" s="8"/>
      <c r="CB36" s="7"/>
      <c r="CC36" s="7"/>
      <c r="CD36" s="8"/>
      <c r="CE36" s="8"/>
      <c r="CF36" s="8"/>
      <c r="CG36" s="8"/>
      <c r="CH36" s="8"/>
      <c r="CI36" s="7"/>
      <c r="CJ36" s="7"/>
      <c r="CK36" s="8"/>
      <c r="CL36" s="8"/>
      <c r="CM36" s="8"/>
      <c r="CN36" s="69"/>
      <c r="CO36" s="8"/>
      <c r="CP36" s="7"/>
      <c r="CQ36" s="7"/>
      <c r="CR36" s="8"/>
      <c r="CS36" s="8"/>
      <c r="CT36" s="8"/>
      <c r="CU36" s="8"/>
      <c r="CV36" s="8"/>
      <c r="CW36" s="7"/>
      <c r="CX36" s="7"/>
      <c r="CY36" s="28"/>
      <c r="CZ36" s="8"/>
      <c r="DA36" s="8"/>
      <c r="DB36" s="8"/>
      <c r="DC36" s="8"/>
      <c r="DD36" s="7"/>
      <c r="DE36" s="7"/>
      <c r="DF36" s="8"/>
      <c r="DG36" s="8"/>
      <c r="DH36" s="8"/>
      <c r="DI36" s="8"/>
      <c r="DJ36" s="8"/>
      <c r="DK36" s="7"/>
      <c r="DL36" s="7"/>
      <c r="DM36" s="8"/>
      <c r="DN36" s="69"/>
      <c r="DO36" s="8"/>
      <c r="DP36" s="8"/>
      <c r="DQ36" s="8"/>
      <c r="DR36" s="7"/>
      <c r="DS36" s="7"/>
      <c r="DT36" s="8"/>
      <c r="DU36" s="8"/>
      <c r="DV36" s="8"/>
      <c r="DW36" s="8"/>
      <c r="DX36" s="8"/>
      <c r="DY36" s="7"/>
      <c r="DZ36" s="7"/>
      <c r="EA36" s="8"/>
      <c r="EB36" s="8"/>
      <c r="EC36" s="148"/>
      <c r="ED36" s="28"/>
      <c r="EE36" s="8"/>
      <c r="EF36" s="7"/>
      <c r="EG36" s="7"/>
      <c r="EH36" s="8"/>
      <c r="EI36" s="8"/>
      <c r="EJ36" s="8"/>
      <c r="EK36" s="8"/>
      <c r="EL36" s="8"/>
      <c r="EM36" s="7"/>
      <c r="EN36" s="7"/>
      <c r="EO36" s="8"/>
      <c r="EP36" s="8"/>
      <c r="EQ36" s="8"/>
      <c r="ER36" s="69"/>
      <c r="ES36" s="8"/>
      <c r="ET36" s="7"/>
      <c r="EU36" s="7"/>
      <c r="EV36" s="8"/>
      <c r="EW36" s="8"/>
      <c r="EX36" s="8"/>
      <c r="EY36" s="8"/>
      <c r="EZ36" s="8"/>
      <c r="FA36" s="7"/>
      <c r="FB36" s="7"/>
      <c r="FC36" s="66" t="s">
        <v>1</v>
      </c>
      <c r="FD36" s="66" t="s">
        <v>1</v>
      </c>
      <c r="FE36" s="66" t="s">
        <v>1</v>
      </c>
      <c r="FF36" s="66" t="s">
        <v>1</v>
      </c>
      <c r="FG36" s="66" t="s">
        <v>1</v>
      </c>
      <c r="FH36" s="184"/>
      <c r="FI36" s="55"/>
      <c r="FJ36" s="66" t="s">
        <v>1</v>
      </c>
      <c r="FK36" s="66" t="s">
        <v>1</v>
      </c>
      <c r="FL36" s="66" t="s">
        <v>1</v>
      </c>
      <c r="FM36" s="66" t="s">
        <v>1</v>
      </c>
      <c r="FN36" s="66" t="s">
        <v>1</v>
      </c>
      <c r="FO36" s="7"/>
      <c r="FP36" s="7"/>
      <c r="FQ36" s="8"/>
      <c r="FR36" s="8"/>
      <c r="FS36" s="8"/>
      <c r="FT36" s="8"/>
      <c r="FU36" s="8"/>
      <c r="FV36" s="7"/>
      <c r="FW36" s="7"/>
      <c r="FX36" s="8"/>
      <c r="FY36" s="8"/>
      <c r="FZ36" s="69"/>
      <c r="GA36" s="69"/>
      <c r="GB36" s="69"/>
      <c r="GC36" s="7"/>
      <c r="GD36" s="7"/>
      <c r="GE36" s="8"/>
      <c r="GF36" s="8"/>
      <c r="GG36" s="8"/>
      <c r="GH36" s="8"/>
      <c r="GI36" s="8"/>
      <c r="GJ36" s="7"/>
      <c r="GK36" s="7"/>
      <c r="GL36" s="148"/>
      <c r="GM36" s="28"/>
      <c r="GN36" s="8"/>
      <c r="GO36" s="8"/>
      <c r="GP36" s="8"/>
      <c r="GQ36" s="7"/>
      <c r="GR36" s="7"/>
      <c r="GS36" s="8"/>
      <c r="GT36" s="8"/>
      <c r="GU36" s="8"/>
      <c r="GV36" s="8"/>
      <c r="GW36" s="8"/>
      <c r="GX36" s="7"/>
      <c r="GY36" s="7"/>
      <c r="GZ36" s="8"/>
      <c r="HA36" s="8"/>
      <c r="HB36" s="8"/>
      <c r="HC36" s="8"/>
      <c r="HD36" s="8"/>
      <c r="HE36" s="7"/>
      <c r="HF36" s="7"/>
      <c r="HG36" s="8"/>
      <c r="HH36" s="8"/>
      <c r="HI36" s="8"/>
      <c r="HJ36" s="8"/>
      <c r="HK36" s="8"/>
      <c r="HL36" s="7"/>
      <c r="HM36" s="7"/>
      <c r="HN36" s="8"/>
      <c r="HO36" s="8"/>
      <c r="HP36" s="8"/>
      <c r="HQ36" s="69"/>
      <c r="HR36" s="69"/>
      <c r="HS36" s="7"/>
      <c r="HT36" s="7"/>
      <c r="HU36" s="8"/>
      <c r="HV36" s="8"/>
      <c r="HW36" s="8"/>
      <c r="HX36" s="8"/>
      <c r="HY36" s="8"/>
      <c r="HZ36" s="7"/>
      <c r="IA36" s="7"/>
      <c r="IB36" s="8"/>
      <c r="IC36" s="8"/>
      <c r="ID36" s="8"/>
      <c r="IE36" s="8"/>
      <c r="IF36" s="8"/>
      <c r="IG36" s="7"/>
      <c r="IH36" s="7"/>
      <c r="II36" s="8"/>
      <c r="IJ36" s="8"/>
      <c r="IK36" s="8"/>
      <c r="IL36" s="8"/>
      <c r="IM36" s="8"/>
      <c r="IN36" s="7"/>
      <c r="IO36" s="7"/>
      <c r="IP36" s="8"/>
      <c r="IQ36" s="8"/>
      <c r="IR36" s="8"/>
      <c r="IS36" s="8"/>
      <c r="IT36" s="8"/>
      <c r="IU36" s="184"/>
      <c r="IV36" s="55"/>
      <c r="IW36" s="8"/>
      <c r="IX36" s="8"/>
      <c r="IY36" s="8"/>
      <c r="IZ36" s="8"/>
      <c r="JA36" s="8"/>
      <c r="JB36" s="7"/>
      <c r="JC36" s="7"/>
      <c r="JD36" s="8"/>
      <c r="JE36" s="8"/>
      <c r="JF36" s="8"/>
      <c r="JG36" s="8"/>
      <c r="JH36" s="8"/>
      <c r="JI36" s="7"/>
      <c r="JJ36" s="7"/>
      <c r="JK36" s="8"/>
      <c r="JL36" s="8"/>
      <c r="JM36" s="8"/>
      <c r="JN36" s="8"/>
      <c r="JO36" s="8"/>
      <c r="JP36" s="7"/>
      <c r="JQ36" s="7"/>
      <c r="JR36" s="8"/>
      <c r="JS36" s="8"/>
      <c r="JT36" s="69"/>
      <c r="JU36" s="8"/>
      <c r="JV36" s="8"/>
      <c r="JW36" s="7"/>
      <c r="JX36" s="7"/>
      <c r="JY36" s="8"/>
      <c r="JZ36" s="148"/>
      <c r="KA36" s="69"/>
      <c r="KB36" s="8"/>
      <c r="KC36" s="8"/>
      <c r="KD36" s="7"/>
      <c r="KE36" s="7"/>
      <c r="KF36" s="8"/>
      <c r="KG36" s="8"/>
      <c r="KH36" s="8"/>
      <c r="KI36" s="8"/>
      <c r="KJ36" s="8"/>
      <c r="KK36" s="7"/>
      <c r="KL36" s="7"/>
      <c r="KM36" s="8"/>
      <c r="KN36" s="8"/>
      <c r="KO36" s="8"/>
      <c r="KP36" s="8"/>
      <c r="KQ36" s="8"/>
      <c r="KR36" s="7"/>
      <c r="KS36" s="7"/>
      <c r="KT36" s="8"/>
      <c r="KU36" s="8"/>
      <c r="KV36" s="8"/>
      <c r="KW36" s="8"/>
      <c r="KX36" s="8"/>
      <c r="KY36" s="7"/>
      <c r="KZ36" s="7"/>
      <c r="LA36" s="8"/>
      <c r="LB36" s="8"/>
      <c r="LC36" s="8"/>
      <c r="LD36" s="8"/>
      <c r="LE36" s="148"/>
      <c r="LF36" s="135"/>
      <c r="LG36" s="135"/>
      <c r="LH36" s="61"/>
      <c r="LI36" s="61"/>
      <c r="LJ36" s="61"/>
      <c r="LK36" s="61"/>
      <c r="LL36" s="61"/>
      <c r="LM36" s="135"/>
      <c r="LN36" s="135"/>
      <c r="LO36" s="61"/>
      <c r="LP36" s="61"/>
      <c r="LQ36" s="61"/>
      <c r="LR36" s="61"/>
      <c r="LS36" s="61"/>
      <c r="LT36" s="135"/>
      <c r="LU36" s="135"/>
      <c r="LV36" s="61"/>
      <c r="LW36" s="61"/>
      <c r="LX36" s="61"/>
      <c r="LY36" s="61"/>
      <c r="LZ36" s="61"/>
      <c r="MA36" s="135"/>
      <c r="MB36" s="135"/>
      <c r="MC36" s="61"/>
      <c r="MD36" s="61"/>
      <c r="ME36" s="61"/>
      <c r="MF36" s="61"/>
      <c r="MG36" s="61"/>
      <c r="MH36" s="291"/>
      <c r="MI36" s="135"/>
      <c r="MJ36" s="61"/>
      <c r="MK36" s="61"/>
      <c r="ML36" s="61"/>
      <c r="MM36" s="61"/>
      <c r="MN36" s="61"/>
      <c r="MO36" s="135"/>
      <c r="MP36" s="135"/>
      <c r="MQ36" s="61"/>
      <c r="MR36" s="61"/>
      <c r="MS36" s="61"/>
      <c r="MT36" s="61"/>
      <c r="MU36" s="61"/>
      <c r="MV36" s="135"/>
      <c r="MW36" s="135"/>
      <c r="MX36" s="61"/>
      <c r="MY36" s="61"/>
      <c r="MZ36" s="61"/>
      <c r="NA36" s="61"/>
      <c r="NB36" s="61"/>
      <c r="NC36" s="135"/>
      <c r="ND36" s="135"/>
      <c r="NE36" s="61"/>
      <c r="NF36" s="61"/>
      <c r="NG36" s="61"/>
      <c r="NH36" s="61"/>
      <c r="NI36" s="61"/>
      <c r="NJ36" s="135"/>
      <c r="NK36" s="135"/>
      <c r="NL36" s="207"/>
    </row>
    <row r="37" spans="2:376" hidden="1">
      <c r="B37" s="29" t="s">
        <v>119</v>
      </c>
      <c r="C37" s="29" t="s">
        <v>118</v>
      </c>
      <c r="D37" s="29" t="s">
        <v>49</v>
      </c>
      <c r="E37" s="37">
        <v>0</v>
      </c>
      <c r="F37" s="29">
        <v>23</v>
      </c>
      <c r="G37" s="29">
        <v>0</v>
      </c>
      <c r="H37" s="29">
        <f t="shared" si="14"/>
        <v>23</v>
      </c>
      <c r="I37" s="30">
        <f t="shared" si="15"/>
        <v>0</v>
      </c>
      <c r="J37" s="30">
        <f t="shared" si="16"/>
        <v>0</v>
      </c>
      <c r="K37" s="71">
        <f t="shared" si="17"/>
        <v>0</v>
      </c>
      <c r="L37" s="8"/>
      <c r="M37" s="8"/>
      <c r="N37" s="8"/>
      <c r="O37" s="8"/>
      <c r="P37" s="8"/>
      <c r="Q37" s="7"/>
      <c r="R37" s="7"/>
      <c r="S37" s="8"/>
      <c r="T37" s="8"/>
      <c r="U37" s="8"/>
      <c r="V37" s="8"/>
      <c r="W37" s="8"/>
      <c r="X37" s="7"/>
      <c r="Y37" s="7"/>
      <c r="Z37" s="8"/>
      <c r="AA37" s="8"/>
      <c r="AB37" s="8"/>
      <c r="AC37" s="8"/>
      <c r="AD37" s="8"/>
      <c r="AE37" s="7"/>
      <c r="AF37" s="7"/>
      <c r="AG37" s="8"/>
      <c r="AH37" s="8"/>
      <c r="AI37" s="8"/>
      <c r="AJ37" s="8"/>
      <c r="AK37" s="8"/>
      <c r="AL37" s="7"/>
      <c r="AM37" s="7"/>
      <c r="AN37" s="8"/>
      <c r="AO37" s="148"/>
      <c r="AP37" s="69"/>
      <c r="AQ37" s="8"/>
      <c r="AR37" s="8"/>
      <c r="AS37" s="7"/>
      <c r="AT37" s="7"/>
      <c r="AU37" s="8"/>
      <c r="AV37" s="8"/>
      <c r="AW37" s="8"/>
      <c r="AX37" s="8"/>
      <c r="AY37" s="8"/>
      <c r="AZ37" s="7"/>
      <c r="BA37" s="7"/>
      <c r="BB37" s="8"/>
      <c r="BC37" s="8"/>
      <c r="BD37" s="8"/>
      <c r="BE37" s="8"/>
      <c r="BF37" s="8"/>
      <c r="BG37" s="7"/>
      <c r="BH37" s="7"/>
      <c r="BI37" s="8"/>
      <c r="BJ37" s="69"/>
      <c r="BK37" s="8"/>
      <c r="BL37" s="8"/>
      <c r="BM37" s="8"/>
      <c r="BN37" s="7"/>
      <c r="BO37" s="7"/>
      <c r="BP37" s="8"/>
      <c r="BQ37" s="8"/>
      <c r="BR37" s="8"/>
      <c r="BS37" s="8"/>
      <c r="BT37" s="148"/>
      <c r="BU37" s="7"/>
      <c r="BV37" s="7"/>
      <c r="BW37" s="8"/>
      <c r="BX37" s="8"/>
      <c r="BY37" s="8"/>
      <c r="BZ37" s="8"/>
      <c r="CA37" s="8"/>
      <c r="CB37" s="7"/>
      <c r="CC37" s="7"/>
      <c r="CD37" s="8"/>
      <c r="CE37" s="8"/>
      <c r="CF37" s="8"/>
      <c r="CG37" s="8"/>
      <c r="CH37" s="8"/>
      <c r="CI37" s="7"/>
      <c r="CJ37" s="7"/>
      <c r="CK37" s="8"/>
      <c r="CL37" s="8"/>
      <c r="CM37" s="8"/>
      <c r="CN37" s="69"/>
      <c r="CO37" s="8"/>
      <c r="CP37" s="7"/>
      <c r="CQ37" s="7"/>
      <c r="CR37" s="8"/>
      <c r="CS37" s="8"/>
      <c r="CT37" s="8"/>
      <c r="CU37" s="8"/>
      <c r="CV37" s="8"/>
      <c r="CW37" s="7"/>
      <c r="CX37" s="7"/>
      <c r="CY37" s="28"/>
      <c r="CZ37" s="8"/>
      <c r="DA37" s="8"/>
      <c r="DB37" s="8"/>
      <c r="DC37" s="8"/>
      <c r="DD37" s="7"/>
      <c r="DE37" s="7"/>
      <c r="DF37" s="8"/>
      <c r="DG37" s="8"/>
      <c r="DH37" s="8"/>
      <c r="DI37" s="8"/>
      <c r="DJ37" s="8"/>
      <c r="DK37" s="7"/>
      <c r="DL37" s="7"/>
      <c r="DM37" s="8"/>
      <c r="DN37" s="69"/>
      <c r="DO37" s="8"/>
      <c r="DP37" s="8"/>
      <c r="DQ37" s="8"/>
      <c r="DR37" s="7"/>
      <c r="DS37" s="7"/>
      <c r="DT37" s="8"/>
      <c r="DU37" s="8"/>
      <c r="DV37" s="8"/>
      <c r="DW37" s="8"/>
      <c r="DX37" s="8"/>
      <c r="DY37" s="7"/>
      <c r="DZ37" s="7"/>
      <c r="EA37" s="8"/>
      <c r="EB37" s="8"/>
      <c r="EC37" s="148"/>
      <c r="ED37" s="28"/>
      <c r="EE37" s="8"/>
      <c r="EF37" s="7"/>
      <c r="EG37" s="7"/>
      <c r="EH37" s="8"/>
      <c r="EI37" s="8"/>
      <c r="EJ37" s="8"/>
      <c r="EK37" s="8"/>
      <c r="EL37" s="8"/>
      <c r="EM37" s="7"/>
      <c r="EN37" s="7"/>
      <c r="EO37" s="8"/>
      <c r="EP37" s="8"/>
      <c r="EQ37" s="8"/>
      <c r="ER37" s="69"/>
      <c r="ES37" s="8"/>
      <c r="ET37" s="7"/>
      <c r="EU37" s="7"/>
      <c r="EV37" s="8"/>
      <c r="EW37" s="8"/>
      <c r="EX37" s="8"/>
      <c r="EY37" s="8"/>
      <c r="EZ37" s="8"/>
      <c r="FA37" s="7"/>
      <c r="FB37" s="7"/>
      <c r="FC37" s="8"/>
      <c r="FD37" s="8"/>
      <c r="FE37" s="8"/>
      <c r="FF37" s="8"/>
      <c r="FG37" s="8"/>
      <c r="FH37" s="184"/>
      <c r="FI37" s="55"/>
      <c r="FJ37" s="8"/>
      <c r="FK37" s="8"/>
      <c r="FL37" s="8"/>
      <c r="FM37" s="8"/>
      <c r="FN37" s="8"/>
      <c r="FO37" s="7"/>
      <c r="FP37" s="7"/>
      <c r="FQ37" s="8"/>
      <c r="FR37" s="8"/>
      <c r="FS37" s="8"/>
      <c r="FT37" s="8"/>
      <c r="FU37" s="8"/>
      <c r="FV37" s="7"/>
      <c r="FW37" s="7"/>
      <c r="FX37" s="8"/>
      <c r="FY37" s="8"/>
      <c r="FZ37" s="69"/>
      <c r="GA37" s="69"/>
      <c r="GB37" s="69"/>
      <c r="GC37" s="7"/>
      <c r="GD37" s="7"/>
      <c r="GE37" s="8"/>
      <c r="GF37" s="8"/>
      <c r="GG37" s="8"/>
      <c r="GH37" s="8"/>
      <c r="GI37" s="8"/>
      <c r="GJ37" s="7"/>
      <c r="GK37" s="7"/>
      <c r="GL37" s="148"/>
      <c r="GM37" s="28"/>
      <c r="GN37" s="8"/>
      <c r="GO37" s="8"/>
      <c r="GP37" s="8"/>
      <c r="GQ37" s="7"/>
      <c r="GR37" s="7"/>
      <c r="GS37" s="8"/>
      <c r="GT37" s="8"/>
      <c r="GU37" s="8"/>
      <c r="GV37" s="8"/>
      <c r="GW37" s="8"/>
      <c r="GX37" s="7"/>
      <c r="GY37" s="7"/>
      <c r="GZ37" s="8"/>
      <c r="HA37" s="8"/>
      <c r="HB37" s="8"/>
      <c r="HC37" s="8"/>
      <c r="HD37" s="8"/>
      <c r="HE37" s="7"/>
      <c r="HF37" s="7"/>
      <c r="HG37" s="8"/>
      <c r="HH37" s="8"/>
      <c r="HI37" s="8"/>
      <c r="HJ37" s="8"/>
      <c r="HK37" s="8"/>
      <c r="HL37" s="7"/>
      <c r="HM37" s="7"/>
      <c r="HN37" s="8"/>
      <c r="HO37" s="8"/>
      <c r="HP37" s="8"/>
      <c r="HQ37" s="69"/>
      <c r="HR37" s="69"/>
      <c r="HS37" s="7"/>
      <c r="HT37" s="7"/>
      <c r="HU37" s="8"/>
      <c r="HV37" s="8"/>
      <c r="HW37" s="8"/>
      <c r="HX37" s="8"/>
      <c r="HY37" s="8"/>
      <c r="HZ37" s="7"/>
      <c r="IA37" s="7"/>
      <c r="IB37" s="8"/>
      <c r="IC37" s="8"/>
      <c r="ID37" s="8"/>
      <c r="IE37" s="8"/>
      <c r="IF37" s="8"/>
      <c r="IG37" s="7"/>
      <c r="IH37" s="7"/>
      <c r="II37" s="8"/>
      <c r="IJ37" s="8"/>
      <c r="IK37" s="8"/>
      <c r="IL37" s="8"/>
      <c r="IM37" s="8"/>
      <c r="IN37" s="7"/>
      <c r="IO37" s="7"/>
      <c r="IP37" s="8"/>
      <c r="IQ37" s="8"/>
      <c r="IR37" s="8"/>
      <c r="IS37" s="8"/>
      <c r="IT37" s="8"/>
      <c r="IU37" s="184"/>
      <c r="IV37" s="55"/>
      <c r="IW37" s="8"/>
      <c r="IX37" s="8"/>
      <c r="IY37" s="8"/>
      <c r="IZ37" s="8"/>
      <c r="JA37" s="8"/>
      <c r="JB37" s="7"/>
      <c r="JC37" s="7"/>
      <c r="JD37" s="8"/>
      <c r="JE37" s="8"/>
      <c r="JF37" s="8"/>
      <c r="JG37" s="8"/>
      <c r="JH37" s="8"/>
      <c r="JI37" s="7"/>
      <c r="JJ37" s="7"/>
      <c r="JK37" s="8"/>
      <c r="JL37" s="8"/>
      <c r="JM37" s="8"/>
      <c r="JN37" s="8"/>
      <c r="JO37" s="8"/>
      <c r="JP37" s="7"/>
      <c r="JQ37" s="7"/>
      <c r="JR37" s="8"/>
      <c r="JS37" s="8"/>
      <c r="JT37" s="69"/>
      <c r="JU37" s="8"/>
      <c r="JV37" s="8"/>
      <c r="JW37" s="7"/>
      <c r="JX37" s="7"/>
      <c r="JY37" s="8"/>
      <c r="JZ37" s="148"/>
      <c r="KA37" s="69"/>
      <c r="KB37" s="8"/>
      <c r="KC37" s="8"/>
      <c r="KD37" s="7"/>
      <c r="KE37" s="7"/>
      <c r="KF37" s="8"/>
      <c r="KG37" s="8"/>
      <c r="KH37" s="8"/>
      <c r="KI37" s="8"/>
      <c r="KJ37" s="8"/>
      <c r="KK37" s="7"/>
      <c r="KL37" s="7"/>
      <c r="KM37" s="8"/>
      <c r="KN37" s="8"/>
      <c r="KO37" s="8"/>
      <c r="KP37" s="8"/>
      <c r="KQ37" s="8"/>
      <c r="KR37" s="7"/>
      <c r="KS37" s="7"/>
      <c r="KT37" s="8"/>
      <c r="KU37" s="8"/>
      <c r="KV37" s="8"/>
      <c r="KW37" s="8"/>
      <c r="KX37" s="8"/>
      <c r="KY37" s="7"/>
      <c r="KZ37" s="7"/>
      <c r="LA37" s="8"/>
      <c r="LB37" s="8"/>
      <c r="LC37" s="8"/>
      <c r="LD37" s="8"/>
      <c r="LE37" s="148"/>
      <c r="LF37" s="7"/>
      <c r="LG37" s="7"/>
      <c r="LH37" s="8"/>
      <c r="LI37" s="8"/>
      <c r="LJ37" s="8"/>
      <c r="LK37" s="8"/>
      <c r="LL37" s="8"/>
      <c r="LM37" s="7"/>
      <c r="LN37" s="7"/>
      <c r="LO37" s="8"/>
      <c r="LP37" s="8"/>
      <c r="LQ37" s="8"/>
      <c r="LR37" s="8"/>
      <c r="LS37" s="8"/>
      <c r="LT37" s="7"/>
      <c r="LU37" s="7"/>
      <c r="LV37" s="8"/>
      <c r="LW37" s="8"/>
      <c r="LX37" s="8"/>
      <c r="LY37" s="8"/>
      <c r="LZ37" s="8"/>
      <c r="MA37" s="7"/>
      <c r="MB37" s="7"/>
      <c r="MC37" s="8"/>
      <c r="MD37" s="8"/>
      <c r="ME37" s="8"/>
      <c r="MF37" s="8"/>
      <c r="MG37" s="8"/>
      <c r="MH37" s="55"/>
      <c r="MI37" s="7"/>
      <c r="MJ37" s="8"/>
      <c r="MK37" s="8"/>
      <c r="ML37" s="8"/>
      <c r="MM37" s="8"/>
      <c r="MN37" s="8"/>
      <c r="MO37" s="7"/>
      <c r="MP37" s="7"/>
      <c r="MQ37" s="8"/>
      <c r="MR37" s="8"/>
      <c r="MS37" s="8"/>
      <c r="MT37" s="8"/>
      <c r="MU37" s="8"/>
      <c r="MV37" s="7"/>
      <c r="MW37" s="7"/>
      <c r="MX37" s="8"/>
      <c r="MY37" s="8"/>
      <c r="MZ37" s="8"/>
      <c r="NA37" s="8"/>
      <c r="NB37" s="8"/>
      <c r="NC37" s="7"/>
      <c r="ND37" s="7"/>
      <c r="NE37" s="8"/>
      <c r="NF37" s="8"/>
      <c r="NG37" s="8"/>
      <c r="NH37" s="8"/>
      <c r="NI37" s="8"/>
      <c r="NJ37" s="7"/>
      <c r="NK37" s="7"/>
      <c r="NL37" s="148"/>
    </row>
    <row r="38" spans="2:376" hidden="1">
      <c r="B38" s="29" t="s">
        <v>120</v>
      </c>
      <c r="C38" s="29" t="s">
        <v>118</v>
      </c>
      <c r="D38" s="29" t="s">
        <v>49</v>
      </c>
      <c r="E38" s="37">
        <v>0</v>
      </c>
      <c r="F38" s="29">
        <v>23</v>
      </c>
      <c r="G38" s="29">
        <v>0</v>
      </c>
      <c r="H38" s="29">
        <f t="shared" si="14"/>
        <v>23</v>
      </c>
      <c r="I38" s="30">
        <f t="shared" si="15"/>
        <v>0</v>
      </c>
      <c r="J38" s="30">
        <f t="shared" si="16"/>
        <v>0</v>
      </c>
      <c r="K38" s="71">
        <f t="shared" si="17"/>
        <v>0</v>
      </c>
      <c r="L38" s="8"/>
      <c r="M38" s="8"/>
      <c r="N38" s="8"/>
      <c r="O38" s="8"/>
      <c r="P38" s="8"/>
      <c r="Q38" s="7"/>
      <c r="R38" s="7"/>
      <c r="S38" s="8"/>
      <c r="T38" s="8"/>
      <c r="U38" s="8"/>
      <c r="V38" s="8"/>
      <c r="W38" s="8"/>
      <c r="X38" s="7"/>
      <c r="Y38" s="7"/>
      <c r="Z38" s="8"/>
      <c r="AA38" s="8"/>
      <c r="AB38" s="8"/>
      <c r="AC38" s="8"/>
      <c r="AD38" s="8"/>
      <c r="AE38" s="7"/>
      <c r="AF38" s="7"/>
      <c r="AG38" s="8"/>
      <c r="AH38" s="8"/>
      <c r="AI38" s="8"/>
      <c r="AJ38" s="8"/>
      <c r="AK38" s="8"/>
      <c r="AL38" s="7"/>
      <c r="AM38" s="7"/>
      <c r="AN38" s="8"/>
      <c r="AO38" s="148"/>
      <c r="AP38" s="69"/>
      <c r="AQ38" s="8"/>
      <c r="AR38" s="8"/>
      <c r="AS38" s="7"/>
      <c r="AT38" s="7"/>
      <c r="AU38" s="8"/>
      <c r="AV38" s="8"/>
      <c r="AW38" s="8"/>
      <c r="AX38" s="8"/>
      <c r="AY38" s="8"/>
      <c r="AZ38" s="7"/>
      <c r="BA38" s="7"/>
      <c r="BB38" s="8"/>
      <c r="BC38" s="8"/>
      <c r="BD38" s="8"/>
      <c r="BE38" s="8"/>
      <c r="BF38" s="8"/>
      <c r="BG38" s="7"/>
      <c r="BH38" s="7"/>
      <c r="BI38" s="8"/>
      <c r="BJ38" s="69"/>
      <c r="BK38" s="8"/>
      <c r="BL38" s="8"/>
      <c r="BM38" s="8"/>
      <c r="BN38" s="7"/>
      <c r="BO38" s="7"/>
      <c r="BP38" s="8"/>
      <c r="BQ38" s="8"/>
      <c r="BR38" s="8"/>
      <c r="BS38" s="8"/>
      <c r="BT38" s="148"/>
      <c r="BU38" s="7"/>
      <c r="BV38" s="7"/>
      <c r="BW38" s="8"/>
      <c r="BX38" s="8"/>
      <c r="BY38" s="8"/>
      <c r="BZ38" s="8"/>
      <c r="CA38" s="8"/>
      <c r="CB38" s="7"/>
      <c r="CC38" s="7"/>
      <c r="CD38" s="8"/>
      <c r="CE38" s="8"/>
      <c r="CF38" s="8"/>
      <c r="CG38" s="8"/>
      <c r="CH38" s="8"/>
      <c r="CI38" s="7"/>
      <c r="CJ38" s="7"/>
      <c r="CK38" s="8"/>
      <c r="CL38" s="8"/>
      <c r="CM38" s="8"/>
      <c r="CN38" s="69"/>
      <c r="CO38" s="8"/>
      <c r="CP38" s="7"/>
      <c r="CQ38" s="7"/>
      <c r="CR38" s="8"/>
      <c r="CS38" s="8"/>
      <c r="CT38" s="8"/>
      <c r="CU38" s="8"/>
      <c r="CV38" s="8"/>
      <c r="CW38" s="7"/>
      <c r="CX38" s="7"/>
      <c r="CY38" s="28"/>
      <c r="CZ38" s="8"/>
      <c r="DA38" s="8"/>
      <c r="DB38" s="8"/>
      <c r="DC38" s="8"/>
      <c r="DD38" s="7"/>
      <c r="DE38" s="7"/>
      <c r="DF38" s="8"/>
      <c r="DG38" s="8"/>
      <c r="DH38" s="8"/>
      <c r="DI38" s="8"/>
      <c r="DJ38" s="8"/>
      <c r="DK38" s="7"/>
      <c r="DL38" s="7"/>
      <c r="DM38" s="8"/>
      <c r="DN38" s="69"/>
      <c r="DO38" s="8"/>
      <c r="DP38" s="8"/>
      <c r="DQ38" s="8"/>
      <c r="DR38" s="7"/>
      <c r="DS38" s="7"/>
      <c r="DT38" s="8"/>
      <c r="DU38" s="8"/>
      <c r="DV38" s="8"/>
      <c r="DW38" s="8"/>
      <c r="DX38" s="8"/>
      <c r="DY38" s="7"/>
      <c r="DZ38" s="7"/>
      <c r="EA38" s="8"/>
      <c r="EB38" s="8"/>
      <c r="EC38" s="148"/>
      <c r="ED38" s="28"/>
      <c r="EE38" s="8"/>
      <c r="EF38" s="7"/>
      <c r="EG38" s="7"/>
      <c r="EH38" s="8"/>
      <c r="EI38" s="8"/>
      <c r="EJ38" s="8"/>
      <c r="EK38" s="8"/>
      <c r="EL38" s="8"/>
      <c r="EM38" s="7"/>
      <c r="EN38" s="7"/>
      <c r="EO38" s="8"/>
      <c r="EP38" s="8"/>
      <c r="EQ38" s="8"/>
      <c r="ER38" s="69"/>
      <c r="ES38" s="8"/>
      <c r="ET38" s="7"/>
      <c r="EU38" s="7"/>
      <c r="EV38" s="8"/>
      <c r="EW38" s="8"/>
      <c r="EX38" s="8"/>
      <c r="EY38" s="8"/>
      <c r="EZ38" s="8"/>
      <c r="FA38" s="7"/>
      <c r="FB38" s="7"/>
      <c r="FC38" s="8"/>
      <c r="FD38" s="8"/>
      <c r="FE38" s="8"/>
      <c r="FF38" s="8"/>
      <c r="FG38" s="8"/>
      <c r="FH38" s="184"/>
      <c r="FI38" s="55"/>
      <c r="FJ38" s="8"/>
      <c r="FK38" s="8"/>
      <c r="FL38" s="8"/>
      <c r="FM38" s="8"/>
      <c r="FN38" s="8"/>
      <c r="FO38" s="7"/>
      <c r="FP38" s="7"/>
      <c r="FQ38" s="8"/>
      <c r="FR38" s="8"/>
      <c r="FS38" s="8"/>
      <c r="FT38" s="8"/>
      <c r="FU38" s="8"/>
      <c r="FV38" s="7"/>
      <c r="FW38" s="7"/>
      <c r="FX38" s="8"/>
      <c r="FY38" s="8"/>
      <c r="FZ38" s="69"/>
      <c r="GA38" s="69"/>
      <c r="GB38" s="69"/>
      <c r="GC38" s="7"/>
      <c r="GD38" s="7"/>
      <c r="GE38" s="8"/>
      <c r="GF38" s="8"/>
      <c r="GG38" s="8"/>
      <c r="GH38" s="8"/>
      <c r="GI38" s="8"/>
      <c r="GJ38" s="7"/>
      <c r="GK38" s="7"/>
      <c r="GL38" s="148"/>
      <c r="GM38" s="28"/>
      <c r="GN38" s="8"/>
      <c r="GO38" s="8"/>
      <c r="GP38" s="8"/>
      <c r="GQ38" s="7"/>
      <c r="GR38" s="7"/>
      <c r="GS38" s="8"/>
      <c r="GT38" s="8"/>
      <c r="GU38" s="8"/>
      <c r="GV38" s="8"/>
      <c r="GW38" s="8"/>
      <c r="GX38" s="7"/>
      <c r="GY38" s="7"/>
      <c r="GZ38" s="8"/>
      <c r="HA38" s="8"/>
      <c r="HB38" s="8"/>
      <c r="HC38" s="8"/>
      <c r="HD38" s="8"/>
      <c r="HE38" s="7"/>
      <c r="HF38" s="7"/>
      <c r="HG38" s="8"/>
      <c r="HH38" s="8"/>
      <c r="HI38" s="8"/>
      <c r="HJ38" s="8"/>
      <c r="HK38" s="8"/>
      <c r="HL38" s="7"/>
      <c r="HM38" s="7"/>
      <c r="HN38" s="8"/>
      <c r="HO38" s="8"/>
      <c r="HP38" s="8"/>
      <c r="HQ38" s="69"/>
      <c r="HR38" s="69"/>
      <c r="HS38" s="7"/>
      <c r="HT38" s="7"/>
      <c r="HU38" s="8"/>
      <c r="HV38" s="8"/>
      <c r="HW38" s="8"/>
      <c r="HX38" s="8"/>
      <c r="HY38" s="8"/>
      <c r="HZ38" s="7"/>
      <c r="IA38" s="7"/>
      <c r="IB38" s="8"/>
      <c r="IC38" s="8"/>
      <c r="ID38" s="8"/>
      <c r="IE38" s="8"/>
      <c r="IF38" s="8"/>
      <c r="IG38" s="7"/>
      <c r="IH38" s="7"/>
      <c r="II38" s="8"/>
      <c r="IJ38" s="8"/>
      <c r="IK38" s="8"/>
      <c r="IL38" s="8"/>
      <c r="IM38" s="8"/>
      <c r="IN38" s="7"/>
      <c r="IO38" s="7"/>
      <c r="IP38" s="8"/>
      <c r="IQ38" s="8"/>
      <c r="IR38" s="8"/>
      <c r="IS38" s="8"/>
      <c r="IT38" s="8"/>
      <c r="IU38" s="184"/>
      <c r="IV38" s="55"/>
      <c r="IW38" s="8"/>
      <c r="IX38" s="8"/>
      <c r="IY38" s="8"/>
      <c r="IZ38" s="8"/>
      <c r="JA38" s="8"/>
      <c r="JB38" s="7"/>
      <c r="JC38" s="7"/>
      <c r="JD38" s="8"/>
      <c r="JE38" s="8"/>
      <c r="JF38" s="8"/>
      <c r="JG38" s="8"/>
      <c r="JH38" s="8"/>
      <c r="JI38" s="7"/>
      <c r="JJ38" s="7"/>
      <c r="JK38" s="8"/>
      <c r="JL38" s="8"/>
      <c r="JM38" s="8"/>
      <c r="JN38" s="8"/>
      <c r="JO38" s="8"/>
      <c r="JP38" s="7"/>
      <c r="JQ38" s="7"/>
      <c r="JR38" s="8"/>
      <c r="JS38" s="8"/>
      <c r="JT38" s="69"/>
      <c r="JU38" s="8"/>
      <c r="JV38" s="8"/>
      <c r="JW38" s="7"/>
      <c r="JX38" s="7"/>
      <c r="JY38" s="8"/>
      <c r="JZ38" s="148"/>
      <c r="KA38" s="69"/>
      <c r="KB38" s="8"/>
      <c r="KC38" s="8"/>
      <c r="KD38" s="7"/>
      <c r="KE38" s="7"/>
      <c r="KF38" s="8"/>
      <c r="KG38" s="8"/>
      <c r="KH38" s="8"/>
      <c r="KI38" s="8"/>
      <c r="KJ38" s="8"/>
      <c r="KK38" s="7"/>
      <c r="KL38" s="7"/>
      <c r="KM38" s="8"/>
      <c r="KN38" s="8"/>
      <c r="KO38" s="8"/>
      <c r="KP38" s="8"/>
      <c r="KQ38" s="8"/>
      <c r="KR38" s="7"/>
      <c r="KS38" s="7"/>
      <c r="KT38" s="8"/>
      <c r="KU38" s="8"/>
      <c r="KV38" s="8"/>
      <c r="KW38" s="8"/>
      <c r="KX38" s="8"/>
      <c r="KY38" s="7"/>
      <c r="KZ38" s="7"/>
      <c r="LA38" s="8"/>
      <c r="LB38" s="8"/>
      <c r="LC38" s="8"/>
      <c r="LD38" s="8"/>
      <c r="LE38" s="148"/>
      <c r="LF38" s="7"/>
      <c r="LG38" s="7"/>
      <c r="LH38" s="8"/>
      <c r="LI38" s="8"/>
      <c r="LJ38" s="8"/>
      <c r="LK38" s="8"/>
      <c r="LL38" s="8"/>
      <c r="LM38" s="7"/>
      <c r="LN38" s="7"/>
      <c r="LO38" s="8"/>
      <c r="LP38" s="8"/>
      <c r="LQ38" s="8"/>
      <c r="LR38" s="8"/>
      <c r="LS38" s="8"/>
      <c r="LT38" s="7"/>
      <c r="LU38" s="7"/>
      <c r="LV38" s="8"/>
      <c r="LW38" s="8"/>
      <c r="LX38" s="8"/>
      <c r="LY38" s="8"/>
      <c r="LZ38" s="8"/>
      <c r="MA38" s="7"/>
      <c r="MB38" s="7"/>
      <c r="MC38" s="8"/>
      <c r="MD38" s="8"/>
      <c r="ME38" s="8"/>
      <c r="MF38" s="8"/>
      <c r="MG38" s="8"/>
      <c r="MH38" s="55"/>
      <c r="MI38" s="7"/>
      <c r="MJ38" s="8"/>
      <c r="MK38" s="8"/>
      <c r="ML38" s="8"/>
      <c r="MM38" s="8"/>
      <c r="MN38" s="8"/>
      <c r="MO38" s="7"/>
      <c r="MP38" s="7"/>
      <c r="MQ38" s="8"/>
      <c r="MR38" s="8"/>
      <c r="MS38" s="8"/>
      <c r="MT38" s="8"/>
      <c r="MU38" s="8"/>
      <c r="MV38" s="7"/>
      <c r="MW38" s="7"/>
      <c r="MX38" s="8"/>
      <c r="MY38" s="8"/>
      <c r="MZ38" s="8"/>
      <c r="NA38" s="8"/>
      <c r="NB38" s="8"/>
      <c r="NC38" s="7"/>
      <c r="ND38" s="7"/>
      <c r="NE38" s="8"/>
      <c r="NF38" s="8"/>
      <c r="NG38" s="8"/>
      <c r="NH38" s="8"/>
      <c r="NI38" s="8"/>
      <c r="NJ38" s="7"/>
      <c r="NK38" s="7"/>
      <c r="NL38" s="148"/>
    </row>
  </sheetData>
  <autoFilter ref="B9:D38" xr:uid="{00000000-0009-0000-0000-000003000000}">
    <filterColumn colId="0">
      <colorFilter dxfId="56" cellColor="0"/>
    </filterColumn>
    <filterColumn colId="1">
      <filters>
        <filter val="Temuco"/>
      </filters>
    </filterColumn>
  </autoFilter>
  <mergeCells count="12">
    <mergeCell ref="MH7:NL7"/>
    <mergeCell ref="L7:AO7"/>
    <mergeCell ref="AP7:BT7"/>
    <mergeCell ref="BU7:CX7"/>
    <mergeCell ref="CY7:EC7"/>
    <mergeCell ref="ED7:FH7"/>
    <mergeCell ref="FI7:GL7"/>
    <mergeCell ref="GM7:HQ7"/>
    <mergeCell ref="HR7:IU7"/>
    <mergeCell ref="IV7:JZ7"/>
    <mergeCell ref="KA7:LE7"/>
    <mergeCell ref="LF7:MG7"/>
  </mergeCells>
  <pageMargins left="0.70000000000000007" right="0.70000000000000007" top="0.75" bottom="0.75" header="0.30000000000000004" footer="0.30000000000000004"/>
  <pageSetup paperSize="9" fitToWidth="0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2084-D681-40F9-A2FA-A4CBBF1A96DF}">
  <sheetPr filterMode="1"/>
  <dimension ref="A2:OB38"/>
  <sheetViews>
    <sheetView tabSelected="1" zoomScale="90" zoomScaleNormal="90" workbookViewId="0">
      <pane xSplit="4" ySplit="9" topLeftCell="JA11" activePane="bottomRight" state="frozen"/>
      <selection pane="bottomRight" activeCell="KE30" sqref="KE30"/>
      <selection pane="bottomLeft" activeCell="A9" sqref="A9"/>
      <selection pane="topRight" activeCell="E1" sqref="E1"/>
    </sheetView>
  </sheetViews>
  <sheetFormatPr defaultColWidth="5.42578125" defaultRowHeight="15" outlineLevelCol="1"/>
  <cols>
    <col min="1" max="1" width="5" style="1" customWidth="1"/>
    <col min="2" max="2" width="19.5703125" style="1" bestFit="1" customWidth="1"/>
    <col min="3" max="3" width="17.28515625" style="1" bestFit="1" customWidth="1"/>
    <col min="4" max="4" width="20.28515625" style="1" customWidth="1"/>
    <col min="5" max="6" width="12.28515625" style="1" bestFit="1" customWidth="1"/>
    <col min="7" max="7" width="12.7109375" style="1" bestFit="1" customWidth="1"/>
    <col min="8" max="8" width="17.7109375" style="1" bestFit="1" customWidth="1"/>
    <col min="9" max="9" width="15.5703125" style="1" bestFit="1" customWidth="1"/>
    <col min="10" max="10" width="7.7109375" style="1" bestFit="1" customWidth="1"/>
    <col min="11" max="11" width="7.42578125" style="1" bestFit="1" customWidth="1"/>
    <col min="12" max="12" width="3.7109375" style="2" customWidth="1"/>
    <col min="13" max="40" width="3.7109375" style="2" customWidth="1" outlineLevel="1"/>
    <col min="41" max="42" width="3.7109375" style="2" customWidth="1"/>
    <col min="43" max="71" width="3.7109375" style="2" customWidth="1" outlineLevel="1"/>
    <col min="72" max="73" width="3.7109375" style="2" customWidth="1"/>
    <col min="74" max="101" width="3.7109375" style="2" customWidth="1" outlineLevel="1"/>
    <col min="102" max="103" width="3.7109375" style="2" customWidth="1"/>
    <col min="104" max="132" width="3.7109375" style="2" customWidth="1" outlineLevel="1"/>
    <col min="133" max="134" width="3.7109375" style="2" customWidth="1"/>
    <col min="135" max="163" width="3.7109375" style="2" customWidth="1" outlineLevel="1"/>
    <col min="164" max="165" width="3.7109375" style="2" customWidth="1"/>
    <col min="166" max="193" width="3.7109375" style="2" customWidth="1" outlineLevel="1"/>
    <col min="194" max="195" width="3.7109375" style="2" customWidth="1"/>
    <col min="196" max="224" width="3.7109375" style="2" customWidth="1" outlineLevel="1"/>
    <col min="225" max="226" width="3.7109375" style="2" customWidth="1"/>
    <col min="227" max="254" width="3.7109375" style="2" hidden="1" customWidth="1" outlineLevel="1"/>
    <col min="255" max="255" width="3.7109375" style="2" customWidth="1" collapsed="1"/>
    <col min="256" max="256" width="3.7109375" style="2" customWidth="1"/>
    <col min="257" max="285" width="3.7109375" style="2" customWidth="1" outlineLevel="1"/>
    <col min="286" max="287" width="3.7109375" style="2" customWidth="1"/>
    <col min="288" max="316" width="3.7109375" style="2" customWidth="1" outlineLevel="1"/>
    <col min="317" max="318" width="3.7109375" style="2" customWidth="1"/>
    <col min="319" max="344" width="3.7109375" style="2" customWidth="1" outlineLevel="1"/>
    <col min="345" max="346" width="3.7109375" style="2" customWidth="1"/>
    <col min="347" max="375" width="3.7109375" style="2" customWidth="1" outlineLevel="1"/>
    <col min="376" max="376" width="3.7109375" style="2" customWidth="1"/>
    <col min="377" max="16384" width="5.42578125" style="2"/>
  </cols>
  <sheetData>
    <row r="2" spans="1:392">
      <c r="B2" s="65" t="s">
        <v>0</v>
      </c>
      <c r="C2" s="66" t="s">
        <v>1</v>
      </c>
      <c r="D2" s="2"/>
      <c r="E2" s="2"/>
      <c r="F2" s="2"/>
      <c r="G2" s="2"/>
      <c r="I2" s="2"/>
      <c r="J2" s="2"/>
      <c r="K2" s="2"/>
    </row>
    <row r="3" spans="1:392">
      <c r="B3" s="65" t="s">
        <v>2</v>
      </c>
      <c r="C3" s="66" t="s">
        <v>3</v>
      </c>
      <c r="D3" s="2"/>
      <c r="E3" s="2"/>
      <c r="F3" s="2"/>
      <c r="G3" s="2"/>
      <c r="I3" s="2"/>
      <c r="J3" s="2"/>
      <c r="K3" s="2"/>
      <c r="DB3" s="290"/>
    </row>
    <row r="4" spans="1:392">
      <c r="B4" s="65" t="s">
        <v>4</v>
      </c>
      <c r="C4" s="67" t="s">
        <v>5</v>
      </c>
      <c r="D4" s="2"/>
      <c r="E4" s="2"/>
      <c r="F4" s="2"/>
      <c r="G4" s="2"/>
      <c r="I4" s="2"/>
      <c r="J4" s="2"/>
      <c r="K4" s="2"/>
    </row>
    <row r="5" spans="1:392">
      <c r="B5" s="65" t="s">
        <v>6</v>
      </c>
      <c r="C5" s="68" t="s">
        <v>7</v>
      </c>
      <c r="D5" s="2"/>
      <c r="E5" s="2"/>
      <c r="F5" s="2"/>
      <c r="G5" s="2"/>
      <c r="I5" s="2"/>
      <c r="J5" s="2"/>
      <c r="K5" s="2"/>
    </row>
    <row r="6" spans="1:392" ht="15.75" thickBot="1">
      <c r="B6" s="65" t="s">
        <v>85</v>
      </c>
      <c r="C6" s="69"/>
      <c r="D6" s="2"/>
      <c r="E6" s="2"/>
      <c r="F6" s="2"/>
      <c r="G6" s="2"/>
      <c r="I6" s="2"/>
      <c r="J6" s="2"/>
      <c r="K6" s="2"/>
    </row>
    <row r="7" spans="1:392" ht="16.5" customHeight="1" thickBot="1">
      <c r="L7" s="355" t="s">
        <v>8</v>
      </c>
      <c r="M7" s="356"/>
      <c r="N7" s="356"/>
      <c r="O7" s="356"/>
      <c r="P7" s="356"/>
      <c r="Q7" s="356"/>
      <c r="R7" s="356"/>
      <c r="S7" s="356"/>
      <c r="T7" s="356"/>
      <c r="U7" s="356"/>
      <c r="V7" s="356"/>
      <c r="W7" s="356"/>
      <c r="X7" s="356"/>
      <c r="Y7" s="356"/>
      <c r="Z7" s="356"/>
      <c r="AA7" s="356"/>
      <c r="AB7" s="356"/>
      <c r="AC7" s="356"/>
      <c r="AD7" s="356"/>
      <c r="AE7" s="356"/>
      <c r="AF7" s="356"/>
      <c r="AG7" s="356"/>
      <c r="AH7" s="356"/>
      <c r="AI7" s="356"/>
      <c r="AJ7" s="356"/>
      <c r="AK7" s="356"/>
      <c r="AL7" s="356"/>
      <c r="AM7" s="356"/>
      <c r="AN7" s="356"/>
      <c r="AO7" s="357"/>
      <c r="AP7" s="355" t="s">
        <v>9</v>
      </c>
      <c r="AQ7" s="356"/>
      <c r="AR7" s="356"/>
      <c r="AS7" s="356"/>
      <c r="AT7" s="356"/>
      <c r="AU7" s="356"/>
      <c r="AV7" s="356"/>
      <c r="AW7" s="356"/>
      <c r="AX7" s="356"/>
      <c r="AY7" s="356"/>
      <c r="AZ7" s="356"/>
      <c r="BA7" s="356"/>
      <c r="BB7" s="356"/>
      <c r="BC7" s="356"/>
      <c r="BD7" s="356"/>
      <c r="BE7" s="356"/>
      <c r="BF7" s="356"/>
      <c r="BG7" s="356"/>
      <c r="BH7" s="356"/>
      <c r="BI7" s="356"/>
      <c r="BJ7" s="356"/>
      <c r="BK7" s="356"/>
      <c r="BL7" s="356"/>
      <c r="BM7" s="356"/>
      <c r="BN7" s="356"/>
      <c r="BO7" s="356"/>
      <c r="BP7" s="356"/>
      <c r="BQ7" s="356"/>
      <c r="BR7" s="356"/>
      <c r="BS7" s="356"/>
      <c r="BT7" s="357"/>
      <c r="BU7" s="355" t="s">
        <v>10</v>
      </c>
      <c r="BV7" s="356"/>
      <c r="BW7" s="356"/>
      <c r="BX7" s="356"/>
      <c r="BY7" s="356"/>
      <c r="BZ7" s="356"/>
      <c r="CA7" s="356"/>
      <c r="CB7" s="356"/>
      <c r="CC7" s="356"/>
      <c r="CD7" s="356"/>
      <c r="CE7" s="356"/>
      <c r="CF7" s="356"/>
      <c r="CG7" s="356"/>
      <c r="CH7" s="356"/>
      <c r="CI7" s="356"/>
      <c r="CJ7" s="356"/>
      <c r="CK7" s="356"/>
      <c r="CL7" s="356"/>
      <c r="CM7" s="356"/>
      <c r="CN7" s="356"/>
      <c r="CO7" s="356"/>
      <c r="CP7" s="356"/>
      <c r="CQ7" s="356"/>
      <c r="CR7" s="356"/>
      <c r="CS7" s="356"/>
      <c r="CT7" s="356"/>
      <c r="CU7" s="356"/>
      <c r="CV7" s="356"/>
      <c r="CW7" s="356"/>
      <c r="CX7" s="357"/>
      <c r="CY7" s="355" t="s">
        <v>11</v>
      </c>
      <c r="CZ7" s="356"/>
      <c r="DA7" s="356"/>
      <c r="DB7" s="356"/>
      <c r="DC7" s="356"/>
      <c r="DD7" s="356"/>
      <c r="DE7" s="356"/>
      <c r="DF7" s="356"/>
      <c r="DG7" s="356"/>
      <c r="DH7" s="356"/>
      <c r="DI7" s="356"/>
      <c r="DJ7" s="356"/>
      <c r="DK7" s="356"/>
      <c r="DL7" s="356"/>
      <c r="DM7" s="356"/>
      <c r="DN7" s="356"/>
      <c r="DO7" s="356"/>
      <c r="DP7" s="356"/>
      <c r="DQ7" s="356"/>
      <c r="DR7" s="356"/>
      <c r="DS7" s="356"/>
      <c r="DT7" s="356"/>
      <c r="DU7" s="356"/>
      <c r="DV7" s="356"/>
      <c r="DW7" s="356"/>
      <c r="DX7" s="356"/>
      <c r="DY7" s="356"/>
      <c r="DZ7" s="356"/>
      <c r="EA7" s="356"/>
      <c r="EB7" s="356"/>
      <c r="EC7" s="357"/>
      <c r="ED7" s="355" t="s">
        <v>12</v>
      </c>
      <c r="EE7" s="356"/>
      <c r="EF7" s="356"/>
      <c r="EG7" s="356"/>
      <c r="EH7" s="356"/>
      <c r="EI7" s="356"/>
      <c r="EJ7" s="356"/>
      <c r="EK7" s="356"/>
      <c r="EL7" s="356"/>
      <c r="EM7" s="356"/>
      <c r="EN7" s="356"/>
      <c r="EO7" s="356"/>
      <c r="EP7" s="356"/>
      <c r="EQ7" s="356"/>
      <c r="ER7" s="356"/>
      <c r="ES7" s="356"/>
      <c r="ET7" s="356"/>
      <c r="EU7" s="356"/>
      <c r="EV7" s="356"/>
      <c r="EW7" s="356"/>
      <c r="EX7" s="356"/>
      <c r="EY7" s="356"/>
      <c r="EZ7" s="356"/>
      <c r="FA7" s="356"/>
      <c r="FB7" s="356"/>
      <c r="FC7" s="356"/>
      <c r="FD7" s="356"/>
      <c r="FE7" s="356"/>
      <c r="FF7" s="356"/>
      <c r="FG7" s="356"/>
      <c r="FH7" s="357"/>
      <c r="FI7" s="355" t="s">
        <v>13</v>
      </c>
      <c r="FJ7" s="356"/>
      <c r="FK7" s="356"/>
      <c r="FL7" s="356"/>
      <c r="FM7" s="356"/>
      <c r="FN7" s="356"/>
      <c r="FO7" s="356"/>
      <c r="FP7" s="356"/>
      <c r="FQ7" s="356"/>
      <c r="FR7" s="356"/>
      <c r="FS7" s="356"/>
      <c r="FT7" s="356"/>
      <c r="FU7" s="356"/>
      <c r="FV7" s="356"/>
      <c r="FW7" s="356"/>
      <c r="FX7" s="356"/>
      <c r="FY7" s="356"/>
      <c r="FZ7" s="356"/>
      <c r="GA7" s="356"/>
      <c r="GB7" s="356"/>
      <c r="GC7" s="356"/>
      <c r="GD7" s="356"/>
      <c r="GE7" s="356"/>
      <c r="GF7" s="356"/>
      <c r="GG7" s="356"/>
      <c r="GH7" s="356"/>
      <c r="GI7" s="356"/>
      <c r="GJ7" s="356"/>
      <c r="GK7" s="356"/>
      <c r="GL7" s="357"/>
      <c r="GM7" s="355" t="s">
        <v>14</v>
      </c>
      <c r="GN7" s="356"/>
      <c r="GO7" s="356"/>
      <c r="GP7" s="356"/>
      <c r="GQ7" s="356"/>
      <c r="GR7" s="356"/>
      <c r="GS7" s="356"/>
      <c r="GT7" s="356"/>
      <c r="GU7" s="356"/>
      <c r="GV7" s="356"/>
      <c r="GW7" s="356"/>
      <c r="GX7" s="356"/>
      <c r="GY7" s="356"/>
      <c r="GZ7" s="356"/>
      <c r="HA7" s="356"/>
      <c r="HB7" s="356"/>
      <c r="HC7" s="356"/>
      <c r="HD7" s="356"/>
      <c r="HE7" s="356"/>
      <c r="HF7" s="356"/>
      <c r="HG7" s="356"/>
      <c r="HH7" s="356"/>
      <c r="HI7" s="356"/>
      <c r="HJ7" s="356"/>
      <c r="HK7" s="356"/>
      <c r="HL7" s="356"/>
      <c r="HM7" s="356"/>
      <c r="HN7" s="356"/>
      <c r="HO7" s="356"/>
      <c r="HP7" s="356"/>
      <c r="HQ7" s="357"/>
      <c r="HR7" s="355" t="s">
        <v>15</v>
      </c>
      <c r="HS7" s="356"/>
      <c r="HT7" s="356"/>
      <c r="HU7" s="356"/>
      <c r="HV7" s="356"/>
      <c r="HW7" s="356"/>
      <c r="HX7" s="356"/>
      <c r="HY7" s="356"/>
      <c r="HZ7" s="356"/>
      <c r="IA7" s="356"/>
      <c r="IB7" s="356"/>
      <c r="IC7" s="356"/>
      <c r="ID7" s="356"/>
      <c r="IE7" s="356"/>
      <c r="IF7" s="356"/>
      <c r="IG7" s="356"/>
      <c r="IH7" s="356"/>
      <c r="II7" s="356"/>
      <c r="IJ7" s="356"/>
      <c r="IK7" s="356"/>
      <c r="IL7" s="356"/>
      <c r="IM7" s="356"/>
      <c r="IN7" s="356"/>
      <c r="IO7" s="356"/>
      <c r="IP7" s="356"/>
      <c r="IQ7" s="356"/>
      <c r="IR7" s="356"/>
      <c r="IS7" s="356"/>
      <c r="IT7" s="356"/>
      <c r="IU7" s="357"/>
      <c r="IV7" s="355" t="s">
        <v>16</v>
      </c>
      <c r="IW7" s="356"/>
      <c r="IX7" s="356"/>
      <c r="IY7" s="356"/>
      <c r="IZ7" s="356"/>
      <c r="JA7" s="356"/>
      <c r="JB7" s="356"/>
      <c r="JC7" s="356"/>
      <c r="JD7" s="356"/>
      <c r="JE7" s="356"/>
      <c r="JF7" s="356"/>
      <c r="JG7" s="356"/>
      <c r="JH7" s="356"/>
      <c r="JI7" s="356"/>
      <c r="JJ7" s="356"/>
      <c r="JK7" s="356"/>
      <c r="JL7" s="356"/>
      <c r="JM7" s="356"/>
      <c r="JN7" s="356"/>
      <c r="JO7" s="356"/>
      <c r="JP7" s="356"/>
      <c r="JQ7" s="356"/>
      <c r="JR7" s="356"/>
      <c r="JS7" s="356"/>
      <c r="JT7" s="356"/>
      <c r="JU7" s="356"/>
      <c r="JV7" s="356"/>
      <c r="JW7" s="356"/>
      <c r="JX7" s="356"/>
      <c r="JY7" s="356"/>
      <c r="JZ7" s="357"/>
      <c r="KA7" s="355" t="s">
        <v>17</v>
      </c>
      <c r="KB7" s="356"/>
      <c r="KC7" s="356"/>
      <c r="KD7" s="356"/>
      <c r="KE7" s="356"/>
      <c r="KF7" s="356"/>
      <c r="KG7" s="356"/>
      <c r="KH7" s="356"/>
      <c r="KI7" s="356"/>
      <c r="KJ7" s="356"/>
      <c r="KK7" s="356"/>
      <c r="KL7" s="356"/>
      <c r="KM7" s="356"/>
      <c r="KN7" s="356"/>
      <c r="KO7" s="356"/>
      <c r="KP7" s="356"/>
      <c r="KQ7" s="356"/>
      <c r="KR7" s="356"/>
      <c r="KS7" s="356"/>
      <c r="KT7" s="356"/>
      <c r="KU7" s="356"/>
      <c r="KV7" s="356"/>
      <c r="KW7" s="356"/>
      <c r="KX7" s="356"/>
      <c r="KY7" s="356"/>
      <c r="KZ7" s="356"/>
      <c r="LA7" s="356"/>
      <c r="LB7" s="356"/>
      <c r="LC7" s="356"/>
      <c r="LD7" s="356"/>
      <c r="LE7" s="357"/>
      <c r="LF7" s="355" t="s">
        <v>18</v>
      </c>
      <c r="LG7" s="356"/>
      <c r="LH7" s="356"/>
      <c r="LI7" s="356"/>
      <c r="LJ7" s="356"/>
      <c r="LK7" s="356"/>
      <c r="LL7" s="356"/>
      <c r="LM7" s="356"/>
      <c r="LN7" s="356"/>
      <c r="LO7" s="356"/>
      <c r="LP7" s="356"/>
      <c r="LQ7" s="356"/>
      <c r="LR7" s="356"/>
      <c r="LS7" s="356"/>
      <c r="LT7" s="356"/>
      <c r="LU7" s="356"/>
      <c r="LV7" s="356"/>
      <c r="LW7" s="356"/>
      <c r="LX7" s="356"/>
      <c r="LY7" s="356"/>
      <c r="LZ7" s="356"/>
      <c r="MA7" s="356"/>
      <c r="MB7" s="356"/>
      <c r="MC7" s="356"/>
      <c r="MD7" s="356"/>
      <c r="ME7" s="356"/>
      <c r="MF7" s="356"/>
      <c r="MG7" s="357"/>
      <c r="MH7" s="355" t="s">
        <v>19</v>
      </c>
      <c r="MI7" s="356"/>
      <c r="MJ7" s="356"/>
      <c r="MK7" s="356"/>
      <c r="ML7" s="356"/>
      <c r="MM7" s="356"/>
      <c r="MN7" s="356"/>
      <c r="MO7" s="356"/>
      <c r="MP7" s="356"/>
      <c r="MQ7" s="356"/>
      <c r="MR7" s="356"/>
      <c r="MS7" s="356"/>
      <c r="MT7" s="356"/>
      <c r="MU7" s="356"/>
      <c r="MV7" s="356"/>
      <c r="MW7" s="356"/>
      <c r="MX7" s="356"/>
      <c r="MY7" s="356"/>
      <c r="MZ7" s="356"/>
      <c r="NA7" s="356"/>
      <c r="NB7" s="356"/>
      <c r="NC7" s="356"/>
      <c r="ND7" s="356"/>
      <c r="NE7" s="356"/>
      <c r="NF7" s="356"/>
      <c r="NG7" s="356"/>
      <c r="NH7" s="356"/>
      <c r="NI7" s="356"/>
      <c r="NJ7" s="356"/>
      <c r="NK7" s="356"/>
      <c r="NL7" s="357"/>
    </row>
    <row r="8" spans="1:392" s="3" customFormat="1">
      <c r="A8" s="1"/>
      <c r="L8" s="320">
        <v>1</v>
      </c>
      <c r="M8" s="321">
        <v>2</v>
      </c>
      <c r="N8" s="321">
        <v>3</v>
      </c>
      <c r="O8" s="321">
        <v>4</v>
      </c>
      <c r="P8" s="321">
        <v>5</v>
      </c>
      <c r="Q8" s="321">
        <v>6</v>
      </c>
      <c r="R8" s="321">
        <v>7</v>
      </c>
      <c r="S8" s="321">
        <v>8</v>
      </c>
      <c r="T8" s="321">
        <v>9</v>
      </c>
      <c r="U8" s="321">
        <v>10</v>
      </c>
      <c r="V8" s="321">
        <v>11</v>
      </c>
      <c r="W8" s="321">
        <v>12</v>
      </c>
      <c r="X8" s="321">
        <v>13</v>
      </c>
      <c r="Y8" s="321">
        <v>14</v>
      </c>
      <c r="Z8" s="321">
        <v>15</v>
      </c>
      <c r="AA8" s="321">
        <v>16</v>
      </c>
      <c r="AB8" s="321">
        <v>17</v>
      </c>
      <c r="AC8" s="321">
        <v>18</v>
      </c>
      <c r="AD8" s="321">
        <v>19</v>
      </c>
      <c r="AE8" s="321">
        <v>20</v>
      </c>
      <c r="AF8" s="321">
        <v>21</v>
      </c>
      <c r="AG8" s="321">
        <v>22</v>
      </c>
      <c r="AH8" s="321">
        <v>23</v>
      </c>
      <c r="AI8" s="321">
        <v>24</v>
      </c>
      <c r="AJ8" s="321">
        <v>25</v>
      </c>
      <c r="AK8" s="321">
        <v>26</v>
      </c>
      <c r="AL8" s="321">
        <v>27</v>
      </c>
      <c r="AM8" s="321">
        <v>28</v>
      </c>
      <c r="AN8" s="321">
        <v>29</v>
      </c>
      <c r="AO8" s="322">
        <v>30</v>
      </c>
      <c r="AP8" s="320">
        <v>1</v>
      </c>
      <c r="AQ8" s="321">
        <v>2</v>
      </c>
      <c r="AR8" s="323">
        <v>3</v>
      </c>
      <c r="AS8" s="321">
        <v>4</v>
      </c>
      <c r="AT8" s="323">
        <v>5</v>
      </c>
      <c r="AU8" s="321">
        <v>6</v>
      </c>
      <c r="AV8" s="323">
        <v>7</v>
      </c>
      <c r="AW8" s="321">
        <v>8</v>
      </c>
      <c r="AX8" s="323">
        <v>9</v>
      </c>
      <c r="AY8" s="321">
        <v>10</v>
      </c>
      <c r="AZ8" s="323">
        <v>11</v>
      </c>
      <c r="BA8" s="321">
        <v>12</v>
      </c>
      <c r="BB8" s="323">
        <v>13</v>
      </c>
      <c r="BC8" s="321">
        <v>14</v>
      </c>
      <c r="BD8" s="323">
        <v>15</v>
      </c>
      <c r="BE8" s="321">
        <v>16</v>
      </c>
      <c r="BF8" s="323">
        <v>17</v>
      </c>
      <c r="BG8" s="321">
        <v>18</v>
      </c>
      <c r="BH8" s="323">
        <v>19</v>
      </c>
      <c r="BI8" s="321">
        <v>20</v>
      </c>
      <c r="BJ8" s="323">
        <v>21</v>
      </c>
      <c r="BK8" s="321">
        <v>22</v>
      </c>
      <c r="BL8" s="323">
        <v>23</v>
      </c>
      <c r="BM8" s="321">
        <v>24</v>
      </c>
      <c r="BN8" s="323">
        <v>25</v>
      </c>
      <c r="BO8" s="321">
        <v>26</v>
      </c>
      <c r="BP8" s="323">
        <v>27</v>
      </c>
      <c r="BQ8" s="321">
        <v>28</v>
      </c>
      <c r="BR8" s="323">
        <v>29</v>
      </c>
      <c r="BS8" s="321">
        <v>30</v>
      </c>
      <c r="BT8" s="324">
        <v>31</v>
      </c>
      <c r="BU8" s="320">
        <v>1</v>
      </c>
      <c r="BV8" s="321">
        <v>2</v>
      </c>
      <c r="BW8" s="325">
        <v>3</v>
      </c>
      <c r="BX8" s="321">
        <v>4</v>
      </c>
      <c r="BY8" s="325">
        <v>5</v>
      </c>
      <c r="BZ8" s="321">
        <v>6</v>
      </c>
      <c r="CA8" s="325">
        <v>7</v>
      </c>
      <c r="CB8" s="321">
        <v>8</v>
      </c>
      <c r="CC8" s="325">
        <v>9</v>
      </c>
      <c r="CD8" s="321">
        <v>10</v>
      </c>
      <c r="CE8" s="325">
        <v>11</v>
      </c>
      <c r="CF8" s="321">
        <v>12</v>
      </c>
      <c r="CG8" s="325">
        <v>13</v>
      </c>
      <c r="CH8" s="321">
        <v>14</v>
      </c>
      <c r="CI8" s="325">
        <v>15</v>
      </c>
      <c r="CJ8" s="321">
        <v>16</v>
      </c>
      <c r="CK8" s="325">
        <v>17</v>
      </c>
      <c r="CL8" s="321">
        <v>18</v>
      </c>
      <c r="CM8" s="325">
        <v>19</v>
      </c>
      <c r="CN8" s="321">
        <v>20</v>
      </c>
      <c r="CO8" s="325">
        <v>21</v>
      </c>
      <c r="CP8" s="321">
        <v>22</v>
      </c>
      <c r="CQ8" s="325">
        <v>23</v>
      </c>
      <c r="CR8" s="321">
        <v>24</v>
      </c>
      <c r="CS8" s="325">
        <v>25</v>
      </c>
      <c r="CT8" s="321">
        <v>26</v>
      </c>
      <c r="CU8" s="325">
        <v>27</v>
      </c>
      <c r="CV8" s="321">
        <v>28</v>
      </c>
      <c r="CW8" s="325">
        <v>29</v>
      </c>
      <c r="CX8" s="322">
        <v>30</v>
      </c>
      <c r="CY8" s="320">
        <v>1</v>
      </c>
      <c r="CZ8" s="321">
        <v>2</v>
      </c>
      <c r="DA8" s="321">
        <v>3</v>
      </c>
      <c r="DB8" s="321">
        <v>4</v>
      </c>
      <c r="DC8" s="321">
        <v>5</v>
      </c>
      <c r="DD8" s="321">
        <v>6</v>
      </c>
      <c r="DE8" s="321">
        <v>7</v>
      </c>
      <c r="DF8" s="321">
        <v>8</v>
      </c>
      <c r="DG8" s="321">
        <v>9</v>
      </c>
      <c r="DH8" s="321">
        <v>10</v>
      </c>
      <c r="DI8" s="321">
        <v>11</v>
      </c>
      <c r="DJ8" s="321">
        <v>12</v>
      </c>
      <c r="DK8" s="321">
        <v>13</v>
      </c>
      <c r="DL8" s="321">
        <v>14</v>
      </c>
      <c r="DM8" s="321">
        <v>15</v>
      </c>
      <c r="DN8" s="321">
        <v>16</v>
      </c>
      <c r="DO8" s="321">
        <v>17</v>
      </c>
      <c r="DP8" s="321">
        <v>18</v>
      </c>
      <c r="DQ8" s="321">
        <v>19</v>
      </c>
      <c r="DR8" s="321">
        <v>20</v>
      </c>
      <c r="DS8" s="321">
        <v>21</v>
      </c>
      <c r="DT8" s="321">
        <v>22</v>
      </c>
      <c r="DU8" s="321">
        <v>23</v>
      </c>
      <c r="DV8" s="321">
        <v>24</v>
      </c>
      <c r="DW8" s="321">
        <v>25</v>
      </c>
      <c r="DX8" s="321">
        <v>26</v>
      </c>
      <c r="DY8" s="321">
        <v>27</v>
      </c>
      <c r="DZ8" s="321">
        <v>28</v>
      </c>
      <c r="EA8" s="321">
        <v>29</v>
      </c>
      <c r="EB8" s="321">
        <v>30</v>
      </c>
      <c r="EC8" s="322">
        <v>31</v>
      </c>
      <c r="ED8" s="320">
        <v>1</v>
      </c>
      <c r="EE8" s="321">
        <v>2</v>
      </c>
      <c r="EF8" s="323">
        <v>3</v>
      </c>
      <c r="EG8" s="321">
        <v>4</v>
      </c>
      <c r="EH8" s="323">
        <v>5</v>
      </c>
      <c r="EI8" s="321">
        <v>6</v>
      </c>
      <c r="EJ8" s="323">
        <v>7</v>
      </c>
      <c r="EK8" s="321">
        <v>8</v>
      </c>
      <c r="EL8" s="323">
        <v>9</v>
      </c>
      <c r="EM8" s="321">
        <v>10</v>
      </c>
      <c r="EN8" s="323">
        <v>11</v>
      </c>
      <c r="EO8" s="321">
        <v>12</v>
      </c>
      <c r="EP8" s="323">
        <v>13</v>
      </c>
      <c r="EQ8" s="321">
        <v>14</v>
      </c>
      <c r="ER8" s="323">
        <v>15</v>
      </c>
      <c r="ES8" s="321">
        <v>16</v>
      </c>
      <c r="ET8" s="323">
        <v>17</v>
      </c>
      <c r="EU8" s="321">
        <v>18</v>
      </c>
      <c r="EV8" s="323">
        <v>19</v>
      </c>
      <c r="EW8" s="321">
        <v>20</v>
      </c>
      <c r="EX8" s="323">
        <v>21</v>
      </c>
      <c r="EY8" s="321">
        <v>22</v>
      </c>
      <c r="EZ8" s="323">
        <v>23</v>
      </c>
      <c r="FA8" s="321">
        <v>24</v>
      </c>
      <c r="FB8" s="323">
        <v>25</v>
      </c>
      <c r="FC8" s="321">
        <v>26</v>
      </c>
      <c r="FD8" s="323">
        <v>27</v>
      </c>
      <c r="FE8" s="321">
        <v>28</v>
      </c>
      <c r="FF8" s="323">
        <v>29</v>
      </c>
      <c r="FG8" s="321">
        <v>30</v>
      </c>
      <c r="FH8" s="324">
        <v>31</v>
      </c>
      <c r="FI8" s="320">
        <v>1</v>
      </c>
      <c r="FJ8" s="321">
        <v>2</v>
      </c>
      <c r="FK8" s="323">
        <v>3</v>
      </c>
      <c r="FL8" s="321">
        <v>4</v>
      </c>
      <c r="FM8" s="323">
        <v>5</v>
      </c>
      <c r="FN8" s="321">
        <v>6</v>
      </c>
      <c r="FO8" s="323">
        <v>7</v>
      </c>
      <c r="FP8" s="321">
        <v>8</v>
      </c>
      <c r="FQ8" s="323">
        <v>9</v>
      </c>
      <c r="FR8" s="321">
        <v>10</v>
      </c>
      <c r="FS8" s="323">
        <v>11</v>
      </c>
      <c r="FT8" s="321">
        <v>12</v>
      </c>
      <c r="FU8" s="323">
        <v>13</v>
      </c>
      <c r="FV8" s="321">
        <v>14</v>
      </c>
      <c r="FW8" s="323">
        <v>15</v>
      </c>
      <c r="FX8" s="321">
        <v>16</v>
      </c>
      <c r="FY8" s="323">
        <v>17</v>
      </c>
      <c r="FZ8" s="321">
        <v>18</v>
      </c>
      <c r="GA8" s="323">
        <v>19</v>
      </c>
      <c r="GB8" s="321">
        <v>20</v>
      </c>
      <c r="GC8" s="323">
        <v>21</v>
      </c>
      <c r="GD8" s="321">
        <v>22</v>
      </c>
      <c r="GE8" s="323">
        <v>23</v>
      </c>
      <c r="GF8" s="321">
        <v>24</v>
      </c>
      <c r="GG8" s="323">
        <v>25</v>
      </c>
      <c r="GH8" s="321">
        <v>26</v>
      </c>
      <c r="GI8" s="323">
        <v>27</v>
      </c>
      <c r="GJ8" s="321">
        <v>28</v>
      </c>
      <c r="GK8" s="323">
        <v>29</v>
      </c>
      <c r="GL8" s="322">
        <v>30</v>
      </c>
      <c r="GM8" s="320">
        <v>1</v>
      </c>
      <c r="GN8" s="321">
        <v>2</v>
      </c>
      <c r="GO8" s="323">
        <v>3</v>
      </c>
      <c r="GP8" s="321">
        <v>4</v>
      </c>
      <c r="GQ8" s="323">
        <v>5</v>
      </c>
      <c r="GR8" s="321">
        <v>6</v>
      </c>
      <c r="GS8" s="323">
        <v>7</v>
      </c>
      <c r="GT8" s="321">
        <v>8</v>
      </c>
      <c r="GU8" s="323">
        <v>9</v>
      </c>
      <c r="GV8" s="321">
        <v>10</v>
      </c>
      <c r="GW8" s="323">
        <v>11</v>
      </c>
      <c r="GX8" s="321">
        <v>12</v>
      </c>
      <c r="GY8" s="323">
        <v>13</v>
      </c>
      <c r="GZ8" s="321">
        <v>14</v>
      </c>
      <c r="HA8" s="323">
        <v>15</v>
      </c>
      <c r="HB8" s="321">
        <v>16</v>
      </c>
      <c r="HC8" s="323">
        <v>17</v>
      </c>
      <c r="HD8" s="321">
        <v>18</v>
      </c>
      <c r="HE8" s="323">
        <v>19</v>
      </c>
      <c r="HF8" s="321">
        <v>20</v>
      </c>
      <c r="HG8" s="323">
        <v>21</v>
      </c>
      <c r="HH8" s="321">
        <v>22</v>
      </c>
      <c r="HI8" s="323">
        <v>23</v>
      </c>
      <c r="HJ8" s="321">
        <v>24</v>
      </c>
      <c r="HK8" s="323">
        <v>25</v>
      </c>
      <c r="HL8" s="321">
        <v>26</v>
      </c>
      <c r="HM8" s="323">
        <v>27</v>
      </c>
      <c r="HN8" s="321">
        <v>28</v>
      </c>
      <c r="HO8" s="323">
        <v>29</v>
      </c>
      <c r="HP8" s="321">
        <v>30</v>
      </c>
      <c r="HQ8" s="324">
        <v>31</v>
      </c>
      <c r="HR8" s="320">
        <v>1</v>
      </c>
      <c r="HS8" s="321">
        <v>2</v>
      </c>
      <c r="HT8" s="323">
        <v>3</v>
      </c>
      <c r="HU8" s="321">
        <v>4</v>
      </c>
      <c r="HV8" s="323">
        <v>5</v>
      </c>
      <c r="HW8" s="321">
        <v>6</v>
      </c>
      <c r="HX8" s="323">
        <v>7</v>
      </c>
      <c r="HY8" s="321">
        <v>8</v>
      </c>
      <c r="HZ8" s="323">
        <v>9</v>
      </c>
      <c r="IA8" s="321">
        <v>10</v>
      </c>
      <c r="IB8" s="323">
        <v>11</v>
      </c>
      <c r="IC8" s="321">
        <v>12</v>
      </c>
      <c r="ID8" s="323">
        <v>13</v>
      </c>
      <c r="IE8" s="321">
        <v>14</v>
      </c>
      <c r="IF8" s="323">
        <v>15</v>
      </c>
      <c r="IG8" s="321">
        <v>16</v>
      </c>
      <c r="IH8" s="323">
        <v>17</v>
      </c>
      <c r="II8" s="321">
        <v>18</v>
      </c>
      <c r="IJ8" s="323">
        <v>19</v>
      </c>
      <c r="IK8" s="321">
        <v>20</v>
      </c>
      <c r="IL8" s="323">
        <v>21</v>
      </c>
      <c r="IM8" s="321">
        <v>22</v>
      </c>
      <c r="IN8" s="323">
        <v>23</v>
      </c>
      <c r="IO8" s="321">
        <v>24</v>
      </c>
      <c r="IP8" s="323">
        <v>25</v>
      </c>
      <c r="IQ8" s="321">
        <v>26</v>
      </c>
      <c r="IR8" s="323">
        <v>27</v>
      </c>
      <c r="IS8" s="321">
        <v>28</v>
      </c>
      <c r="IT8" s="323">
        <v>29</v>
      </c>
      <c r="IU8" s="322">
        <v>30</v>
      </c>
      <c r="IV8" s="320">
        <v>1</v>
      </c>
      <c r="IW8" s="321">
        <v>2</v>
      </c>
      <c r="IX8" s="323">
        <v>3</v>
      </c>
      <c r="IY8" s="321">
        <v>4</v>
      </c>
      <c r="IZ8" s="323">
        <v>5</v>
      </c>
      <c r="JA8" s="321">
        <v>6</v>
      </c>
      <c r="JB8" s="323">
        <v>7</v>
      </c>
      <c r="JC8" s="321">
        <v>8</v>
      </c>
      <c r="JD8" s="323">
        <v>9</v>
      </c>
      <c r="JE8" s="321">
        <v>10</v>
      </c>
      <c r="JF8" s="323">
        <v>11</v>
      </c>
      <c r="JG8" s="321">
        <v>12</v>
      </c>
      <c r="JH8" s="323">
        <v>13</v>
      </c>
      <c r="JI8" s="321">
        <v>14</v>
      </c>
      <c r="JJ8" s="323">
        <v>15</v>
      </c>
      <c r="JK8" s="321">
        <v>16</v>
      </c>
      <c r="JL8" s="323">
        <v>17</v>
      </c>
      <c r="JM8" s="321">
        <v>18</v>
      </c>
      <c r="JN8" s="323">
        <v>19</v>
      </c>
      <c r="JO8" s="321">
        <v>20</v>
      </c>
      <c r="JP8" s="323">
        <v>21</v>
      </c>
      <c r="JQ8" s="321">
        <v>22</v>
      </c>
      <c r="JR8" s="323">
        <v>23</v>
      </c>
      <c r="JS8" s="321">
        <v>24</v>
      </c>
      <c r="JT8" s="323">
        <v>25</v>
      </c>
      <c r="JU8" s="321">
        <v>26</v>
      </c>
      <c r="JV8" s="323">
        <v>27</v>
      </c>
      <c r="JW8" s="321">
        <v>28</v>
      </c>
      <c r="JX8" s="323">
        <v>29</v>
      </c>
      <c r="JY8" s="321">
        <v>30</v>
      </c>
      <c r="JZ8" s="324">
        <v>31</v>
      </c>
      <c r="KA8" s="320">
        <v>1</v>
      </c>
      <c r="KB8" s="321">
        <v>2</v>
      </c>
      <c r="KC8" s="323">
        <v>3</v>
      </c>
      <c r="KD8" s="321">
        <v>4</v>
      </c>
      <c r="KE8" s="323">
        <v>5</v>
      </c>
      <c r="KF8" s="321">
        <v>6</v>
      </c>
      <c r="KG8" s="323">
        <v>7</v>
      </c>
      <c r="KH8" s="321">
        <v>8</v>
      </c>
      <c r="KI8" s="323">
        <v>9</v>
      </c>
      <c r="KJ8" s="321">
        <v>10</v>
      </c>
      <c r="KK8" s="323">
        <v>11</v>
      </c>
      <c r="KL8" s="321">
        <v>12</v>
      </c>
      <c r="KM8" s="323">
        <v>13</v>
      </c>
      <c r="KN8" s="321">
        <v>14</v>
      </c>
      <c r="KO8" s="323">
        <v>15</v>
      </c>
      <c r="KP8" s="321">
        <v>16</v>
      </c>
      <c r="KQ8" s="323">
        <v>17</v>
      </c>
      <c r="KR8" s="321">
        <v>18</v>
      </c>
      <c r="KS8" s="323">
        <v>19</v>
      </c>
      <c r="KT8" s="321">
        <v>20</v>
      </c>
      <c r="KU8" s="323">
        <v>21</v>
      </c>
      <c r="KV8" s="321">
        <v>22</v>
      </c>
      <c r="KW8" s="323">
        <v>23</v>
      </c>
      <c r="KX8" s="321">
        <v>24</v>
      </c>
      <c r="KY8" s="323">
        <v>25</v>
      </c>
      <c r="KZ8" s="321">
        <v>26</v>
      </c>
      <c r="LA8" s="323">
        <v>27</v>
      </c>
      <c r="LB8" s="321">
        <v>28</v>
      </c>
      <c r="LC8" s="323">
        <v>29</v>
      </c>
      <c r="LD8" s="321">
        <v>30</v>
      </c>
      <c r="LE8" s="324">
        <v>31</v>
      </c>
      <c r="LF8" s="320">
        <v>1</v>
      </c>
      <c r="LG8" s="321">
        <v>2</v>
      </c>
      <c r="LH8" s="323">
        <v>3</v>
      </c>
      <c r="LI8" s="321">
        <v>4</v>
      </c>
      <c r="LJ8" s="323">
        <v>5</v>
      </c>
      <c r="LK8" s="321">
        <v>6</v>
      </c>
      <c r="LL8" s="323">
        <v>7</v>
      </c>
      <c r="LM8" s="321">
        <v>8</v>
      </c>
      <c r="LN8" s="323">
        <v>9</v>
      </c>
      <c r="LO8" s="321">
        <v>10</v>
      </c>
      <c r="LP8" s="323">
        <v>11</v>
      </c>
      <c r="LQ8" s="321">
        <v>12</v>
      </c>
      <c r="LR8" s="323">
        <v>13</v>
      </c>
      <c r="LS8" s="321">
        <v>14</v>
      </c>
      <c r="LT8" s="323">
        <v>15</v>
      </c>
      <c r="LU8" s="321">
        <v>16</v>
      </c>
      <c r="LV8" s="323">
        <v>17</v>
      </c>
      <c r="LW8" s="321">
        <v>18</v>
      </c>
      <c r="LX8" s="323">
        <v>19</v>
      </c>
      <c r="LY8" s="321">
        <v>20</v>
      </c>
      <c r="LZ8" s="323">
        <v>21</v>
      </c>
      <c r="MA8" s="321">
        <v>22</v>
      </c>
      <c r="MB8" s="323">
        <v>23</v>
      </c>
      <c r="MC8" s="321">
        <v>24</v>
      </c>
      <c r="MD8" s="323">
        <v>25</v>
      </c>
      <c r="ME8" s="321">
        <v>26</v>
      </c>
      <c r="MF8" s="323">
        <v>27</v>
      </c>
      <c r="MG8" s="322">
        <v>28</v>
      </c>
      <c r="MH8" s="320">
        <v>1</v>
      </c>
      <c r="MI8" s="321">
        <v>2</v>
      </c>
      <c r="MJ8" s="323">
        <v>3</v>
      </c>
      <c r="MK8" s="321">
        <v>4</v>
      </c>
      <c r="ML8" s="323">
        <v>5</v>
      </c>
      <c r="MM8" s="321">
        <v>6</v>
      </c>
      <c r="MN8" s="323">
        <v>7</v>
      </c>
      <c r="MO8" s="321">
        <v>8</v>
      </c>
      <c r="MP8" s="323">
        <v>9</v>
      </c>
      <c r="MQ8" s="321">
        <v>10</v>
      </c>
      <c r="MR8" s="323">
        <v>11</v>
      </c>
      <c r="MS8" s="321">
        <v>12</v>
      </c>
      <c r="MT8" s="323">
        <v>13</v>
      </c>
      <c r="MU8" s="321">
        <v>14</v>
      </c>
      <c r="MV8" s="323">
        <v>15</v>
      </c>
      <c r="MW8" s="321">
        <v>16</v>
      </c>
      <c r="MX8" s="323">
        <v>17</v>
      </c>
      <c r="MY8" s="321">
        <v>18</v>
      </c>
      <c r="MZ8" s="323">
        <v>19</v>
      </c>
      <c r="NA8" s="321">
        <v>20</v>
      </c>
      <c r="NB8" s="323">
        <v>21</v>
      </c>
      <c r="NC8" s="321">
        <v>22</v>
      </c>
      <c r="ND8" s="323">
        <v>23</v>
      </c>
      <c r="NE8" s="321">
        <v>24</v>
      </c>
      <c r="NF8" s="323">
        <v>25</v>
      </c>
      <c r="NG8" s="321">
        <v>26</v>
      </c>
      <c r="NH8" s="323">
        <v>27</v>
      </c>
      <c r="NI8" s="321">
        <v>28</v>
      </c>
      <c r="NJ8" s="323">
        <v>29</v>
      </c>
      <c r="NK8" s="321">
        <v>30</v>
      </c>
      <c r="NL8" s="324">
        <v>31</v>
      </c>
    </row>
    <row r="9" spans="1:392" s="4" customFormat="1" ht="19.5" customHeight="1" thickBot="1">
      <c r="A9" s="1"/>
      <c r="B9" s="31" t="s">
        <v>20</v>
      </c>
      <c r="C9" s="31" t="s">
        <v>21</v>
      </c>
      <c r="D9" s="31" t="s">
        <v>22</v>
      </c>
      <c r="E9" s="31" t="s">
        <v>110</v>
      </c>
      <c r="F9" s="31" t="s">
        <v>121</v>
      </c>
      <c r="G9" s="31" t="s">
        <v>25</v>
      </c>
      <c r="H9" s="31" t="s">
        <v>26</v>
      </c>
      <c r="I9" s="31" t="s">
        <v>27</v>
      </c>
      <c r="J9" s="31" t="s">
        <v>4</v>
      </c>
      <c r="K9" s="70" t="s">
        <v>28</v>
      </c>
      <c r="L9" s="287" t="str">
        <f>CHOOSE(WEEKDAY(DATE(2025,4,L8),1),"D","L","M","X","J","V","S")</f>
        <v>M</v>
      </c>
      <c r="M9" s="288" t="str">
        <f t="shared" ref="M9:AO9" si="0">CHOOSE(WEEKDAY(DATE(2025,4,M8),1),"D","L","M","X","J","V","S")</f>
        <v>X</v>
      </c>
      <c r="N9" s="288" t="str">
        <f t="shared" si="0"/>
        <v>J</v>
      </c>
      <c r="O9" s="288" t="str">
        <f t="shared" si="0"/>
        <v>V</v>
      </c>
      <c r="P9" s="288" t="str">
        <f t="shared" si="0"/>
        <v>S</v>
      </c>
      <c r="Q9" s="288" t="str">
        <f t="shared" si="0"/>
        <v>D</v>
      </c>
      <c r="R9" s="288" t="str">
        <f t="shared" si="0"/>
        <v>L</v>
      </c>
      <c r="S9" s="288" t="str">
        <f t="shared" si="0"/>
        <v>M</v>
      </c>
      <c r="T9" s="288" t="str">
        <f t="shared" si="0"/>
        <v>X</v>
      </c>
      <c r="U9" s="288" t="str">
        <f t="shared" si="0"/>
        <v>J</v>
      </c>
      <c r="V9" s="288" t="str">
        <f t="shared" si="0"/>
        <v>V</v>
      </c>
      <c r="W9" s="288" t="str">
        <f t="shared" si="0"/>
        <v>S</v>
      </c>
      <c r="X9" s="288" t="str">
        <f t="shared" si="0"/>
        <v>D</v>
      </c>
      <c r="Y9" s="288" t="str">
        <f t="shared" si="0"/>
        <v>L</v>
      </c>
      <c r="Z9" s="288" t="str">
        <f t="shared" si="0"/>
        <v>M</v>
      </c>
      <c r="AA9" s="288" t="str">
        <f t="shared" si="0"/>
        <v>X</v>
      </c>
      <c r="AB9" s="288" t="str">
        <f t="shared" si="0"/>
        <v>J</v>
      </c>
      <c r="AC9" s="288" t="str">
        <f t="shared" si="0"/>
        <v>V</v>
      </c>
      <c r="AD9" s="288" t="str">
        <f t="shared" si="0"/>
        <v>S</v>
      </c>
      <c r="AE9" s="288" t="str">
        <f t="shared" si="0"/>
        <v>D</v>
      </c>
      <c r="AF9" s="288" t="str">
        <f t="shared" si="0"/>
        <v>L</v>
      </c>
      <c r="AG9" s="288" t="str">
        <f t="shared" si="0"/>
        <v>M</v>
      </c>
      <c r="AH9" s="288" t="str">
        <f t="shared" si="0"/>
        <v>X</v>
      </c>
      <c r="AI9" s="288" t="str">
        <f t="shared" si="0"/>
        <v>J</v>
      </c>
      <c r="AJ9" s="288" t="str">
        <f t="shared" si="0"/>
        <v>V</v>
      </c>
      <c r="AK9" s="288" t="str">
        <f t="shared" si="0"/>
        <v>S</v>
      </c>
      <c r="AL9" s="288" t="str">
        <f t="shared" si="0"/>
        <v>D</v>
      </c>
      <c r="AM9" s="288" t="str">
        <f t="shared" si="0"/>
        <v>L</v>
      </c>
      <c r="AN9" s="288" t="str">
        <f t="shared" si="0"/>
        <v>M</v>
      </c>
      <c r="AO9" s="299" t="str">
        <f t="shared" si="0"/>
        <v>X</v>
      </c>
      <c r="AP9" s="287" t="str">
        <f>CHOOSE(WEEKDAY(DATE(2025,5,AP8),1),"D","L","M","X","J","V","S")</f>
        <v>J</v>
      </c>
      <c r="AQ9" s="288" t="str">
        <f t="shared" ref="AQ9:BT9" si="1">CHOOSE(WEEKDAY(DATE(2025,5,AQ8),1),"D","L","M","X","J","V","S")</f>
        <v>V</v>
      </c>
      <c r="AR9" s="288" t="str">
        <f t="shared" si="1"/>
        <v>S</v>
      </c>
      <c r="AS9" s="288" t="str">
        <f t="shared" si="1"/>
        <v>D</v>
      </c>
      <c r="AT9" s="288" t="str">
        <f t="shared" si="1"/>
        <v>L</v>
      </c>
      <c r="AU9" s="288" t="str">
        <f t="shared" si="1"/>
        <v>M</v>
      </c>
      <c r="AV9" s="288" t="str">
        <f t="shared" si="1"/>
        <v>X</v>
      </c>
      <c r="AW9" s="288" t="str">
        <f t="shared" si="1"/>
        <v>J</v>
      </c>
      <c r="AX9" s="288" t="str">
        <f t="shared" si="1"/>
        <v>V</v>
      </c>
      <c r="AY9" s="288" t="str">
        <f t="shared" si="1"/>
        <v>S</v>
      </c>
      <c r="AZ9" s="288" t="str">
        <f t="shared" si="1"/>
        <v>D</v>
      </c>
      <c r="BA9" s="288" t="str">
        <f t="shared" si="1"/>
        <v>L</v>
      </c>
      <c r="BB9" s="288" t="str">
        <f t="shared" si="1"/>
        <v>M</v>
      </c>
      <c r="BC9" s="288" t="str">
        <f t="shared" si="1"/>
        <v>X</v>
      </c>
      <c r="BD9" s="288" t="str">
        <f t="shared" si="1"/>
        <v>J</v>
      </c>
      <c r="BE9" s="288" t="str">
        <f t="shared" si="1"/>
        <v>V</v>
      </c>
      <c r="BF9" s="288" t="str">
        <f t="shared" si="1"/>
        <v>S</v>
      </c>
      <c r="BG9" s="288" t="str">
        <f t="shared" si="1"/>
        <v>D</v>
      </c>
      <c r="BH9" s="288" t="str">
        <f t="shared" si="1"/>
        <v>L</v>
      </c>
      <c r="BI9" s="288" t="str">
        <f t="shared" si="1"/>
        <v>M</v>
      </c>
      <c r="BJ9" s="288" t="str">
        <f t="shared" si="1"/>
        <v>X</v>
      </c>
      <c r="BK9" s="288" t="str">
        <f t="shared" si="1"/>
        <v>J</v>
      </c>
      <c r="BL9" s="288" t="str">
        <f t="shared" si="1"/>
        <v>V</v>
      </c>
      <c r="BM9" s="288" t="str">
        <f t="shared" si="1"/>
        <v>S</v>
      </c>
      <c r="BN9" s="288" t="str">
        <f t="shared" si="1"/>
        <v>D</v>
      </c>
      <c r="BO9" s="288" t="str">
        <f t="shared" si="1"/>
        <v>L</v>
      </c>
      <c r="BP9" s="288" t="str">
        <f t="shared" si="1"/>
        <v>M</v>
      </c>
      <c r="BQ9" s="288" t="str">
        <f t="shared" si="1"/>
        <v>X</v>
      </c>
      <c r="BR9" s="288" t="str">
        <f t="shared" si="1"/>
        <v>J</v>
      </c>
      <c r="BS9" s="289" t="str">
        <f t="shared" si="1"/>
        <v>V</v>
      </c>
      <c r="BT9" s="299" t="str">
        <f t="shared" si="1"/>
        <v>S</v>
      </c>
      <c r="BU9" s="287" t="str">
        <f>CHOOSE(WEEKDAY(DATE(2025,6,BU8),1),"D","L","M","X","J","V","S")</f>
        <v>D</v>
      </c>
      <c r="BV9" s="288" t="str">
        <f t="shared" ref="BV9:CX9" si="2">CHOOSE(WEEKDAY(DATE(2025,6,BV8),1),"D","L","M","X","J","V","S")</f>
        <v>L</v>
      </c>
      <c r="BW9" s="288" t="str">
        <f t="shared" si="2"/>
        <v>M</v>
      </c>
      <c r="BX9" s="288" t="str">
        <f t="shared" si="2"/>
        <v>X</v>
      </c>
      <c r="BY9" s="288" t="str">
        <f t="shared" si="2"/>
        <v>J</v>
      </c>
      <c r="BZ9" s="288" t="str">
        <f t="shared" si="2"/>
        <v>V</v>
      </c>
      <c r="CA9" s="288" t="str">
        <f t="shared" si="2"/>
        <v>S</v>
      </c>
      <c r="CB9" s="288" t="str">
        <f t="shared" si="2"/>
        <v>D</v>
      </c>
      <c r="CC9" s="288" t="str">
        <f t="shared" si="2"/>
        <v>L</v>
      </c>
      <c r="CD9" s="288" t="str">
        <f t="shared" si="2"/>
        <v>M</v>
      </c>
      <c r="CE9" s="288" t="str">
        <f t="shared" si="2"/>
        <v>X</v>
      </c>
      <c r="CF9" s="288" t="str">
        <f t="shared" si="2"/>
        <v>J</v>
      </c>
      <c r="CG9" s="288" t="str">
        <f t="shared" si="2"/>
        <v>V</v>
      </c>
      <c r="CH9" s="288" t="str">
        <f t="shared" si="2"/>
        <v>S</v>
      </c>
      <c r="CI9" s="288" t="str">
        <f t="shared" si="2"/>
        <v>D</v>
      </c>
      <c r="CJ9" s="288" t="str">
        <f t="shared" si="2"/>
        <v>L</v>
      </c>
      <c r="CK9" s="288" t="str">
        <f t="shared" si="2"/>
        <v>M</v>
      </c>
      <c r="CL9" s="288" t="str">
        <f t="shared" si="2"/>
        <v>X</v>
      </c>
      <c r="CM9" s="288" t="str">
        <f t="shared" si="2"/>
        <v>J</v>
      </c>
      <c r="CN9" s="288" t="str">
        <f t="shared" si="2"/>
        <v>V</v>
      </c>
      <c r="CO9" s="288" t="str">
        <f t="shared" si="2"/>
        <v>S</v>
      </c>
      <c r="CP9" s="288" t="str">
        <f t="shared" si="2"/>
        <v>D</v>
      </c>
      <c r="CQ9" s="288" t="str">
        <f t="shared" si="2"/>
        <v>L</v>
      </c>
      <c r="CR9" s="288" t="str">
        <f t="shared" si="2"/>
        <v>M</v>
      </c>
      <c r="CS9" s="288" t="str">
        <f t="shared" si="2"/>
        <v>X</v>
      </c>
      <c r="CT9" s="288" t="str">
        <f t="shared" si="2"/>
        <v>J</v>
      </c>
      <c r="CU9" s="288" t="str">
        <f t="shared" si="2"/>
        <v>V</v>
      </c>
      <c r="CV9" s="288" t="str">
        <f t="shared" si="2"/>
        <v>S</v>
      </c>
      <c r="CW9" s="289" t="str">
        <f t="shared" si="2"/>
        <v>D</v>
      </c>
      <c r="CX9" s="299" t="str">
        <f t="shared" si="2"/>
        <v>L</v>
      </c>
      <c r="CY9" s="287" t="str">
        <f>CHOOSE(WEEKDAY(DATE(2025,7,CY8),1),"D","L","M","X","J","V","S")</f>
        <v>M</v>
      </c>
      <c r="CZ9" s="288" t="str">
        <f t="shared" ref="CZ9:EC9" si="3">CHOOSE(WEEKDAY(DATE(2025,7,CZ8),1),"D","L","M","X","J","V","S")</f>
        <v>X</v>
      </c>
      <c r="DA9" s="288" t="str">
        <f t="shared" si="3"/>
        <v>J</v>
      </c>
      <c r="DB9" s="288" t="str">
        <f t="shared" si="3"/>
        <v>V</v>
      </c>
      <c r="DC9" s="288" t="str">
        <f t="shared" si="3"/>
        <v>S</v>
      </c>
      <c r="DD9" s="288" t="str">
        <f t="shared" si="3"/>
        <v>D</v>
      </c>
      <c r="DE9" s="288" t="str">
        <f t="shared" si="3"/>
        <v>L</v>
      </c>
      <c r="DF9" s="288" t="str">
        <f t="shared" si="3"/>
        <v>M</v>
      </c>
      <c r="DG9" s="288" t="str">
        <f t="shared" si="3"/>
        <v>X</v>
      </c>
      <c r="DH9" s="288" t="str">
        <f t="shared" si="3"/>
        <v>J</v>
      </c>
      <c r="DI9" s="288" t="str">
        <f t="shared" si="3"/>
        <v>V</v>
      </c>
      <c r="DJ9" s="288" t="str">
        <f t="shared" si="3"/>
        <v>S</v>
      </c>
      <c r="DK9" s="288" t="str">
        <f t="shared" si="3"/>
        <v>D</v>
      </c>
      <c r="DL9" s="288" t="str">
        <f t="shared" si="3"/>
        <v>L</v>
      </c>
      <c r="DM9" s="288" t="str">
        <f t="shared" si="3"/>
        <v>M</v>
      </c>
      <c r="DN9" s="288" t="str">
        <f t="shared" si="3"/>
        <v>X</v>
      </c>
      <c r="DO9" s="288" t="str">
        <f t="shared" si="3"/>
        <v>J</v>
      </c>
      <c r="DP9" s="288" t="str">
        <f t="shared" si="3"/>
        <v>V</v>
      </c>
      <c r="DQ9" s="288" t="str">
        <f t="shared" si="3"/>
        <v>S</v>
      </c>
      <c r="DR9" s="288" t="str">
        <f t="shared" si="3"/>
        <v>D</v>
      </c>
      <c r="DS9" s="288" t="str">
        <f t="shared" si="3"/>
        <v>L</v>
      </c>
      <c r="DT9" s="288" t="str">
        <f t="shared" si="3"/>
        <v>M</v>
      </c>
      <c r="DU9" s="288" t="str">
        <f t="shared" si="3"/>
        <v>X</v>
      </c>
      <c r="DV9" s="288" t="str">
        <f t="shared" si="3"/>
        <v>J</v>
      </c>
      <c r="DW9" s="288" t="str">
        <f t="shared" si="3"/>
        <v>V</v>
      </c>
      <c r="DX9" s="288" t="str">
        <f t="shared" si="3"/>
        <v>S</v>
      </c>
      <c r="DY9" s="288" t="str">
        <f t="shared" si="3"/>
        <v>D</v>
      </c>
      <c r="DZ9" s="288" t="str">
        <f t="shared" si="3"/>
        <v>L</v>
      </c>
      <c r="EA9" s="288" t="str">
        <f t="shared" si="3"/>
        <v>M</v>
      </c>
      <c r="EB9" s="288" t="str">
        <f t="shared" si="3"/>
        <v>X</v>
      </c>
      <c r="EC9" s="299" t="str">
        <f t="shared" si="3"/>
        <v>J</v>
      </c>
      <c r="ED9" s="287" t="str">
        <f>CHOOSE(WEEKDAY(DATE(2025,8,ED8),1),"D","L","M","X","J","V","S")</f>
        <v>V</v>
      </c>
      <c r="EE9" s="288" t="str">
        <f t="shared" ref="EE9:FH9" si="4">CHOOSE(WEEKDAY(DATE(2025,8,EE8),1),"D","L","M","X","J","V","S")</f>
        <v>S</v>
      </c>
      <c r="EF9" s="288" t="str">
        <f t="shared" si="4"/>
        <v>D</v>
      </c>
      <c r="EG9" s="288" t="str">
        <f t="shared" si="4"/>
        <v>L</v>
      </c>
      <c r="EH9" s="288" t="str">
        <f t="shared" si="4"/>
        <v>M</v>
      </c>
      <c r="EI9" s="288" t="str">
        <f t="shared" si="4"/>
        <v>X</v>
      </c>
      <c r="EJ9" s="288" t="str">
        <f t="shared" si="4"/>
        <v>J</v>
      </c>
      <c r="EK9" s="288" t="str">
        <f t="shared" si="4"/>
        <v>V</v>
      </c>
      <c r="EL9" s="288" t="str">
        <f t="shared" si="4"/>
        <v>S</v>
      </c>
      <c r="EM9" s="288" t="str">
        <f t="shared" si="4"/>
        <v>D</v>
      </c>
      <c r="EN9" s="288" t="str">
        <f t="shared" si="4"/>
        <v>L</v>
      </c>
      <c r="EO9" s="288" t="str">
        <f t="shared" si="4"/>
        <v>M</v>
      </c>
      <c r="EP9" s="288" t="str">
        <f t="shared" si="4"/>
        <v>X</v>
      </c>
      <c r="EQ9" s="288" t="str">
        <f t="shared" si="4"/>
        <v>J</v>
      </c>
      <c r="ER9" s="288" t="str">
        <f t="shared" si="4"/>
        <v>V</v>
      </c>
      <c r="ES9" s="288" t="str">
        <f t="shared" si="4"/>
        <v>S</v>
      </c>
      <c r="ET9" s="288" t="str">
        <f t="shared" si="4"/>
        <v>D</v>
      </c>
      <c r="EU9" s="288" t="str">
        <f t="shared" si="4"/>
        <v>L</v>
      </c>
      <c r="EV9" s="288" t="str">
        <f t="shared" si="4"/>
        <v>M</v>
      </c>
      <c r="EW9" s="288" t="str">
        <f t="shared" si="4"/>
        <v>X</v>
      </c>
      <c r="EX9" s="288" t="str">
        <f t="shared" si="4"/>
        <v>J</v>
      </c>
      <c r="EY9" s="288" t="str">
        <f t="shared" si="4"/>
        <v>V</v>
      </c>
      <c r="EZ9" s="288" t="str">
        <f t="shared" si="4"/>
        <v>S</v>
      </c>
      <c r="FA9" s="288" t="str">
        <f t="shared" si="4"/>
        <v>D</v>
      </c>
      <c r="FB9" s="288" t="str">
        <f t="shared" si="4"/>
        <v>L</v>
      </c>
      <c r="FC9" s="288" t="str">
        <f t="shared" si="4"/>
        <v>M</v>
      </c>
      <c r="FD9" s="288" t="str">
        <f t="shared" si="4"/>
        <v>X</v>
      </c>
      <c r="FE9" s="288" t="str">
        <f t="shared" si="4"/>
        <v>J</v>
      </c>
      <c r="FF9" s="288" t="str">
        <f t="shared" si="4"/>
        <v>V</v>
      </c>
      <c r="FG9" s="288" t="str">
        <f t="shared" si="4"/>
        <v>S</v>
      </c>
      <c r="FH9" s="299" t="str">
        <f t="shared" si="4"/>
        <v>D</v>
      </c>
      <c r="FI9" s="287" t="str">
        <f>CHOOSE(WEEKDAY(DATE(2025,9,FI8),1),"D","L","M","X","J","V","S")</f>
        <v>L</v>
      </c>
      <c r="FJ9" s="288" t="str">
        <f t="shared" ref="FJ9:GL9" si="5">CHOOSE(WEEKDAY(DATE(2025,9,FJ8),1),"D","L","M","X","J","V","S")</f>
        <v>M</v>
      </c>
      <c r="FK9" s="288" t="str">
        <f t="shared" si="5"/>
        <v>X</v>
      </c>
      <c r="FL9" s="288" t="str">
        <f t="shared" si="5"/>
        <v>J</v>
      </c>
      <c r="FM9" s="288" t="str">
        <f t="shared" si="5"/>
        <v>V</v>
      </c>
      <c r="FN9" s="288" t="str">
        <f t="shared" si="5"/>
        <v>S</v>
      </c>
      <c r="FO9" s="288" t="str">
        <f t="shared" si="5"/>
        <v>D</v>
      </c>
      <c r="FP9" s="288" t="str">
        <f t="shared" si="5"/>
        <v>L</v>
      </c>
      <c r="FQ9" s="288" t="str">
        <f t="shared" si="5"/>
        <v>M</v>
      </c>
      <c r="FR9" s="288" t="str">
        <f t="shared" si="5"/>
        <v>X</v>
      </c>
      <c r="FS9" s="288" t="str">
        <f t="shared" si="5"/>
        <v>J</v>
      </c>
      <c r="FT9" s="288" t="str">
        <f t="shared" si="5"/>
        <v>V</v>
      </c>
      <c r="FU9" s="288" t="str">
        <f t="shared" si="5"/>
        <v>S</v>
      </c>
      <c r="FV9" s="288" t="str">
        <f t="shared" si="5"/>
        <v>D</v>
      </c>
      <c r="FW9" s="288" t="str">
        <f t="shared" si="5"/>
        <v>L</v>
      </c>
      <c r="FX9" s="288" t="str">
        <f t="shared" si="5"/>
        <v>M</v>
      </c>
      <c r="FY9" s="288" t="str">
        <f t="shared" si="5"/>
        <v>X</v>
      </c>
      <c r="FZ9" s="288" t="str">
        <f t="shared" si="5"/>
        <v>J</v>
      </c>
      <c r="GA9" s="288" t="str">
        <f t="shared" si="5"/>
        <v>V</v>
      </c>
      <c r="GB9" s="288" t="str">
        <f t="shared" si="5"/>
        <v>S</v>
      </c>
      <c r="GC9" s="288" t="str">
        <f t="shared" si="5"/>
        <v>D</v>
      </c>
      <c r="GD9" s="288" t="str">
        <f t="shared" si="5"/>
        <v>L</v>
      </c>
      <c r="GE9" s="288" t="str">
        <f t="shared" si="5"/>
        <v>M</v>
      </c>
      <c r="GF9" s="288" t="str">
        <f t="shared" si="5"/>
        <v>X</v>
      </c>
      <c r="GG9" s="288" t="str">
        <f t="shared" si="5"/>
        <v>J</v>
      </c>
      <c r="GH9" s="288" t="str">
        <f t="shared" si="5"/>
        <v>V</v>
      </c>
      <c r="GI9" s="288" t="str">
        <f t="shared" si="5"/>
        <v>S</v>
      </c>
      <c r="GJ9" s="288" t="str">
        <f t="shared" si="5"/>
        <v>D</v>
      </c>
      <c r="GK9" s="289" t="str">
        <f t="shared" si="5"/>
        <v>L</v>
      </c>
      <c r="GL9" s="299" t="str">
        <f t="shared" si="5"/>
        <v>M</v>
      </c>
      <c r="GM9" s="287" t="str">
        <f>CHOOSE(WEEKDAY(DATE(2025,10,GM8),1),"D","L","M","X","J","V","S")</f>
        <v>X</v>
      </c>
      <c r="GN9" s="288" t="str">
        <f t="shared" ref="GN9:HQ9" si="6">CHOOSE(WEEKDAY(DATE(2025,10,GN8),1),"D","L","M","X","J","V","S")</f>
        <v>J</v>
      </c>
      <c r="GO9" s="288" t="str">
        <f t="shared" si="6"/>
        <v>V</v>
      </c>
      <c r="GP9" s="288" t="str">
        <f t="shared" si="6"/>
        <v>S</v>
      </c>
      <c r="GQ9" s="288" t="str">
        <f t="shared" si="6"/>
        <v>D</v>
      </c>
      <c r="GR9" s="288" t="str">
        <f t="shared" si="6"/>
        <v>L</v>
      </c>
      <c r="GS9" s="288" t="str">
        <f t="shared" si="6"/>
        <v>M</v>
      </c>
      <c r="GT9" s="288" t="str">
        <f t="shared" si="6"/>
        <v>X</v>
      </c>
      <c r="GU9" s="288" t="str">
        <f t="shared" si="6"/>
        <v>J</v>
      </c>
      <c r="GV9" s="288" t="str">
        <f t="shared" si="6"/>
        <v>V</v>
      </c>
      <c r="GW9" s="288" t="str">
        <f t="shared" si="6"/>
        <v>S</v>
      </c>
      <c r="GX9" s="288" t="str">
        <f t="shared" si="6"/>
        <v>D</v>
      </c>
      <c r="GY9" s="288" t="str">
        <f t="shared" si="6"/>
        <v>L</v>
      </c>
      <c r="GZ9" s="288" t="str">
        <f t="shared" si="6"/>
        <v>M</v>
      </c>
      <c r="HA9" s="288" t="str">
        <f t="shared" si="6"/>
        <v>X</v>
      </c>
      <c r="HB9" s="288" t="str">
        <f t="shared" si="6"/>
        <v>J</v>
      </c>
      <c r="HC9" s="288" t="str">
        <f t="shared" si="6"/>
        <v>V</v>
      </c>
      <c r="HD9" s="288" t="str">
        <f t="shared" si="6"/>
        <v>S</v>
      </c>
      <c r="HE9" s="288" t="str">
        <f t="shared" si="6"/>
        <v>D</v>
      </c>
      <c r="HF9" s="288" t="str">
        <f t="shared" si="6"/>
        <v>L</v>
      </c>
      <c r="HG9" s="288" t="str">
        <f t="shared" si="6"/>
        <v>M</v>
      </c>
      <c r="HH9" s="288" t="str">
        <f t="shared" si="6"/>
        <v>X</v>
      </c>
      <c r="HI9" s="288" t="str">
        <f t="shared" si="6"/>
        <v>J</v>
      </c>
      <c r="HJ9" s="288" t="str">
        <f t="shared" si="6"/>
        <v>V</v>
      </c>
      <c r="HK9" s="288" t="str">
        <f t="shared" si="6"/>
        <v>S</v>
      </c>
      <c r="HL9" s="288" t="str">
        <f t="shared" si="6"/>
        <v>D</v>
      </c>
      <c r="HM9" s="288" t="str">
        <f t="shared" si="6"/>
        <v>L</v>
      </c>
      <c r="HN9" s="288" t="str">
        <f t="shared" si="6"/>
        <v>M</v>
      </c>
      <c r="HO9" s="288" t="str">
        <f t="shared" si="6"/>
        <v>X</v>
      </c>
      <c r="HP9" s="289" t="str">
        <f t="shared" si="6"/>
        <v>J</v>
      </c>
      <c r="HQ9" s="299" t="str">
        <f t="shared" si="6"/>
        <v>V</v>
      </c>
      <c r="HR9" s="287" t="str">
        <f>CHOOSE(WEEKDAY(DATE(2025,11,HR8),1),"D","L","M","X","J","V","S")</f>
        <v>S</v>
      </c>
      <c r="HS9" s="288" t="str">
        <f t="shared" ref="HS9:IU9" si="7">CHOOSE(WEEKDAY(DATE(2025,11,HS8),1),"D","L","M","X","J","V","S")</f>
        <v>D</v>
      </c>
      <c r="HT9" s="288" t="str">
        <f t="shared" si="7"/>
        <v>L</v>
      </c>
      <c r="HU9" s="288" t="str">
        <f t="shared" si="7"/>
        <v>M</v>
      </c>
      <c r="HV9" s="288" t="str">
        <f t="shared" si="7"/>
        <v>X</v>
      </c>
      <c r="HW9" s="288" t="str">
        <f t="shared" si="7"/>
        <v>J</v>
      </c>
      <c r="HX9" s="288" t="str">
        <f t="shared" si="7"/>
        <v>V</v>
      </c>
      <c r="HY9" s="288" t="str">
        <f t="shared" si="7"/>
        <v>S</v>
      </c>
      <c r="HZ9" s="288" t="str">
        <f t="shared" si="7"/>
        <v>D</v>
      </c>
      <c r="IA9" s="288" t="str">
        <f t="shared" si="7"/>
        <v>L</v>
      </c>
      <c r="IB9" s="288" t="str">
        <f t="shared" si="7"/>
        <v>M</v>
      </c>
      <c r="IC9" s="288" t="str">
        <f t="shared" si="7"/>
        <v>X</v>
      </c>
      <c r="ID9" s="288" t="str">
        <f t="shared" si="7"/>
        <v>J</v>
      </c>
      <c r="IE9" s="288" t="str">
        <f t="shared" si="7"/>
        <v>V</v>
      </c>
      <c r="IF9" s="288" t="str">
        <f t="shared" si="7"/>
        <v>S</v>
      </c>
      <c r="IG9" s="288" t="str">
        <f t="shared" si="7"/>
        <v>D</v>
      </c>
      <c r="IH9" s="288" t="str">
        <f t="shared" si="7"/>
        <v>L</v>
      </c>
      <c r="II9" s="288" t="str">
        <f t="shared" si="7"/>
        <v>M</v>
      </c>
      <c r="IJ9" s="288" t="str">
        <f t="shared" si="7"/>
        <v>X</v>
      </c>
      <c r="IK9" s="288" t="str">
        <f t="shared" si="7"/>
        <v>J</v>
      </c>
      <c r="IL9" s="288" t="str">
        <f t="shared" si="7"/>
        <v>V</v>
      </c>
      <c r="IM9" s="288" t="str">
        <f t="shared" si="7"/>
        <v>S</v>
      </c>
      <c r="IN9" s="288" t="str">
        <f t="shared" si="7"/>
        <v>D</v>
      </c>
      <c r="IO9" s="288" t="str">
        <f t="shared" si="7"/>
        <v>L</v>
      </c>
      <c r="IP9" s="288" t="str">
        <f t="shared" si="7"/>
        <v>M</v>
      </c>
      <c r="IQ9" s="288" t="str">
        <f t="shared" si="7"/>
        <v>X</v>
      </c>
      <c r="IR9" s="288" t="str">
        <f t="shared" si="7"/>
        <v>J</v>
      </c>
      <c r="IS9" s="288" t="str">
        <f t="shared" si="7"/>
        <v>V</v>
      </c>
      <c r="IT9" s="288" t="str">
        <f t="shared" si="7"/>
        <v>S</v>
      </c>
      <c r="IU9" s="299" t="str">
        <f t="shared" si="7"/>
        <v>D</v>
      </c>
      <c r="IV9" s="287" t="str">
        <f>CHOOSE(WEEKDAY(DATE(2025,12,IV8),1),"D","L","M","X","J","V","S")</f>
        <v>L</v>
      </c>
      <c r="IW9" s="288" t="str">
        <f t="shared" ref="IW9:JZ9" si="8">CHOOSE(WEEKDAY(DATE(2025,12,IW8),1),"D","L","M","X","J","V","S")</f>
        <v>M</v>
      </c>
      <c r="IX9" s="288" t="str">
        <f t="shared" si="8"/>
        <v>X</v>
      </c>
      <c r="IY9" s="288" t="str">
        <f t="shared" si="8"/>
        <v>J</v>
      </c>
      <c r="IZ9" s="288" t="str">
        <f t="shared" si="8"/>
        <v>V</v>
      </c>
      <c r="JA9" s="288" t="str">
        <f t="shared" si="8"/>
        <v>S</v>
      </c>
      <c r="JB9" s="288" t="str">
        <f t="shared" si="8"/>
        <v>D</v>
      </c>
      <c r="JC9" s="288" t="str">
        <f t="shared" si="8"/>
        <v>L</v>
      </c>
      <c r="JD9" s="288" t="str">
        <f t="shared" si="8"/>
        <v>M</v>
      </c>
      <c r="JE9" s="288" t="str">
        <f t="shared" si="8"/>
        <v>X</v>
      </c>
      <c r="JF9" s="288" t="str">
        <f t="shared" si="8"/>
        <v>J</v>
      </c>
      <c r="JG9" s="288" t="str">
        <f t="shared" si="8"/>
        <v>V</v>
      </c>
      <c r="JH9" s="288" t="str">
        <f t="shared" si="8"/>
        <v>S</v>
      </c>
      <c r="JI9" s="288" t="str">
        <f t="shared" si="8"/>
        <v>D</v>
      </c>
      <c r="JJ9" s="288" t="str">
        <f t="shared" si="8"/>
        <v>L</v>
      </c>
      <c r="JK9" s="288" t="str">
        <f t="shared" si="8"/>
        <v>M</v>
      </c>
      <c r="JL9" s="288" t="str">
        <f t="shared" si="8"/>
        <v>X</v>
      </c>
      <c r="JM9" s="288" t="str">
        <f t="shared" si="8"/>
        <v>J</v>
      </c>
      <c r="JN9" s="288" t="str">
        <f t="shared" si="8"/>
        <v>V</v>
      </c>
      <c r="JO9" s="288" t="str">
        <f t="shared" si="8"/>
        <v>S</v>
      </c>
      <c r="JP9" s="288" t="str">
        <f t="shared" si="8"/>
        <v>D</v>
      </c>
      <c r="JQ9" s="288" t="str">
        <f t="shared" si="8"/>
        <v>L</v>
      </c>
      <c r="JR9" s="288" t="str">
        <f t="shared" si="8"/>
        <v>M</v>
      </c>
      <c r="JS9" s="288" t="str">
        <f t="shared" si="8"/>
        <v>X</v>
      </c>
      <c r="JT9" s="288" t="str">
        <f t="shared" si="8"/>
        <v>J</v>
      </c>
      <c r="JU9" s="288" t="str">
        <f t="shared" si="8"/>
        <v>V</v>
      </c>
      <c r="JV9" s="288" t="str">
        <f t="shared" si="8"/>
        <v>S</v>
      </c>
      <c r="JW9" s="288" t="str">
        <f t="shared" si="8"/>
        <v>D</v>
      </c>
      <c r="JX9" s="289" t="str">
        <f t="shared" si="8"/>
        <v>L</v>
      </c>
      <c r="JY9" s="289" t="str">
        <f t="shared" si="8"/>
        <v>M</v>
      </c>
      <c r="JZ9" s="299" t="str">
        <f t="shared" si="8"/>
        <v>X</v>
      </c>
      <c r="KA9" s="287" t="str">
        <f>CHOOSE(WEEKDAY(DATE(2026,1,KA8),1),"D","L","M","X","J","V","S")</f>
        <v>J</v>
      </c>
      <c r="KB9" s="288" t="str">
        <f t="shared" ref="KB9:LE9" si="9">CHOOSE(WEEKDAY(DATE(2026,1,KB8),1),"D","L","M","X","J","V","S")</f>
        <v>V</v>
      </c>
      <c r="KC9" s="288" t="str">
        <f t="shared" si="9"/>
        <v>S</v>
      </c>
      <c r="KD9" s="288" t="str">
        <f t="shared" si="9"/>
        <v>D</v>
      </c>
      <c r="KE9" s="288" t="str">
        <f t="shared" si="9"/>
        <v>L</v>
      </c>
      <c r="KF9" s="288" t="str">
        <f t="shared" si="9"/>
        <v>M</v>
      </c>
      <c r="KG9" s="288" t="str">
        <f t="shared" si="9"/>
        <v>X</v>
      </c>
      <c r="KH9" s="288" t="str">
        <f t="shared" si="9"/>
        <v>J</v>
      </c>
      <c r="KI9" s="288" t="str">
        <f t="shared" si="9"/>
        <v>V</v>
      </c>
      <c r="KJ9" s="288" t="str">
        <f t="shared" si="9"/>
        <v>S</v>
      </c>
      <c r="KK9" s="288" t="str">
        <f t="shared" si="9"/>
        <v>D</v>
      </c>
      <c r="KL9" s="288" t="str">
        <f t="shared" si="9"/>
        <v>L</v>
      </c>
      <c r="KM9" s="288" t="str">
        <f t="shared" si="9"/>
        <v>M</v>
      </c>
      <c r="KN9" s="288" t="str">
        <f t="shared" si="9"/>
        <v>X</v>
      </c>
      <c r="KO9" s="288" t="str">
        <f t="shared" si="9"/>
        <v>J</v>
      </c>
      <c r="KP9" s="288" t="str">
        <f t="shared" si="9"/>
        <v>V</v>
      </c>
      <c r="KQ9" s="288" t="str">
        <f t="shared" si="9"/>
        <v>S</v>
      </c>
      <c r="KR9" s="288" t="str">
        <f t="shared" si="9"/>
        <v>D</v>
      </c>
      <c r="KS9" s="288" t="str">
        <f t="shared" si="9"/>
        <v>L</v>
      </c>
      <c r="KT9" s="288" t="str">
        <f t="shared" si="9"/>
        <v>M</v>
      </c>
      <c r="KU9" s="288" t="str">
        <f t="shared" si="9"/>
        <v>X</v>
      </c>
      <c r="KV9" s="288" t="str">
        <f t="shared" si="9"/>
        <v>J</v>
      </c>
      <c r="KW9" s="288" t="str">
        <f t="shared" si="9"/>
        <v>V</v>
      </c>
      <c r="KX9" s="288" t="str">
        <f t="shared" si="9"/>
        <v>S</v>
      </c>
      <c r="KY9" s="288" t="str">
        <f t="shared" si="9"/>
        <v>D</v>
      </c>
      <c r="KZ9" s="288" t="str">
        <f t="shared" si="9"/>
        <v>L</v>
      </c>
      <c r="LA9" s="288" t="str">
        <f t="shared" si="9"/>
        <v>M</v>
      </c>
      <c r="LB9" s="288" t="str">
        <f t="shared" si="9"/>
        <v>X</v>
      </c>
      <c r="LC9" s="288" t="str">
        <f t="shared" si="9"/>
        <v>J</v>
      </c>
      <c r="LD9" s="289" t="str">
        <f t="shared" si="9"/>
        <v>V</v>
      </c>
      <c r="LE9" s="299" t="str">
        <f t="shared" si="9"/>
        <v>S</v>
      </c>
      <c r="LF9" s="287" t="str">
        <f>CHOOSE(WEEKDAY(DATE(2026,2,LF8),1),"D","L","M","X","J","V","S")</f>
        <v>D</v>
      </c>
      <c r="LG9" s="288" t="str">
        <f t="shared" ref="LG9:MG9" si="10">CHOOSE(WEEKDAY(DATE(2026,2,LG8),1),"D","L","M","X","J","V","S")</f>
        <v>L</v>
      </c>
      <c r="LH9" s="288" t="str">
        <f t="shared" si="10"/>
        <v>M</v>
      </c>
      <c r="LI9" s="288" t="str">
        <f t="shared" si="10"/>
        <v>X</v>
      </c>
      <c r="LJ9" s="288" t="str">
        <f t="shared" si="10"/>
        <v>J</v>
      </c>
      <c r="LK9" s="288" t="str">
        <f t="shared" si="10"/>
        <v>V</v>
      </c>
      <c r="LL9" s="288" t="str">
        <f t="shared" si="10"/>
        <v>S</v>
      </c>
      <c r="LM9" s="288" t="str">
        <f t="shared" si="10"/>
        <v>D</v>
      </c>
      <c r="LN9" s="288" t="str">
        <f t="shared" si="10"/>
        <v>L</v>
      </c>
      <c r="LO9" s="288" t="str">
        <f t="shared" si="10"/>
        <v>M</v>
      </c>
      <c r="LP9" s="288" t="str">
        <f t="shared" si="10"/>
        <v>X</v>
      </c>
      <c r="LQ9" s="288" t="str">
        <f t="shared" si="10"/>
        <v>J</v>
      </c>
      <c r="LR9" s="288" t="str">
        <f t="shared" si="10"/>
        <v>V</v>
      </c>
      <c r="LS9" s="288" t="str">
        <f t="shared" si="10"/>
        <v>S</v>
      </c>
      <c r="LT9" s="288" t="str">
        <f t="shared" si="10"/>
        <v>D</v>
      </c>
      <c r="LU9" s="288" t="str">
        <f t="shared" si="10"/>
        <v>L</v>
      </c>
      <c r="LV9" s="288" t="str">
        <f t="shared" si="10"/>
        <v>M</v>
      </c>
      <c r="LW9" s="288" t="str">
        <f t="shared" si="10"/>
        <v>X</v>
      </c>
      <c r="LX9" s="288" t="str">
        <f t="shared" si="10"/>
        <v>J</v>
      </c>
      <c r="LY9" s="288" t="str">
        <f t="shared" si="10"/>
        <v>V</v>
      </c>
      <c r="LZ9" s="288" t="str">
        <f t="shared" si="10"/>
        <v>S</v>
      </c>
      <c r="MA9" s="288" t="str">
        <f t="shared" si="10"/>
        <v>D</v>
      </c>
      <c r="MB9" s="288" t="str">
        <f t="shared" si="10"/>
        <v>L</v>
      </c>
      <c r="MC9" s="288" t="str">
        <f t="shared" si="10"/>
        <v>M</v>
      </c>
      <c r="MD9" s="288" t="str">
        <f t="shared" si="10"/>
        <v>X</v>
      </c>
      <c r="ME9" s="288" t="str">
        <f t="shared" si="10"/>
        <v>J</v>
      </c>
      <c r="MF9" s="289" t="str">
        <f t="shared" si="10"/>
        <v>V</v>
      </c>
      <c r="MG9" s="299" t="str">
        <f t="shared" si="10"/>
        <v>S</v>
      </c>
      <c r="MH9" s="287" t="str">
        <f>CHOOSE(WEEKDAY(DATE(2026,3,MH8),1),"D","L","M","X","J","V","S")</f>
        <v>D</v>
      </c>
      <c r="MI9" s="288" t="str">
        <f t="shared" ref="MI9:NL9" si="11">CHOOSE(WEEKDAY(DATE(2026,3,MI8),1),"D","L","M","X","J","V","S")</f>
        <v>L</v>
      </c>
      <c r="MJ9" s="288" t="str">
        <f t="shared" si="11"/>
        <v>M</v>
      </c>
      <c r="MK9" s="288" t="str">
        <f t="shared" si="11"/>
        <v>X</v>
      </c>
      <c r="ML9" s="288" t="str">
        <f t="shared" si="11"/>
        <v>J</v>
      </c>
      <c r="MM9" s="288" t="str">
        <f t="shared" si="11"/>
        <v>V</v>
      </c>
      <c r="MN9" s="288" t="str">
        <f t="shared" si="11"/>
        <v>S</v>
      </c>
      <c r="MO9" s="288" t="str">
        <f t="shared" si="11"/>
        <v>D</v>
      </c>
      <c r="MP9" s="288" t="str">
        <f t="shared" si="11"/>
        <v>L</v>
      </c>
      <c r="MQ9" s="288" t="str">
        <f t="shared" si="11"/>
        <v>M</v>
      </c>
      <c r="MR9" s="288" t="str">
        <f t="shared" si="11"/>
        <v>X</v>
      </c>
      <c r="MS9" s="288" t="str">
        <f t="shared" si="11"/>
        <v>J</v>
      </c>
      <c r="MT9" s="288" t="str">
        <f t="shared" si="11"/>
        <v>V</v>
      </c>
      <c r="MU9" s="288" t="str">
        <f t="shared" si="11"/>
        <v>S</v>
      </c>
      <c r="MV9" s="288" t="str">
        <f t="shared" si="11"/>
        <v>D</v>
      </c>
      <c r="MW9" s="288" t="str">
        <f t="shared" si="11"/>
        <v>L</v>
      </c>
      <c r="MX9" s="288" t="str">
        <f t="shared" si="11"/>
        <v>M</v>
      </c>
      <c r="MY9" s="288" t="str">
        <f t="shared" si="11"/>
        <v>X</v>
      </c>
      <c r="MZ9" s="288" t="str">
        <f t="shared" si="11"/>
        <v>J</v>
      </c>
      <c r="NA9" s="288" t="str">
        <f t="shared" si="11"/>
        <v>V</v>
      </c>
      <c r="NB9" s="288" t="str">
        <f t="shared" si="11"/>
        <v>S</v>
      </c>
      <c r="NC9" s="288" t="str">
        <f t="shared" si="11"/>
        <v>D</v>
      </c>
      <c r="ND9" s="288" t="str">
        <f t="shared" si="11"/>
        <v>L</v>
      </c>
      <c r="NE9" s="288" t="str">
        <f t="shared" si="11"/>
        <v>M</v>
      </c>
      <c r="NF9" s="288" t="str">
        <f t="shared" si="11"/>
        <v>X</v>
      </c>
      <c r="NG9" s="288" t="str">
        <f t="shared" si="11"/>
        <v>J</v>
      </c>
      <c r="NH9" s="288" t="str">
        <f t="shared" si="11"/>
        <v>V</v>
      </c>
      <c r="NI9" s="288" t="str">
        <f t="shared" si="11"/>
        <v>S</v>
      </c>
      <c r="NJ9" s="288" t="str">
        <f t="shared" si="11"/>
        <v>D</v>
      </c>
      <c r="NK9" s="288" t="str">
        <f t="shared" si="11"/>
        <v>L</v>
      </c>
      <c r="NL9" s="299" t="str">
        <f t="shared" si="11"/>
        <v>M</v>
      </c>
    </row>
    <row r="10" spans="1:392" ht="15" hidden="1" customHeight="1">
      <c r="B10" s="278" t="s">
        <v>29</v>
      </c>
      <c r="C10" s="278" t="s">
        <v>30</v>
      </c>
      <c r="D10" s="278" t="s">
        <v>122</v>
      </c>
      <c r="E10" s="37">
        <v>0</v>
      </c>
      <c r="F10" s="29">
        <v>15</v>
      </c>
      <c r="G10" s="29">
        <v>3</v>
      </c>
      <c r="H10" s="29">
        <f t="shared" ref="H10:H38" si="12">E10+F10-COUNTIF(L10:NL10,$C$2)</f>
        <v>12</v>
      </c>
      <c r="I10" s="30">
        <f t="shared" ref="I10:I30" si="13">G10-COUNTIF(L10:NL10,$C$3)</f>
        <v>3</v>
      </c>
      <c r="J10" s="30">
        <f t="shared" ref="J10:J38" si="14">COUNTIF(K10:NG10,$C$4)</f>
        <v>0</v>
      </c>
      <c r="K10" s="71">
        <f t="shared" ref="K10:K38" si="15">COUNTIF(L10:NL10,$C$5)</f>
        <v>0</v>
      </c>
      <c r="L10" s="29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66" t="s">
        <v>1</v>
      </c>
      <c r="Z10" s="222"/>
      <c r="AA10" s="222"/>
      <c r="AB10" s="222"/>
      <c r="AC10" s="206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07"/>
      <c r="AP10" s="319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66" t="s">
        <v>1</v>
      </c>
      <c r="BI10" s="66" t="s">
        <v>1</v>
      </c>
      <c r="BJ10" s="206"/>
      <c r="BK10" s="222"/>
      <c r="BL10" s="222"/>
      <c r="BM10" s="222"/>
      <c r="BN10" s="222"/>
      <c r="BO10" s="222"/>
      <c r="BP10" s="222"/>
      <c r="BQ10" s="222"/>
      <c r="BR10" s="222"/>
      <c r="BS10" s="222"/>
      <c r="BT10" s="207"/>
      <c r="BU10" s="29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06"/>
      <c r="CO10" s="222"/>
      <c r="CP10" s="222"/>
      <c r="CQ10" s="222"/>
      <c r="CR10" s="222"/>
      <c r="CS10" s="222"/>
      <c r="CT10" s="222"/>
      <c r="CU10" s="222"/>
      <c r="CV10" s="222"/>
      <c r="CW10" s="222"/>
      <c r="CX10" s="245"/>
      <c r="CY10" s="246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245"/>
      <c r="ED10" s="246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247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245"/>
      <c r="FI10" s="246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247"/>
      <c r="GA10" s="247"/>
      <c r="GB10" s="247"/>
      <c r="GC10" s="32"/>
      <c r="GD10" s="32"/>
      <c r="GE10" s="32"/>
      <c r="GF10" s="32"/>
      <c r="GG10" s="32"/>
      <c r="GH10" s="32"/>
      <c r="GI10" s="32"/>
      <c r="GJ10" s="32"/>
      <c r="GK10" s="32"/>
      <c r="GL10" s="245"/>
      <c r="GM10" s="246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04"/>
      <c r="HR10" s="301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245"/>
      <c r="IV10" s="246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245"/>
      <c r="KA10" s="301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245"/>
      <c r="LF10" s="246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245"/>
      <c r="MH10" s="246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245"/>
    </row>
    <row r="11" spans="1:392" ht="15" customHeight="1">
      <c r="B11" s="29" t="s">
        <v>33</v>
      </c>
      <c r="C11" s="29" t="s">
        <v>30</v>
      </c>
      <c r="D11" s="29" t="s">
        <v>122</v>
      </c>
      <c r="E11" s="37">
        <v>0</v>
      </c>
      <c r="F11" s="29">
        <v>15</v>
      </c>
      <c r="G11" s="29">
        <v>3</v>
      </c>
      <c r="H11" s="29">
        <f t="shared" si="12"/>
        <v>0</v>
      </c>
      <c r="I11" s="30">
        <f t="shared" si="13"/>
        <v>0</v>
      </c>
      <c r="J11" s="30">
        <f t="shared" si="14"/>
        <v>0</v>
      </c>
      <c r="K11" s="71">
        <f t="shared" si="15"/>
        <v>0</v>
      </c>
      <c r="L11" s="147"/>
      <c r="M11" s="8"/>
      <c r="N11" s="8"/>
      <c r="O11" s="8"/>
      <c r="P11" s="7"/>
      <c r="Q11" s="7"/>
      <c r="R11" s="8"/>
      <c r="S11" s="8"/>
      <c r="T11" s="8"/>
      <c r="U11" s="8"/>
      <c r="V11" s="8"/>
      <c r="W11" s="7"/>
      <c r="X11" s="7"/>
      <c r="Y11" s="8"/>
      <c r="Z11" s="8"/>
      <c r="AA11" s="8"/>
      <c r="AB11" s="8"/>
      <c r="AC11" s="69"/>
      <c r="AD11" s="7"/>
      <c r="AE11" s="7"/>
      <c r="AF11" s="8"/>
      <c r="AG11" s="8"/>
      <c r="AH11" s="8"/>
      <c r="AI11" s="8"/>
      <c r="AJ11" s="8"/>
      <c r="AK11" s="7"/>
      <c r="AL11" s="7"/>
      <c r="AM11" s="8"/>
      <c r="AN11" s="8"/>
      <c r="AO11" s="148"/>
      <c r="AP11" s="300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69"/>
      <c r="BK11" s="222"/>
      <c r="BL11" s="222"/>
      <c r="BM11" s="222"/>
      <c r="BN11" s="222"/>
      <c r="BO11" s="222"/>
      <c r="BP11" s="222"/>
      <c r="BQ11" s="222"/>
      <c r="BR11" s="222"/>
      <c r="BS11" s="222"/>
      <c r="BT11" s="148"/>
      <c r="BU11" s="29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69"/>
      <c r="CO11" s="222"/>
      <c r="CP11" s="222"/>
      <c r="CQ11" s="222"/>
      <c r="CR11" s="222"/>
      <c r="CS11" s="222"/>
      <c r="CT11" s="222"/>
      <c r="CU11" s="222"/>
      <c r="CV11" s="222"/>
      <c r="CW11" s="222"/>
      <c r="CX11" s="293"/>
      <c r="CY11" s="292"/>
      <c r="CZ11" s="222"/>
      <c r="DA11" s="222"/>
      <c r="DB11" s="222"/>
      <c r="DC11" s="222"/>
      <c r="DD11" s="222"/>
      <c r="DE11" s="222"/>
      <c r="DF11" s="222"/>
      <c r="DG11" s="222"/>
      <c r="DH11" s="222"/>
      <c r="DI11" s="222"/>
      <c r="DJ11" s="222"/>
      <c r="DK11" s="222"/>
      <c r="DL11" s="222"/>
      <c r="DM11" s="222"/>
      <c r="DN11" s="69"/>
      <c r="DO11" s="66" t="s">
        <v>3</v>
      </c>
      <c r="DP11" s="66" t="s">
        <v>3</v>
      </c>
      <c r="DQ11" s="222"/>
      <c r="DR11" s="222"/>
      <c r="DS11" s="222"/>
      <c r="DT11" s="222"/>
      <c r="DU11" s="222"/>
      <c r="DV11" s="222"/>
      <c r="DW11" s="222"/>
      <c r="DX11" s="222"/>
      <c r="DY11" s="222"/>
      <c r="DZ11" s="222"/>
      <c r="EA11" s="222"/>
      <c r="EB11" s="222"/>
      <c r="EC11" s="293"/>
      <c r="ED11" s="292"/>
      <c r="EE11" s="222"/>
      <c r="EF11" s="222"/>
      <c r="EG11" s="222"/>
      <c r="EH11" s="222"/>
      <c r="EI11" s="222"/>
      <c r="EJ11" s="222"/>
      <c r="EK11" s="222"/>
      <c r="EL11" s="222"/>
      <c r="EM11" s="222"/>
      <c r="EN11" s="222"/>
      <c r="EO11" s="222"/>
      <c r="EP11" s="222"/>
      <c r="EQ11" s="222"/>
      <c r="ER11" s="69"/>
      <c r="ES11" s="222"/>
      <c r="ET11" s="222"/>
      <c r="EU11" s="222"/>
      <c r="EV11" s="222"/>
      <c r="EW11" s="222"/>
      <c r="EX11" s="222"/>
      <c r="EY11" s="222"/>
      <c r="EZ11" s="222"/>
      <c r="FA11" s="222"/>
      <c r="FB11" s="222"/>
      <c r="FC11" s="222"/>
      <c r="FD11" s="222"/>
      <c r="FE11" s="222"/>
      <c r="FF11" s="222"/>
      <c r="FG11" s="222"/>
      <c r="FH11" s="293"/>
      <c r="FI11" s="292"/>
      <c r="FJ11" s="222"/>
      <c r="FK11" s="222"/>
      <c r="FL11" s="222"/>
      <c r="FM11" s="222"/>
      <c r="FN11" s="222"/>
      <c r="FO11" s="222"/>
      <c r="FP11" s="222"/>
      <c r="FQ11" s="222"/>
      <c r="FR11" s="222"/>
      <c r="FS11" s="222"/>
      <c r="FT11" s="222"/>
      <c r="FU11" s="222"/>
      <c r="FV11" s="222"/>
      <c r="FW11" s="222"/>
      <c r="FX11" s="222"/>
      <c r="FY11" s="66" t="s">
        <v>3</v>
      </c>
      <c r="FZ11" s="69"/>
      <c r="GA11" s="69"/>
      <c r="GB11" s="222"/>
      <c r="GC11" s="222"/>
      <c r="GD11" s="222"/>
      <c r="GE11" s="222"/>
      <c r="GF11" s="222"/>
      <c r="GG11" s="222"/>
      <c r="GH11" s="222"/>
      <c r="GI11" s="222"/>
      <c r="GJ11" s="222"/>
      <c r="GK11" s="222"/>
      <c r="GL11" s="293"/>
      <c r="GM11" s="292"/>
      <c r="GN11" s="222"/>
      <c r="GO11" s="222"/>
      <c r="GP11" s="222"/>
      <c r="GQ11" s="222"/>
      <c r="GR11" s="222"/>
      <c r="GS11" s="222"/>
      <c r="GT11" s="222"/>
      <c r="GU11" s="222"/>
      <c r="GV11" s="222"/>
      <c r="GW11" s="222"/>
      <c r="GX11" s="222"/>
      <c r="GY11" s="222"/>
      <c r="GZ11" s="222"/>
      <c r="HA11" s="222"/>
      <c r="HB11" s="222"/>
      <c r="HC11" s="222"/>
      <c r="HD11" s="222"/>
      <c r="HE11" s="222"/>
      <c r="HF11" s="222"/>
      <c r="HG11" s="222"/>
      <c r="HH11" s="222"/>
      <c r="HI11" s="222"/>
      <c r="HJ11" s="222"/>
      <c r="HK11" s="222"/>
      <c r="HL11" s="222"/>
      <c r="HM11" s="222"/>
      <c r="HN11" s="222"/>
      <c r="HO11" s="222"/>
      <c r="HP11" s="222"/>
      <c r="HQ11" s="303"/>
      <c r="HR11" s="292"/>
      <c r="HS11" s="222"/>
      <c r="HT11" s="222"/>
      <c r="HU11" s="222"/>
      <c r="HV11" s="222"/>
      <c r="HW11" s="222"/>
      <c r="HX11" s="222"/>
      <c r="HY11" s="222"/>
      <c r="HZ11" s="222"/>
      <c r="IA11" s="222"/>
      <c r="IB11" s="222"/>
      <c r="IC11" s="222"/>
      <c r="ID11" s="222"/>
      <c r="IE11" s="222"/>
      <c r="IF11" s="222"/>
      <c r="IG11" s="222"/>
      <c r="IH11" s="222"/>
      <c r="II11" s="222"/>
      <c r="IJ11" s="222"/>
      <c r="IK11" s="222"/>
      <c r="IL11" s="222"/>
      <c r="IM11" s="222"/>
      <c r="IN11" s="222"/>
      <c r="IO11" s="222"/>
      <c r="IP11" s="222"/>
      <c r="IQ11" s="222"/>
      <c r="IR11" s="222"/>
      <c r="IS11" s="222"/>
      <c r="IT11" s="222"/>
      <c r="IU11" s="293"/>
      <c r="IV11" s="292"/>
      <c r="IW11" s="222"/>
      <c r="IX11" s="222"/>
      <c r="IY11" s="222"/>
      <c r="IZ11" s="222"/>
      <c r="JA11" s="222"/>
      <c r="JB11" s="222"/>
      <c r="JC11" s="69"/>
      <c r="JD11" s="222"/>
      <c r="JE11" s="222"/>
      <c r="JF11" s="222"/>
      <c r="JG11" s="222"/>
      <c r="JH11" s="222"/>
      <c r="JI11" s="222"/>
      <c r="JJ11" s="222"/>
      <c r="JK11" s="222"/>
      <c r="JL11" s="222"/>
      <c r="JM11" s="222"/>
      <c r="JN11" s="222"/>
      <c r="JO11" s="222"/>
      <c r="JP11" s="222"/>
      <c r="JQ11" s="222"/>
      <c r="JR11" s="222"/>
      <c r="JS11" s="222"/>
      <c r="JT11" s="69"/>
      <c r="JU11" s="222"/>
      <c r="JV11" s="222"/>
      <c r="JW11" s="222"/>
      <c r="JX11" s="222"/>
      <c r="JY11" s="222"/>
      <c r="JZ11" s="293"/>
      <c r="KA11" s="300"/>
      <c r="KB11" s="222"/>
      <c r="KC11" s="222"/>
      <c r="KD11" s="222"/>
      <c r="KE11" s="222"/>
      <c r="KF11" s="222"/>
      <c r="KG11" s="222"/>
      <c r="KH11" s="222"/>
      <c r="KI11" s="222"/>
      <c r="KJ11" s="222"/>
      <c r="KK11" s="222"/>
      <c r="KL11" s="222"/>
      <c r="KM11" s="222"/>
      <c r="KN11" s="222"/>
      <c r="KO11" s="222"/>
      <c r="KP11" s="222"/>
      <c r="KQ11" s="222"/>
      <c r="KR11" s="222"/>
      <c r="KS11" s="222"/>
      <c r="KT11" s="222"/>
      <c r="KU11" s="222"/>
      <c r="KV11" s="222"/>
      <c r="KW11" s="222"/>
      <c r="KX11" s="222"/>
      <c r="KY11" s="222"/>
      <c r="KZ11" s="222"/>
      <c r="LA11" s="222"/>
      <c r="LB11" s="222"/>
      <c r="LC11" s="222"/>
      <c r="LD11" s="222"/>
      <c r="LE11" s="293"/>
      <c r="LF11" s="292"/>
      <c r="LG11" s="222"/>
      <c r="LH11" s="222"/>
      <c r="LI11" s="222"/>
      <c r="LJ11" s="222"/>
      <c r="LK11" s="222"/>
      <c r="LL11" s="222"/>
      <c r="LM11" s="222"/>
      <c r="LN11" s="222"/>
      <c r="LO11" s="222"/>
      <c r="LP11" s="222"/>
      <c r="LQ11" s="222"/>
      <c r="LR11" s="222"/>
      <c r="LS11" s="222"/>
      <c r="LT11" s="222"/>
      <c r="LU11" s="66" t="s">
        <v>1</v>
      </c>
      <c r="LV11" s="66" t="s">
        <v>1</v>
      </c>
      <c r="LW11" s="66" t="s">
        <v>1</v>
      </c>
      <c r="LX11" s="66" t="s">
        <v>1</v>
      </c>
      <c r="LY11" s="66" t="s">
        <v>1</v>
      </c>
      <c r="LZ11" s="222"/>
      <c r="MA11" s="222"/>
      <c r="MB11" s="66" t="s">
        <v>1</v>
      </c>
      <c r="MC11" s="66" t="s">
        <v>1</v>
      </c>
      <c r="MD11" s="66" t="s">
        <v>1</v>
      </c>
      <c r="ME11" s="66" t="s">
        <v>1</v>
      </c>
      <c r="MF11" s="66" t="s">
        <v>1</v>
      </c>
      <c r="MG11" s="293"/>
      <c r="MH11" s="292"/>
      <c r="MI11" s="66" t="s">
        <v>1</v>
      </c>
      <c r="MJ11" s="66" t="s">
        <v>1</v>
      </c>
      <c r="MK11" s="66" t="s">
        <v>1</v>
      </c>
      <c r="ML11" s="66" t="s">
        <v>1</v>
      </c>
      <c r="MM11" s="66" t="s">
        <v>1</v>
      </c>
      <c r="MN11" s="222"/>
      <c r="MO11" s="222"/>
      <c r="MP11" s="222"/>
      <c r="MQ11" s="222"/>
      <c r="MR11" s="222"/>
      <c r="MS11" s="222"/>
      <c r="MT11" s="222"/>
      <c r="MU11" s="222"/>
      <c r="MV11" s="222"/>
      <c r="MW11" s="222"/>
      <c r="MX11" s="222"/>
      <c r="MY11" s="222"/>
      <c r="MZ11" s="222"/>
      <c r="NA11" s="222"/>
      <c r="NB11" s="222"/>
      <c r="NC11" s="222"/>
      <c r="ND11" s="222"/>
      <c r="NE11" s="222"/>
      <c r="NF11" s="222"/>
      <c r="NG11" s="222"/>
      <c r="NH11" s="222"/>
      <c r="NI11" s="222"/>
      <c r="NJ11" s="222"/>
      <c r="NK11" s="222"/>
      <c r="NL11" s="293"/>
    </row>
    <row r="12" spans="1:392" ht="15" hidden="1" customHeight="1">
      <c r="B12" s="278" t="s">
        <v>34</v>
      </c>
      <c r="C12" s="278" t="s">
        <v>30</v>
      </c>
      <c r="D12" s="278" t="s">
        <v>122</v>
      </c>
      <c r="E12" s="37">
        <v>0</v>
      </c>
      <c r="F12" s="29">
        <v>15</v>
      </c>
      <c r="G12" s="29">
        <v>3</v>
      </c>
      <c r="H12" s="29">
        <f t="shared" si="12"/>
        <v>15</v>
      </c>
      <c r="I12" s="30">
        <f t="shared" si="13"/>
        <v>3</v>
      </c>
      <c r="J12" s="30">
        <f t="shared" si="14"/>
        <v>0</v>
      </c>
      <c r="K12" s="71">
        <f t="shared" si="15"/>
        <v>0</v>
      </c>
      <c r="L12" s="147"/>
      <c r="M12" s="8"/>
      <c r="N12" s="8"/>
      <c r="O12" s="8"/>
      <c r="P12" s="7"/>
      <c r="Q12" s="7"/>
      <c r="R12" s="8"/>
      <c r="S12" s="8"/>
      <c r="T12" s="8"/>
      <c r="U12" s="8"/>
      <c r="V12" s="8"/>
      <c r="W12" s="7"/>
      <c r="X12" s="7"/>
      <c r="Y12" s="8"/>
      <c r="Z12" s="8"/>
      <c r="AA12" s="8"/>
      <c r="AB12" s="8"/>
      <c r="AC12" s="69"/>
      <c r="AD12" s="7"/>
      <c r="AE12" s="7"/>
      <c r="AF12" s="8"/>
      <c r="AG12" s="8"/>
      <c r="AH12" s="8"/>
      <c r="AI12" s="8"/>
      <c r="AJ12" s="8"/>
      <c r="AK12" s="7"/>
      <c r="AL12" s="7"/>
      <c r="AM12" s="8"/>
      <c r="AN12" s="8"/>
      <c r="AO12" s="148"/>
      <c r="AP12" s="300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69"/>
      <c r="BK12" s="222"/>
      <c r="BL12" s="222"/>
      <c r="BM12" s="222"/>
      <c r="BN12" s="222"/>
      <c r="BO12" s="222"/>
      <c r="BP12" s="222"/>
      <c r="BQ12" s="222"/>
      <c r="BR12" s="222"/>
      <c r="BS12" s="222"/>
      <c r="BT12" s="148"/>
      <c r="BU12" s="29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69"/>
      <c r="CO12" s="222"/>
      <c r="CP12" s="222"/>
      <c r="CQ12" s="222"/>
      <c r="CR12" s="222"/>
      <c r="CS12" s="222"/>
      <c r="CT12" s="222"/>
      <c r="CU12" s="222"/>
      <c r="CV12" s="222"/>
      <c r="CW12" s="222"/>
      <c r="CX12" s="293"/>
      <c r="CY12" s="292"/>
      <c r="CZ12" s="222"/>
      <c r="DA12" s="222"/>
      <c r="DB12" s="222"/>
      <c r="DC12" s="222"/>
      <c r="DD12" s="222"/>
      <c r="DE12" s="222"/>
      <c r="DF12" s="222"/>
      <c r="DG12" s="222"/>
      <c r="DH12" s="222"/>
      <c r="DI12" s="222"/>
      <c r="DJ12" s="222"/>
      <c r="DK12" s="222"/>
      <c r="DL12" s="222"/>
      <c r="DM12" s="222"/>
      <c r="DN12" s="69"/>
      <c r="DO12" s="222"/>
      <c r="DP12" s="222"/>
      <c r="DQ12" s="222"/>
      <c r="DR12" s="222"/>
      <c r="DS12" s="222"/>
      <c r="DT12" s="222"/>
      <c r="DU12" s="222"/>
      <c r="DV12" s="222"/>
      <c r="DW12" s="222"/>
      <c r="DX12" s="222"/>
      <c r="DY12" s="222"/>
      <c r="DZ12" s="222"/>
      <c r="EA12" s="222"/>
      <c r="EB12" s="222"/>
      <c r="EC12" s="293"/>
      <c r="ED12" s="292"/>
      <c r="EE12" s="222"/>
      <c r="EF12" s="222"/>
      <c r="EG12" s="222"/>
      <c r="EH12" s="222"/>
      <c r="EI12" s="222"/>
      <c r="EJ12" s="222"/>
      <c r="EK12" s="222"/>
      <c r="EL12" s="222"/>
      <c r="EM12" s="222"/>
      <c r="EN12" s="222"/>
      <c r="EO12" s="222"/>
      <c r="EP12" s="222"/>
      <c r="EQ12" s="222"/>
      <c r="ER12" s="69"/>
      <c r="ES12" s="222"/>
      <c r="ET12" s="222"/>
      <c r="EU12" s="222"/>
      <c r="EV12" s="222"/>
      <c r="EW12" s="222"/>
      <c r="EX12" s="222"/>
      <c r="EY12" s="222"/>
      <c r="EZ12" s="222"/>
      <c r="FA12" s="222"/>
      <c r="FB12" s="222"/>
      <c r="FC12" s="222"/>
      <c r="FD12" s="222"/>
      <c r="FE12" s="222"/>
      <c r="FF12" s="222"/>
      <c r="FG12" s="222"/>
      <c r="FH12" s="293"/>
      <c r="FI12" s="292"/>
      <c r="FJ12" s="222"/>
      <c r="FK12" s="222"/>
      <c r="FL12" s="222"/>
      <c r="FM12" s="222"/>
      <c r="FN12" s="222"/>
      <c r="FO12" s="222"/>
      <c r="FP12" s="222"/>
      <c r="FQ12" s="222"/>
      <c r="FR12" s="222"/>
      <c r="FS12" s="222"/>
      <c r="FT12" s="222"/>
      <c r="FU12" s="222"/>
      <c r="FV12" s="222"/>
      <c r="FW12" s="222"/>
      <c r="FX12" s="222"/>
      <c r="FY12" s="222"/>
      <c r="FZ12" s="69"/>
      <c r="GA12" s="69"/>
      <c r="GB12" s="222"/>
      <c r="GC12" s="222"/>
      <c r="GD12" s="222"/>
      <c r="GE12" s="222"/>
      <c r="GF12" s="222"/>
      <c r="GG12" s="222"/>
      <c r="GH12" s="222"/>
      <c r="GI12" s="222"/>
      <c r="GJ12" s="222"/>
      <c r="GK12" s="222"/>
      <c r="GL12" s="293"/>
      <c r="GM12" s="292"/>
      <c r="GN12" s="222"/>
      <c r="GO12" s="222"/>
      <c r="GP12" s="222"/>
      <c r="GQ12" s="222"/>
      <c r="GR12" s="222"/>
      <c r="GS12" s="222"/>
      <c r="GT12" s="222"/>
      <c r="GU12" s="222"/>
      <c r="GV12" s="222"/>
      <c r="GW12" s="222"/>
      <c r="GX12" s="222"/>
      <c r="GY12" s="222"/>
      <c r="GZ12" s="222"/>
      <c r="HA12" s="222"/>
      <c r="HB12" s="222"/>
      <c r="HC12" s="222"/>
      <c r="HD12" s="222"/>
      <c r="HE12" s="222"/>
      <c r="HF12" s="222"/>
      <c r="HG12" s="222"/>
      <c r="HH12" s="222"/>
      <c r="HI12" s="222"/>
      <c r="HJ12" s="222"/>
      <c r="HK12" s="222"/>
      <c r="HL12" s="222"/>
      <c r="HM12" s="222"/>
      <c r="HN12" s="222"/>
      <c r="HO12" s="222"/>
      <c r="HP12" s="222"/>
      <c r="HQ12" s="303"/>
      <c r="HR12" s="292"/>
      <c r="HS12" s="222"/>
      <c r="HT12" s="222"/>
      <c r="HU12" s="222"/>
      <c r="HV12" s="222"/>
      <c r="HW12" s="222"/>
      <c r="HX12" s="222"/>
      <c r="HY12" s="222"/>
      <c r="HZ12" s="222"/>
      <c r="IA12" s="222"/>
      <c r="IB12" s="222"/>
      <c r="IC12" s="222"/>
      <c r="ID12" s="222"/>
      <c r="IE12" s="222"/>
      <c r="IF12" s="222"/>
      <c r="IG12" s="222"/>
      <c r="IH12" s="222"/>
      <c r="II12" s="222"/>
      <c r="IJ12" s="222"/>
      <c r="IK12" s="222"/>
      <c r="IL12" s="222"/>
      <c r="IM12" s="222"/>
      <c r="IN12" s="222"/>
      <c r="IO12" s="222"/>
      <c r="IP12" s="222"/>
      <c r="IQ12" s="222"/>
      <c r="IR12" s="222"/>
      <c r="IS12" s="222"/>
      <c r="IT12" s="222"/>
      <c r="IU12" s="293"/>
      <c r="IV12" s="292"/>
      <c r="IW12" s="222"/>
      <c r="IX12" s="222"/>
      <c r="IY12" s="222"/>
      <c r="IZ12" s="222"/>
      <c r="JA12" s="222"/>
      <c r="JB12" s="222"/>
      <c r="JC12" s="69"/>
      <c r="JD12" s="222"/>
      <c r="JE12" s="222"/>
      <c r="JF12" s="222"/>
      <c r="JG12" s="222"/>
      <c r="JH12" s="222"/>
      <c r="JI12" s="222"/>
      <c r="JJ12" s="222"/>
      <c r="JK12" s="222"/>
      <c r="JL12" s="222"/>
      <c r="JM12" s="222"/>
      <c r="JN12" s="222"/>
      <c r="JO12" s="222"/>
      <c r="JP12" s="222"/>
      <c r="JQ12" s="222"/>
      <c r="JR12" s="222"/>
      <c r="JS12" s="222"/>
      <c r="JT12" s="69"/>
      <c r="JU12" s="222"/>
      <c r="JV12" s="222"/>
      <c r="JW12" s="222"/>
      <c r="JX12" s="222"/>
      <c r="JY12" s="222"/>
      <c r="JZ12" s="293"/>
      <c r="KA12" s="300"/>
      <c r="KB12" s="222"/>
      <c r="KC12" s="222"/>
      <c r="KD12" s="222"/>
      <c r="KE12" s="222"/>
      <c r="KF12" s="222"/>
      <c r="KG12" s="222"/>
      <c r="KH12" s="222"/>
      <c r="KI12" s="222"/>
      <c r="KJ12" s="222"/>
      <c r="KK12" s="222"/>
      <c r="KL12" s="222"/>
      <c r="KM12" s="222"/>
      <c r="KN12" s="222"/>
      <c r="KO12" s="222"/>
      <c r="KP12" s="222"/>
      <c r="KQ12" s="222"/>
      <c r="KR12" s="222"/>
      <c r="KS12" s="222"/>
      <c r="KT12" s="222"/>
      <c r="KU12" s="222"/>
      <c r="KV12" s="222"/>
      <c r="KW12" s="222"/>
      <c r="KX12" s="222"/>
      <c r="KY12" s="222"/>
      <c r="KZ12" s="222"/>
      <c r="LA12" s="222"/>
      <c r="LB12" s="222"/>
      <c r="LC12" s="222"/>
      <c r="LD12" s="222"/>
      <c r="LE12" s="293"/>
      <c r="LF12" s="292"/>
      <c r="LG12" s="222"/>
      <c r="LH12" s="222"/>
      <c r="LI12" s="222"/>
      <c r="LJ12" s="222"/>
      <c r="LK12" s="222"/>
      <c r="LL12" s="222"/>
      <c r="LM12" s="222"/>
      <c r="LN12" s="222"/>
      <c r="LO12" s="222"/>
      <c r="LP12" s="222"/>
      <c r="LQ12" s="222"/>
      <c r="LR12" s="222"/>
      <c r="LS12" s="222"/>
      <c r="LT12" s="222"/>
      <c r="LU12" s="222"/>
      <c r="LV12" s="222"/>
      <c r="LW12" s="222"/>
      <c r="LX12" s="222"/>
      <c r="LY12" s="222"/>
      <c r="LZ12" s="222"/>
      <c r="MA12" s="222"/>
      <c r="MB12" s="222"/>
      <c r="MC12" s="222"/>
      <c r="MD12" s="222"/>
      <c r="ME12" s="222"/>
      <c r="MF12" s="222"/>
      <c r="MG12" s="293"/>
      <c r="MH12" s="292"/>
      <c r="MI12" s="222"/>
      <c r="MJ12" s="222"/>
      <c r="MK12" s="222"/>
      <c r="ML12" s="222"/>
      <c r="MM12" s="222"/>
      <c r="MN12" s="222"/>
      <c r="MO12" s="222"/>
      <c r="MP12" s="222"/>
      <c r="MQ12" s="222"/>
      <c r="MR12" s="222"/>
      <c r="MS12" s="222"/>
      <c r="MT12" s="222"/>
      <c r="MU12" s="222"/>
      <c r="MV12" s="222"/>
      <c r="MW12" s="222"/>
      <c r="MX12" s="222"/>
      <c r="MY12" s="222"/>
      <c r="MZ12" s="222"/>
      <c r="NA12" s="222"/>
      <c r="NB12" s="222"/>
      <c r="NC12" s="222"/>
      <c r="ND12" s="222"/>
      <c r="NE12" s="222"/>
      <c r="NF12" s="222"/>
      <c r="NG12" s="222"/>
      <c r="NH12" s="222"/>
      <c r="NI12" s="222"/>
      <c r="NJ12" s="222"/>
      <c r="NK12" s="222"/>
      <c r="NL12" s="293"/>
    </row>
    <row r="13" spans="1:392" customFormat="1" ht="15.75" hidden="1" customHeight="1">
      <c r="A13" s="1"/>
      <c r="B13" s="278" t="s">
        <v>40</v>
      </c>
      <c r="C13" s="278" t="s">
        <v>30</v>
      </c>
      <c r="D13" s="278" t="s">
        <v>122</v>
      </c>
      <c r="E13" s="37">
        <v>0</v>
      </c>
      <c r="F13" s="29">
        <v>15</v>
      </c>
      <c r="G13" s="29">
        <v>3</v>
      </c>
      <c r="H13" s="29">
        <f t="shared" si="12"/>
        <v>15</v>
      </c>
      <c r="I13" s="30">
        <f t="shared" si="13"/>
        <v>3</v>
      </c>
      <c r="J13" s="30">
        <f t="shared" si="14"/>
        <v>0</v>
      </c>
      <c r="K13" s="71">
        <f t="shared" si="15"/>
        <v>0</v>
      </c>
      <c r="L13" s="246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247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245"/>
      <c r="AP13" s="301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247"/>
      <c r="BK13" s="32"/>
      <c r="BL13" s="32"/>
      <c r="BM13" s="32"/>
      <c r="BN13" s="32"/>
      <c r="BO13" s="32"/>
      <c r="BP13" s="32"/>
      <c r="BQ13" s="32"/>
      <c r="BR13" s="32"/>
      <c r="BS13" s="32"/>
      <c r="BT13" s="245"/>
      <c r="BU13" s="246"/>
      <c r="BV13" s="245"/>
      <c r="BW13" s="246"/>
      <c r="BX13" s="245"/>
      <c r="BY13" s="246"/>
      <c r="BZ13" s="245"/>
      <c r="CA13" s="246"/>
      <c r="CB13" s="245"/>
      <c r="CC13" s="246"/>
      <c r="CD13" s="304"/>
      <c r="CE13" s="301"/>
      <c r="CF13" s="245"/>
      <c r="CG13" s="246"/>
      <c r="CH13" s="245"/>
      <c r="CI13" s="301"/>
      <c r="CJ13" s="245"/>
      <c r="CK13" s="246"/>
      <c r="CL13" s="245"/>
      <c r="CM13" s="246"/>
      <c r="CN13" s="245"/>
      <c r="CO13" s="246"/>
      <c r="CP13" s="245"/>
      <c r="CQ13" s="246"/>
      <c r="CR13" s="245"/>
      <c r="CS13" s="246"/>
      <c r="CT13" s="245"/>
      <c r="CU13" s="246"/>
      <c r="CV13" s="245"/>
      <c r="CW13" s="246"/>
      <c r="CX13" s="304"/>
      <c r="CY13" s="301"/>
      <c r="CZ13" s="245"/>
      <c r="DA13" s="246"/>
      <c r="DB13" s="245"/>
      <c r="DC13" s="301"/>
      <c r="DD13" s="245"/>
      <c r="DE13" s="246"/>
      <c r="DF13" s="245"/>
      <c r="DG13" s="246"/>
      <c r="DH13" s="245"/>
      <c r="DI13" s="246"/>
      <c r="DJ13" s="245"/>
      <c r="DK13" s="246"/>
      <c r="DL13" s="245"/>
      <c r="DM13" s="246"/>
      <c r="DN13" s="245"/>
      <c r="DO13" s="246"/>
      <c r="DP13" s="245"/>
      <c r="DQ13" s="246"/>
      <c r="DR13" s="304"/>
      <c r="DS13" s="301"/>
      <c r="DT13" s="245"/>
      <c r="DU13" s="246"/>
      <c r="DV13" s="245"/>
      <c r="DW13" s="301"/>
      <c r="DX13" s="245"/>
      <c r="DY13" s="246"/>
      <c r="DZ13" s="245"/>
      <c r="EA13" s="246"/>
      <c r="EB13" s="245"/>
      <c r="EC13" s="246"/>
      <c r="ED13" s="245"/>
      <c r="EE13" s="246"/>
      <c r="EF13" s="245"/>
      <c r="EG13" s="246"/>
      <c r="EH13" s="245"/>
      <c r="EI13" s="246"/>
      <c r="EJ13" s="245"/>
      <c r="EK13" s="246"/>
      <c r="EL13" s="304"/>
      <c r="EM13" s="301"/>
      <c r="EN13" s="245"/>
      <c r="EO13" s="246"/>
      <c r="EP13" s="245"/>
      <c r="EQ13" s="301"/>
      <c r="ER13" s="245"/>
      <c r="ES13" s="246"/>
      <c r="ET13" s="245"/>
      <c r="EU13" s="246"/>
      <c r="EV13" s="245"/>
      <c r="EW13" s="246"/>
      <c r="EX13" s="245"/>
      <c r="EY13" s="246"/>
      <c r="EZ13" s="245"/>
      <c r="FA13" s="246"/>
      <c r="FB13" s="245"/>
      <c r="FC13" s="246"/>
      <c r="FD13" s="245"/>
      <c r="FE13" s="246"/>
      <c r="FF13" s="304"/>
      <c r="FG13" s="301"/>
      <c r="FH13" s="245"/>
      <c r="FI13" s="246"/>
      <c r="FJ13" s="245"/>
      <c r="FK13" s="301"/>
      <c r="FL13" s="245"/>
      <c r="FM13" s="246"/>
      <c r="FN13" s="245"/>
      <c r="FO13" s="246"/>
      <c r="FP13" s="245"/>
      <c r="FQ13" s="246"/>
      <c r="FR13" s="245"/>
      <c r="FS13" s="246"/>
      <c r="FT13" s="245"/>
      <c r="FU13" s="246"/>
      <c r="FV13" s="245"/>
      <c r="FW13" s="246"/>
      <c r="FX13" s="245"/>
      <c r="FY13" s="246"/>
      <c r="FZ13" s="304"/>
      <c r="GA13" s="301"/>
      <c r="GB13" s="245"/>
      <c r="GC13" s="246"/>
      <c r="GD13" s="245"/>
      <c r="GE13" s="301"/>
      <c r="GF13" s="245"/>
      <c r="GG13" s="246"/>
      <c r="GH13" s="245"/>
      <c r="GI13" s="246"/>
      <c r="GJ13" s="245"/>
      <c r="GK13" s="246"/>
      <c r="GL13" s="245"/>
      <c r="GM13" s="246"/>
      <c r="GN13" s="245"/>
      <c r="GO13" s="246"/>
      <c r="GP13" s="245"/>
      <c r="GQ13" s="246"/>
      <c r="GR13" s="245"/>
      <c r="GS13" s="246"/>
      <c r="GT13" s="304"/>
      <c r="GU13" s="301"/>
      <c r="GV13" s="245"/>
      <c r="GW13" s="246"/>
      <c r="GX13" s="245"/>
      <c r="GY13" s="301"/>
      <c r="GZ13" s="245"/>
      <c r="HA13" s="246"/>
      <c r="HB13" s="245"/>
      <c r="HC13" s="246"/>
      <c r="HD13" s="245"/>
      <c r="HE13" s="246"/>
      <c r="HF13" s="245"/>
      <c r="HG13" s="246"/>
      <c r="HH13" s="245"/>
      <c r="HI13" s="246"/>
      <c r="HJ13" s="245"/>
      <c r="HK13" s="246"/>
      <c r="HL13" s="245"/>
      <c r="HM13" s="246"/>
      <c r="HN13" s="304"/>
      <c r="HO13" s="301"/>
      <c r="HP13" s="245"/>
      <c r="HQ13" s="246"/>
      <c r="HR13" s="245"/>
      <c r="HS13" s="301"/>
      <c r="HT13" s="245"/>
      <c r="HU13" s="246"/>
      <c r="HV13" s="245"/>
      <c r="HW13" s="246"/>
      <c r="HX13" s="245"/>
      <c r="HY13" s="246"/>
      <c r="HZ13" s="245"/>
      <c r="IA13" s="246"/>
      <c r="IB13" s="245"/>
      <c r="IC13" s="246"/>
      <c r="ID13" s="245"/>
      <c r="IE13" s="246"/>
      <c r="IF13" s="245"/>
      <c r="IG13" s="246"/>
      <c r="IH13" s="304"/>
      <c r="II13" s="301"/>
      <c r="IJ13" s="245"/>
      <c r="IK13" s="246"/>
      <c r="IL13" s="245"/>
      <c r="IM13" s="301"/>
      <c r="IN13" s="245"/>
      <c r="IO13" s="246"/>
      <c r="IP13" s="245"/>
      <c r="IQ13" s="246"/>
      <c r="IR13" s="245"/>
      <c r="IS13" s="246"/>
      <c r="IT13" s="245"/>
      <c r="IU13" s="246"/>
      <c r="IV13" s="245"/>
      <c r="IW13" s="246"/>
      <c r="IX13" s="245"/>
      <c r="IY13" s="246"/>
      <c r="IZ13" s="245"/>
      <c r="JA13" s="246"/>
      <c r="JB13" s="304"/>
      <c r="JC13" s="301"/>
      <c r="JD13" s="245"/>
      <c r="JE13" s="246"/>
      <c r="JF13" s="245"/>
      <c r="JG13" s="301"/>
      <c r="JH13" s="245"/>
      <c r="JI13" s="246"/>
      <c r="JJ13" s="245"/>
      <c r="JK13" s="246"/>
      <c r="JL13" s="245"/>
      <c r="JM13" s="245"/>
      <c r="JN13" s="245"/>
      <c r="JO13" s="246"/>
      <c r="JP13" s="245"/>
      <c r="JQ13" s="246"/>
      <c r="JR13" s="245"/>
      <c r="JS13" s="246"/>
      <c r="JT13" s="246"/>
      <c r="JU13" s="246"/>
      <c r="JV13" s="304"/>
      <c r="JW13" s="301"/>
      <c r="JX13" s="245"/>
      <c r="JY13" s="246"/>
      <c r="JZ13" s="245"/>
      <c r="KA13" s="301"/>
      <c r="KB13" s="245"/>
      <c r="KC13" s="246"/>
      <c r="KD13" s="245"/>
      <c r="KE13" s="246"/>
      <c r="KF13" s="245"/>
      <c r="KG13" s="246"/>
      <c r="KH13" s="245"/>
      <c r="KI13" s="246"/>
      <c r="KJ13" s="245"/>
      <c r="KK13" s="246"/>
      <c r="KL13" s="245"/>
      <c r="KM13" s="246"/>
      <c r="KN13" s="245"/>
      <c r="KO13" s="246"/>
      <c r="KP13" s="304"/>
      <c r="KQ13" s="301"/>
      <c r="KR13" s="245"/>
      <c r="KS13" s="246"/>
      <c r="KT13" s="245"/>
      <c r="KU13" s="301"/>
      <c r="KV13" s="245"/>
      <c r="KW13" s="246"/>
      <c r="KX13" s="245"/>
      <c r="KY13" s="246"/>
      <c r="KZ13" s="245"/>
      <c r="LA13" s="246"/>
      <c r="LB13" s="245"/>
      <c r="LC13" s="246"/>
      <c r="LD13" s="245"/>
      <c r="LE13" s="246"/>
      <c r="LF13" s="245"/>
      <c r="LG13" s="246"/>
      <c r="LH13" s="245"/>
      <c r="LI13" s="246"/>
      <c r="LJ13" s="304"/>
      <c r="LK13" s="301"/>
      <c r="LL13" s="245"/>
      <c r="LM13" s="246"/>
      <c r="LN13" s="245"/>
      <c r="LO13" s="301"/>
      <c r="LP13" s="245"/>
      <c r="LQ13" s="246"/>
      <c r="LR13" s="245"/>
      <c r="LS13" s="246"/>
      <c r="LT13" s="245"/>
      <c r="LU13" s="246"/>
      <c r="LV13" s="245"/>
      <c r="LW13" s="246"/>
      <c r="LX13" s="245"/>
      <c r="LY13" s="246"/>
      <c r="LZ13" s="245"/>
      <c r="MA13" s="246"/>
      <c r="MB13" s="245"/>
      <c r="MC13" s="246"/>
      <c r="MD13" s="304"/>
      <c r="ME13" s="301"/>
      <c r="MF13" s="245"/>
      <c r="MG13" s="246"/>
      <c r="MH13" s="245"/>
      <c r="MI13" s="301"/>
      <c r="MJ13" s="245"/>
      <c r="MK13" s="246"/>
      <c r="ML13" s="245"/>
      <c r="MM13" s="246"/>
      <c r="MN13" s="245"/>
      <c r="MO13" s="246"/>
      <c r="MP13" s="245"/>
      <c r="MQ13" s="246"/>
      <c r="MR13" s="245"/>
      <c r="MS13" s="246"/>
      <c r="MT13" s="245"/>
      <c r="MU13" s="246"/>
      <c r="MV13" s="245"/>
      <c r="MW13" s="246"/>
      <c r="MX13" s="304"/>
      <c r="MY13" s="301"/>
      <c r="MZ13" s="245"/>
      <c r="NA13" s="246"/>
      <c r="NB13" s="245"/>
      <c r="NC13" s="301"/>
      <c r="ND13" s="245"/>
      <c r="NE13" s="246"/>
      <c r="NF13" s="245"/>
      <c r="NG13" s="246"/>
      <c r="NH13" s="245"/>
      <c r="NI13" s="246"/>
      <c r="NJ13" s="245"/>
      <c r="NK13" s="246"/>
      <c r="NL13" s="245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</row>
    <row r="14" spans="1:392" customFormat="1" ht="15.6" hidden="1" customHeight="1">
      <c r="A14" s="1"/>
      <c r="B14" s="278" t="s">
        <v>37</v>
      </c>
      <c r="C14" s="278" t="s">
        <v>30</v>
      </c>
      <c r="D14" s="278" t="s">
        <v>38</v>
      </c>
      <c r="E14" s="37">
        <v>0</v>
      </c>
      <c r="F14" s="29">
        <v>15</v>
      </c>
      <c r="G14" s="29">
        <v>3</v>
      </c>
      <c r="H14" s="29">
        <f t="shared" si="12"/>
        <v>15</v>
      </c>
      <c r="I14" s="30">
        <f t="shared" si="13"/>
        <v>3</v>
      </c>
      <c r="J14" s="30">
        <f t="shared" si="14"/>
        <v>0</v>
      </c>
      <c r="K14" s="71">
        <f t="shared" si="15"/>
        <v>0</v>
      </c>
      <c r="L14" s="147"/>
      <c r="M14" s="8"/>
      <c r="N14" s="8"/>
      <c r="O14" s="8"/>
      <c r="P14" s="7"/>
      <c r="Q14" s="7"/>
      <c r="R14" s="8"/>
      <c r="S14" s="8"/>
      <c r="T14" s="8"/>
      <c r="U14" s="8"/>
      <c r="V14" s="8"/>
      <c r="W14" s="7"/>
      <c r="X14" s="7"/>
      <c r="Y14" s="8"/>
      <c r="Z14" s="8"/>
      <c r="AA14" s="8"/>
      <c r="AB14" s="8"/>
      <c r="AC14" s="69"/>
      <c r="AD14" s="7"/>
      <c r="AE14" s="7"/>
      <c r="AF14" s="8"/>
      <c r="AG14" s="8"/>
      <c r="AH14" s="8"/>
      <c r="AI14" s="8"/>
      <c r="AJ14" s="8"/>
      <c r="AK14" s="7"/>
      <c r="AL14" s="7"/>
      <c r="AM14" s="8"/>
      <c r="AN14" s="8"/>
      <c r="AO14" s="148"/>
      <c r="AP14" s="300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247"/>
      <c r="CO14" s="32"/>
      <c r="CP14" s="32"/>
      <c r="CQ14" s="32"/>
      <c r="CR14" s="32"/>
      <c r="CS14" s="32"/>
      <c r="CT14" s="32"/>
      <c r="CU14" s="32"/>
      <c r="CV14" s="32"/>
      <c r="CW14" s="32"/>
      <c r="CX14" s="245"/>
      <c r="CY14" s="246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245"/>
      <c r="ED14" s="246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247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245"/>
      <c r="FI14" s="246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247"/>
      <c r="GA14" s="247"/>
      <c r="GB14" s="247"/>
      <c r="GC14" s="32"/>
      <c r="GD14" s="32"/>
      <c r="GE14" s="32"/>
      <c r="GF14" s="32"/>
      <c r="GG14" s="32"/>
      <c r="GH14" s="32"/>
      <c r="GI14" s="32"/>
      <c r="GJ14" s="32"/>
      <c r="GK14" s="32"/>
      <c r="GL14" s="245"/>
      <c r="GM14" s="246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04"/>
      <c r="HR14" s="301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245"/>
      <c r="IV14" s="246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245"/>
      <c r="KA14" s="301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245"/>
      <c r="LF14" s="246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245"/>
      <c r="MH14" s="246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245"/>
    </row>
    <row r="15" spans="1:392" customFormat="1" ht="15.75" customHeight="1">
      <c r="A15" s="1"/>
      <c r="B15" s="29" t="s">
        <v>81</v>
      </c>
      <c r="C15" s="29" t="s">
        <v>30</v>
      </c>
      <c r="D15" s="29" t="s">
        <v>123</v>
      </c>
      <c r="E15" s="37">
        <v>0</v>
      </c>
      <c r="F15" s="29">
        <v>15</v>
      </c>
      <c r="G15" s="29">
        <v>3</v>
      </c>
      <c r="H15" s="29">
        <f t="shared" si="12"/>
        <v>1</v>
      </c>
      <c r="I15" s="30">
        <f t="shared" si="13"/>
        <v>0</v>
      </c>
      <c r="J15" s="30">
        <f t="shared" si="14"/>
        <v>0</v>
      </c>
      <c r="K15" s="71">
        <f t="shared" si="15"/>
        <v>4</v>
      </c>
      <c r="L15" s="147"/>
      <c r="M15" s="8"/>
      <c r="N15" s="8"/>
      <c r="O15" s="8"/>
      <c r="P15" s="7"/>
      <c r="Q15" s="7"/>
      <c r="R15" s="8"/>
      <c r="S15" s="8"/>
      <c r="T15" s="8"/>
      <c r="U15" s="8"/>
      <c r="V15" s="8"/>
      <c r="W15" s="7"/>
      <c r="X15" s="7"/>
      <c r="Y15" s="8"/>
      <c r="Z15" s="8"/>
      <c r="AA15" s="8"/>
      <c r="AB15" s="8"/>
      <c r="AC15" s="69"/>
      <c r="AD15" s="7"/>
      <c r="AE15" s="7"/>
      <c r="AF15" s="8"/>
      <c r="AG15" s="8"/>
      <c r="AH15" s="8"/>
      <c r="AI15" s="8"/>
      <c r="AJ15" s="8"/>
      <c r="AK15" s="7"/>
      <c r="AL15" s="7"/>
      <c r="AM15" s="8"/>
      <c r="AN15" s="8"/>
      <c r="AO15" s="148"/>
      <c r="AP15" s="300"/>
      <c r="AQ15" s="66" t="s">
        <v>3</v>
      </c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222"/>
      <c r="BC15" s="222"/>
      <c r="BD15" s="222"/>
      <c r="BE15" s="222"/>
      <c r="BF15" s="222"/>
      <c r="BG15" s="222"/>
      <c r="BH15" s="222"/>
      <c r="BI15" s="222"/>
      <c r="BJ15" s="69"/>
      <c r="BK15" s="222"/>
      <c r="BL15" s="222"/>
      <c r="BM15" s="222"/>
      <c r="BN15" s="222"/>
      <c r="BO15" s="222"/>
      <c r="BP15" s="222"/>
      <c r="BQ15" s="222"/>
      <c r="BR15" s="222"/>
      <c r="BS15" s="222"/>
      <c r="BT15" s="148"/>
      <c r="BU15" s="292"/>
      <c r="BV15" s="222"/>
      <c r="BW15" s="222"/>
      <c r="BX15" s="222"/>
      <c r="BY15" s="222"/>
      <c r="BZ15" s="222"/>
      <c r="CA15" s="222"/>
      <c r="CB15" s="222"/>
      <c r="CC15" s="222"/>
      <c r="CD15" s="222"/>
      <c r="CE15" s="222"/>
      <c r="CF15" s="222"/>
      <c r="CG15" s="222"/>
      <c r="CH15" s="222"/>
      <c r="CI15" s="222"/>
      <c r="CJ15" s="222"/>
      <c r="CK15" s="222"/>
      <c r="CL15" s="222"/>
      <c r="CM15" s="68" t="s">
        <v>7</v>
      </c>
      <c r="CN15" s="69"/>
      <c r="CO15" s="222"/>
      <c r="CP15" s="222"/>
      <c r="CQ15" s="68" t="s">
        <v>7</v>
      </c>
      <c r="CR15" s="68" t="s">
        <v>7</v>
      </c>
      <c r="CS15" s="68" t="s">
        <v>7</v>
      </c>
      <c r="CT15" s="222"/>
      <c r="CU15" s="222"/>
      <c r="CV15" s="222"/>
      <c r="CW15" s="222"/>
      <c r="CX15" s="293"/>
      <c r="CY15" s="292"/>
      <c r="CZ15" s="222"/>
      <c r="DA15" s="222"/>
      <c r="DB15" s="222"/>
      <c r="DC15" s="222"/>
      <c r="DD15" s="222"/>
      <c r="DE15" s="222"/>
      <c r="DF15" s="222"/>
      <c r="DG15" s="222"/>
      <c r="DH15" s="222"/>
      <c r="DI15" s="222"/>
      <c r="DJ15" s="222"/>
      <c r="DK15" s="222"/>
      <c r="DL15" s="222"/>
      <c r="DM15" s="222"/>
      <c r="DN15" s="69"/>
      <c r="DO15" s="222"/>
      <c r="DP15" s="222"/>
      <c r="DQ15" s="222"/>
      <c r="DR15" s="222"/>
      <c r="DS15" s="222"/>
      <c r="DT15" s="222"/>
      <c r="DU15" s="222"/>
      <c r="DV15" s="222"/>
      <c r="DW15" s="222"/>
      <c r="DX15" s="222"/>
      <c r="DY15" s="222"/>
      <c r="DZ15" s="222"/>
      <c r="EA15" s="222"/>
      <c r="EB15" s="222"/>
      <c r="EC15" s="293"/>
      <c r="ED15" s="292"/>
      <c r="EE15" s="222"/>
      <c r="EF15" s="222"/>
      <c r="EG15" s="222"/>
      <c r="EH15" s="222"/>
      <c r="EI15" s="222"/>
      <c r="EJ15" s="222"/>
      <c r="EK15" s="222"/>
      <c r="EL15" s="222"/>
      <c r="EM15" s="222"/>
      <c r="EN15" s="66" t="s">
        <v>1</v>
      </c>
      <c r="EO15" s="66" t="s">
        <v>1</v>
      </c>
      <c r="EP15" s="66" t="s">
        <v>1</v>
      </c>
      <c r="EQ15" s="66" t="s">
        <v>1</v>
      </c>
      <c r="ER15" s="69"/>
      <c r="ES15" s="222"/>
      <c r="ET15" s="222"/>
      <c r="EU15" s="222"/>
      <c r="EV15" s="222"/>
      <c r="EW15" s="222"/>
      <c r="EX15" s="222"/>
      <c r="EY15" s="222"/>
      <c r="EZ15" s="222"/>
      <c r="FA15" s="222"/>
      <c r="FB15" s="222"/>
      <c r="FC15" s="222"/>
      <c r="FD15" s="222"/>
      <c r="FE15" s="222"/>
      <c r="FF15" s="222"/>
      <c r="FG15" s="222"/>
      <c r="FH15" s="293"/>
      <c r="FI15" s="292"/>
      <c r="FJ15" s="222"/>
      <c r="FK15" s="222"/>
      <c r="FL15" s="222"/>
      <c r="FM15" s="222"/>
      <c r="FN15" s="222"/>
      <c r="FO15" s="222"/>
      <c r="FP15" s="222"/>
      <c r="FQ15" s="222"/>
      <c r="FR15" s="222"/>
      <c r="FS15" s="222"/>
      <c r="FT15" s="222"/>
      <c r="FU15" s="222"/>
      <c r="FV15" s="222"/>
      <c r="FW15" s="222"/>
      <c r="FX15" s="222"/>
      <c r="FY15" s="222"/>
      <c r="FZ15" s="69"/>
      <c r="GA15" s="69"/>
      <c r="GB15" s="222"/>
      <c r="GC15" s="222"/>
      <c r="GD15" s="222"/>
      <c r="GE15" s="222"/>
      <c r="GF15" s="222"/>
      <c r="GG15" s="222"/>
      <c r="GH15" s="222"/>
      <c r="GI15" s="222"/>
      <c r="GJ15" s="222"/>
      <c r="GK15" s="222"/>
      <c r="GL15" s="293"/>
      <c r="GM15" s="292"/>
      <c r="GN15" s="222"/>
      <c r="GO15" s="222"/>
      <c r="GP15" s="222"/>
      <c r="GQ15" s="222"/>
      <c r="GR15" s="222"/>
      <c r="GS15" s="222"/>
      <c r="GT15" s="222"/>
      <c r="GU15" s="222"/>
      <c r="GV15" s="222"/>
      <c r="GW15" s="222"/>
      <c r="GX15" s="222"/>
      <c r="GY15" s="222"/>
      <c r="GZ15" s="222"/>
      <c r="HA15" s="222"/>
      <c r="HB15" s="222"/>
      <c r="HC15" s="222"/>
      <c r="HD15" s="222"/>
      <c r="HE15" s="222"/>
      <c r="HF15" s="222"/>
      <c r="HG15" s="222"/>
      <c r="HH15" s="222"/>
      <c r="HI15" s="222"/>
      <c r="HJ15" s="222"/>
      <c r="HK15" s="222"/>
      <c r="HL15" s="222"/>
      <c r="HM15" s="222"/>
      <c r="HN15" s="222"/>
      <c r="HO15" s="222"/>
      <c r="HP15" s="222"/>
      <c r="HQ15" s="303"/>
      <c r="HR15" s="292"/>
      <c r="HS15" s="222"/>
      <c r="HT15" s="222"/>
      <c r="HU15" s="222"/>
      <c r="HV15" s="222"/>
      <c r="HW15" s="222"/>
      <c r="HX15" s="222"/>
      <c r="HY15" s="222"/>
      <c r="HZ15" s="222"/>
      <c r="IA15" s="222"/>
      <c r="IB15" s="222"/>
      <c r="IC15" s="222"/>
      <c r="ID15" s="222"/>
      <c r="IE15" s="222"/>
      <c r="IF15" s="222"/>
      <c r="IG15" s="222"/>
      <c r="IH15" s="222"/>
      <c r="II15" s="222"/>
      <c r="IJ15" s="222"/>
      <c r="IK15" s="222"/>
      <c r="IL15" s="222"/>
      <c r="IM15" s="222"/>
      <c r="IN15" s="222"/>
      <c r="IO15" s="222"/>
      <c r="IP15" s="222"/>
      <c r="IQ15" s="222"/>
      <c r="IR15" s="222"/>
      <c r="IS15" s="222"/>
      <c r="IT15" s="222"/>
      <c r="IU15" s="293"/>
      <c r="IV15" s="292"/>
      <c r="IW15" s="222"/>
      <c r="IX15" s="222"/>
      <c r="IY15" s="222"/>
      <c r="IZ15" s="222"/>
      <c r="JA15" s="222"/>
      <c r="JB15" s="222"/>
      <c r="JC15" s="69"/>
      <c r="JD15" s="222"/>
      <c r="JE15" s="222"/>
      <c r="JF15" s="222"/>
      <c r="JG15" s="222"/>
      <c r="JH15" s="222"/>
      <c r="JI15" s="222"/>
      <c r="JJ15" s="222"/>
      <c r="JK15" s="222"/>
      <c r="JL15" s="222"/>
      <c r="JM15" s="222"/>
      <c r="JN15" s="222"/>
      <c r="JO15" s="222"/>
      <c r="JP15" s="222"/>
      <c r="JQ15" s="222"/>
      <c r="JR15" s="222"/>
      <c r="JS15" s="222"/>
      <c r="JT15" s="69"/>
      <c r="JU15" s="66" t="s">
        <v>3</v>
      </c>
      <c r="JV15" s="222"/>
      <c r="JW15" s="222"/>
      <c r="JX15" s="222"/>
      <c r="JY15" s="222"/>
      <c r="JZ15" s="293"/>
      <c r="KA15" s="300"/>
      <c r="KB15" s="66" t="s">
        <v>3</v>
      </c>
      <c r="KC15" s="222"/>
      <c r="KD15" s="222"/>
      <c r="KE15" s="222"/>
      <c r="KF15" s="222"/>
      <c r="KG15" s="222"/>
      <c r="KH15" s="222"/>
      <c r="KI15" s="222"/>
      <c r="KJ15" s="222"/>
      <c r="KK15" s="222"/>
      <c r="KL15" s="222"/>
      <c r="KM15" s="222"/>
      <c r="KN15" s="222"/>
      <c r="KO15" s="222"/>
      <c r="KP15" s="222"/>
      <c r="KQ15" s="222"/>
      <c r="KR15" s="222"/>
      <c r="KS15" s="222"/>
      <c r="KT15" s="222"/>
      <c r="KU15" s="222"/>
      <c r="KV15" s="222"/>
      <c r="KW15" s="222"/>
      <c r="KX15" s="222"/>
      <c r="KY15" s="222"/>
      <c r="KZ15" s="222"/>
      <c r="LA15" s="222"/>
      <c r="LB15" s="222"/>
      <c r="LC15" s="222"/>
      <c r="LD15" s="222"/>
      <c r="LE15" s="293"/>
      <c r="LF15" s="292"/>
      <c r="LG15" s="222"/>
      <c r="LH15" s="222"/>
      <c r="LI15" s="222"/>
      <c r="LJ15" s="222"/>
      <c r="LK15" s="222"/>
      <c r="LL15" s="222"/>
      <c r="LM15" s="222"/>
      <c r="LN15" s="222"/>
      <c r="LO15" s="222"/>
      <c r="LP15" s="222"/>
      <c r="LQ15" s="222"/>
      <c r="LR15" s="222"/>
      <c r="LS15" s="222"/>
      <c r="LT15" s="222"/>
      <c r="LU15" s="66" t="s">
        <v>1</v>
      </c>
      <c r="LV15" s="66" t="s">
        <v>1</v>
      </c>
      <c r="LW15" s="66" t="s">
        <v>1</v>
      </c>
      <c r="LX15" s="66" t="s">
        <v>1</v>
      </c>
      <c r="LY15" s="66" t="s">
        <v>1</v>
      </c>
      <c r="LZ15" s="222"/>
      <c r="MA15" s="222"/>
      <c r="MB15" s="66" t="s">
        <v>1</v>
      </c>
      <c r="MC15" s="66" t="s">
        <v>1</v>
      </c>
      <c r="MD15" s="66" t="s">
        <v>1</v>
      </c>
      <c r="ME15" s="66" t="s">
        <v>1</v>
      </c>
      <c r="MF15" s="66" t="s">
        <v>1</v>
      </c>
      <c r="MG15" s="293"/>
      <c r="MH15" s="292"/>
      <c r="MI15" s="222"/>
      <c r="MJ15" s="222"/>
      <c r="MK15" s="222"/>
      <c r="ML15" s="222"/>
      <c r="MM15" s="222"/>
      <c r="MN15" s="222"/>
      <c r="MO15" s="222"/>
      <c r="MP15" s="222"/>
      <c r="MQ15" s="222"/>
      <c r="MR15" s="222"/>
      <c r="MS15" s="222"/>
      <c r="MT15" s="222"/>
      <c r="MU15" s="222"/>
      <c r="MV15" s="222"/>
      <c r="MW15" s="222"/>
      <c r="MX15" s="222"/>
      <c r="MY15" s="222"/>
      <c r="MZ15" s="222"/>
      <c r="NA15" s="222"/>
      <c r="NB15" s="222"/>
      <c r="NC15" s="222"/>
      <c r="ND15" s="222"/>
      <c r="NE15" s="222"/>
      <c r="NF15" s="222"/>
      <c r="NG15" s="222"/>
      <c r="NH15" s="222"/>
      <c r="NI15" s="222"/>
      <c r="NJ15" s="222"/>
      <c r="NK15" s="222"/>
      <c r="NL15" s="293"/>
    </row>
    <row r="16" spans="1:392" customFormat="1" ht="15.75" hidden="1" customHeight="1">
      <c r="A16" s="1"/>
      <c r="B16" s="278" t="s">
        <v>99</v>
      </c>
      <c r="C16" s="278" t="s">
        <v>30</v>
      </c>
      <c r="D16" s="278" t="s">
        <v>98</v>
      </c>
      <c r="E16" s="37">
        <v>0</v>
      </c>
      <c r="F16" s="29">
        <v>23</v>
      </c>
      <c r="G16" s="29">
        <v>0</v>
      </c>
      <c r="H16" s="29">
        <f t="shared" si="12"/>
        <v>23</v>
      </c>
      <c r="I16" s="30">
        <f t="shared" si="13"/>
        <v>0</v>
      </c>
      <c r="J16" s="30">
        <f t="shared" si="14"/>
        <v>0</v>
      </c>
      <c r="K16" s="71">
        <f t="shared" si="15"/>
        <v>0</v>
      </c>
      <c r="L16" s="246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247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245"/>
      <c r="AP16" s="301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247"/>
      <c r="BK16" s="32"/>
      <c r="BL16" s="32"/>
      <c r="BM16" s="32"/>
      <c r="BN16" s="32"/>
      <c r="BO16" s="32"/>
      <c r="BP16" s="32"/>
      <c r="BQ16" s="32"/>
      <c r="BR16" s="32"/>
      <c r="BS16" s="32"/>
      <c r="BT16" s="245"/>
      <c r="BU16" s="246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247"/>
      <c r="CO16" s="32"/>
      <c r="CP16" s="32"/>
      <c r="CQ16" s="32"/>
      <c r="CR16" s="32"/>
      <c r="CS16" s="32"/>
      <c r="CT16" s="32"/>
      <c r="CU16" s="32"/>
      <c r="CV16" s="32"/>
      <c r="CW16" s="32"/>
      <c r="CX16" s="245"/>
      <c r="CY16" s="246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247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245"/>
      <c r="ED16" s="246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247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245"/>
      <c r="FI16" s="246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247"/>
      <c r="GA16" s="247"/>
      <c r="GB16" s="247"/>
      <c r="GC16" s="32"/>
      <c r="GD16" s="32"/>
      <c r="GE16" s="32"/>
      <c r="GF16" s="32"/>
      <c r="GG16" s="32"/>
      <c r="GH16" s="32"/>
      <c r="GI16" s="32"/>
      <c r="GJ16" s="32"/>
      <c r="GK16" s="32"/>
      <c r="GL16" s="245"/>
      <c r="GM16" s="246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04"/>
      <c r="HR16" s="301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245"/>
      <c r="IV16" s="246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245"/>
      <c r="KA16" s="301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245"/>
      <c r="LF16" s="246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245"/>
      <c r="MH16" s="246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245"/>
    </row>
    <row r="17" spans="1:376" customFormat="1" ht="15.75" hidden="1" customHeight="1">
      <c r="A17" s="1"/>
      <c r="B17" s="278" t="s">
        <v>100</v>
      </c>
      <c r="C17" s="278" t="s">
        <v>30</v>
      </c>
      <c r="D17" s="278" t="s">
        <v>98</v>
      </c>
      <c r="E17" s="37">
        <v>0</v>
      </c>
      <c r="F17" s="29">
        <v>23</v>
      </c>
      <c r="G17" s="29">
        <v>0</v>
      </c>
      <c r="H17" s="29">
        <f t="shared" si="12"/>
        <v>23</v>
      </c>
      <c r="I17" s="30">
        <f t="shared" si="13"/>
        <v>0</v>
      </c>
      <c r="J17" s="30">
        <f t="shared" si="14"/>
        <v>0</v>
      </c>
      <c r="K17" s="71">
        <f t="shared" si="15"/>
        <v>0</v>
      </c>
      <c r="L17" s="246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247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245"/>
      <c r="AP17" s="301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247"/>
      <c r="BK17" s="32"/>
      <c r="BL17" s="32"/>
      <c r="BM17" s="32"/>
      <c r="BN17" s="32"/>
      <c r="BO17" s="32"/>
      <c r="BP17" s="32"/>
      <c r="BQ17" s="32"/>
      <c r="BR17" s="32"/>
      <c r="BS17" s="32"/>
      <c r="BT17" s="245"/>
      <c r="BU17" s="246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247"/>
      <c r="CO17" s="32"/>
      <c r="CP17" s="32"/>
      <c r="CQ17" s="32"/>
      <c r="CR17" s="32"/>
      <c r="CS17" s="32"/>
      <c r="CT17" s="32"/>
      <c r="CU17" s="32"/>
      <c r="CV17" s="32"/>
      <c r="CW17" s="32"/>
      <c r="CX17" s="245"/>
      <c r="CY17" s="246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247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245"/>
      <c r="ED17" s="246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247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245"/>
      <c r="FI17" s="246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247"/>
      <c r="GA17" s="247"/>
      <c r="GB17" s="247"/>
      <c r="GC17" s="32"/>
      <c r="GD17" s="32"/>
      <c r="GE17" s="32"/>
      <c r="GF17" s="32"/>
      <c r="GG17" s="32"/>
      <c r="GH17" s="32"/>
      <c r="GI17" s="32"/>
      <c r="GJ17" s="32"/>
      <c r="GK17" s="32"/>
      <c r="GL17" s="245"/>
      <c r="GM17" s="246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04"/>
      <c r="HR17" s="301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245"/>
      <c r="IV17" s="246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245"/>
      <c r="KA17" s="301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245"/>
      <c r="LF17" s="246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245"/>
      <c r="MH17" s="246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245"/>
    </row>
    <row r="18" spans="1:376" customFormat="1" ht="15.75" hidden="1" customHeight="1">
      <c r="A18" s="1"/>
      <c r="B18" s="278" t="s">
        <v>32</v>
      </c>
      <c r="C18" s="278" t="s">
        <v>30</v>
      </c>
      <c r="D18" s="278" t="s">
        <v>122</v>
      </c>
      <c r="E18" s="37">
        <v>0</v>
      </c>
      <c r="F18" s="29">
        <v>15</v>
      </c>
      <c r="G18" s="29">
        <v>3</v>
      </c>
      <c r="H18" s="29">
        <f t="shared" si="12"/>
        <v>15</v>
      </c>
      <c r="I18" s="30">
        <f t="shared" si="13"/>
        <v>3</v>
      </c>
      <c r="J18" s="30">
        <f t="shared" si="14"/>
        <v>0</v>
      </c>
      <c r="K18" s="71">
        <f t="shared" si="15"/>
        <v>0</v>
      </c>
      <c r="L18" s="147"/>
      <c r="M18" s="8"/>
      <c r="N18" s="8"/>
      <c r="O18" s="8"/>
      <c r="P18" s="7"/>
      <c r="Q18" s="7"/>
      <c r="R18" s="8"/>
      <c r="S18" s="8"/>
      <c r="T18" s="8"/>
      <c r="U18" s="8"/>
      <c r="V18" s="8"/>
      <c r="W18" s="7"/>
      <c r="X18" s="7"/>
      <c r="Y18" s="8"/>
      <c r="Z18" s="8"/>
      <c r="AA18" s="8"/>
      <c r="AB18" s="8"/>
      <c r="AC18" s="69"/>
      <c r="AD18" s="7"/>
      <c r="AE18" s="7"/>
      <c r="AF18" s="8"/>
      <c r="AG18" s="8"/>
      <c r="AH18" s="8"/>
      <c r="AI18" s="8"/>
      <c r="AJ18" s="8"/>
      <c r="AK18" s="7"/>
      <c r="AL18" s="7"/>
      <c r="AM18" s="8"/>
      <c r="AN18" s="8"/>
      <c r="AO18" s="148"/>
      <c r="AP18" s="300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69"/>
      <c r="BK18" s="222"/>
      <c r="BL18" s="222"/>
      <c r="BM18" s="222"/>
      <c r="BN18" s="222"/>
      <c r="BO18" s="222"/>
      <c r="BP18" s="222"/>
      <c r="BQ18" s="222"/>
      <c r="BR18" s="222"/>
      <c r="BS18" s="222"/>
      <c r="BT18" s="148"/>
      <c r="BU18" s="29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  <c r="CI18" s="222"/>
      <c r="CJ18" s="32"/>
      <c r="CK18" s="32"/>
      <c r="CL18" s="32"/>
      <c r="CM18" s="32"/>
      <c r="CN18" s="247"/>
      <c r="CO18" s="32"/>
      <c r="CP18" s="32"/>
      <c r="CQ18" s="32"/>
      <c r="CR18" s="32"/>
      <c r="CS18" s="32"/>
      <c r="CT18" s="32"/>
      <c r="CU18" s="32"/>
      <c r="CV18" s="32"/>
      <c r="CW18" s="32"/>
      <c r="CX18" s="245"/>
      <c r="CY18" s="246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245"/>
      <c r="ED18" s="246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247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245"/>
      <c r="FI18" s="246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247"/>
      <c r="GA18" s="247"/>
      <c r="GB18" s="247"/>
      <c r="GC18" s="32"/>
      <c r="GD18" s="32"/>
      <c r="GE18" s="32"/>
      <c r="GF18" s="32"/>
      <c r="GG18" s="32"/>
      <c r="GH18" s="32"/>
      <c r="GI18" s="32"/>
      <c r="GJ18" s="32"/>
      <c r="GK18" s="32"/>
      <c r="GL18" s="245"/>
      <c r="GM18" s="246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04"/>
      <c r="HR18" s="301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245"/>
      <c r="IV18" s="246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245"/>
      <c r="KA18" s="301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245"/>
      <c r="LF18" s="246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245"/>
      <c r="MH18" s="246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245"/>
    </row>
    <row r="19" spans="1:376" customFormat="1" ht="15.75" hidden="1" customHeight="1">
      <c r="A19" s="1"/>
      <c r="B19" s="278" t="s">
        <v>55</v>
      </c>
      <c r="C19" s="278" t="s">
        <v>30</v>
      </c>
      <c r="D19" s="278" t="s">
        <v>49</v>
      </c>
      <c r="E19" s="37">
        <v>0</v>
      </c>
      <c r="F19" s="29">
        <v>15</v>
      </c>
      <c r="G19" s="29">
        <v>3</v>
      </c>
      <c r="H19" s="29">
        <f t="shared" si="12"/>
        <v>15</v>
      </c>
      <c r="I19" s="30">
        <f t="shared" si="13"/>
        <v>3</v>
      </c>
      <c r="J19" s="30">
        <f t="shared" si="14"/>
        <v>0</v>
      </c>
      <c r="K19" s="71">
        <f t="shared" si="15"/>
        <v>0</v>
      </c>
      <c r="L19" s="294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  <c r="AB19" s="245"/>
      <c r="AC19" s="245"/>
      <c r="AD19" s="245"/>
      <c r="AE19" s="245"/>
      <c r="AF19" s="245"/>
      <c r="AG19" s="245"/>
      <c r="AH19" s="245"/>
      <c r="AI19" s="245"/>
      <c r="AJ19" s="245"/>
      <c r="AK19" s="245"/>
      <c r="AL19" s="245"/>
      <c r="AM19" s="245"/>
      <c r="AN19" s="245"/>
      <c r="AO19" s="245"/>
      <c r="AP19" s="294"/>
      <c r="AQ19" s="245"/>
      <c r="AR19" s="245"/>
      <c r="AS19" s="245"/>
      <c r="AT19" s="245"/>
      <c r="AU19" s="245"/>
      <c r="AV19" s="245"/>
      <c r="AW19" s="245"/>
      <c r="AX19" s="245"/>
      <c r="AY19" s="245"/>
      <c r="AZ19" s="245"/>
      <c r="BA19" s="245"/>
      <c r="BB19" s="245"/>
      <c r="BC19" s="245"/>
      <c r="BD19" s="245"/>
      <c r="BE19" s="245"/>
      <c r="BF19" s="245"/>
      <c r="BG19" s="245"/>
      <c r="BH19" s="245"/>
      <c r="BI19" s="245"/>
      <c r="BJ19" s="245"/>
      <c r="BK19" s="245"/>
      <c r="BL19" s="245"/>
      <c r="BM19" s="245"/>
      <c r="BN19" s="245"/>
      <c r="BO19" s="245"/>
      <c r="BP19" s="245"/>
      <c r="BQ19" s="245"/>
      <c r="BR19" s="245"/>
      <c r="BS19" s="245"/>
      <c r="BT19" s="245"/>
      <c r="BU19" s="294"/>
      <c r="BV19" s="245"/>
      <c r="BW19" s="245"/>
      <c r="BX19" s="245"/>
      <c r="BY19" s="245"/>
      <c r="BZ19" s="245"/>
      <c r="CA19" s="245"/>
      <c r="CB19" s="245"/>
      <c r="CC19" s="245"/>
      <c r="CD19" s="245"/>
      <c r="CE19" s="245"/>
      <c r="CF19" s="245"/>
      <c r="CG19" s="245"/>
      <c r="CH19" s="245"/>
      <c r="CI19" s="245"/>
      <c r="CJ19" s="245"/>
      <c r="CK19" s="245"/>
      <c r="CL19" s="245"/>
      <c r="CM19" s="245"/>
      <c r="CN19" s="245"/>
      <c r="CO19" s="245"/>
      <c r="CP19" s="245"/>
      <c r="CQ19" s="245"/>
      <c r="CR19" s="245"/>
      <c r="CS19" s="245"/>
      <c r="CT19" s="245"/>
      <c r="CU19" s="245"/>
      <c r="CV19" s="245"/>
      <c r="CW19" s="245"/>
      <c r="CX19" s="245"/>
      <c r="CY19" s="294"/>
      <c r="CZ19" s="245"/>
      <c r="DA19" s="245"/>
      <c r="DB19" s="245"/>
      <c r="DC19" s="245"/>
      <c r="DD19" s="245"/>
      <c r="DE19" s="245"/>
      <c r="DF19" s="245"/>
      <c r="DG19" s="245"/>
      <c r="DH19" s="245"/>
      <c r="DI19" s="245"/>
      <c r="DJ19" s="245"/>
      <c r="DK19" s="245"/>
      <c r="DL19" s="245"/>
      <c r="DM19" s="245"/>
      <c r="DN19" s="245"/>
      <c r="DO19" s="245"/>
      <c r="DP19" s="245"/>
      <c r="DQ19" s="245"/>
      <c r="DR19" s="245"/>
      <c r="DS19" s="245"/>
      <c r="DT19" s="245"/>
      <c r="DU19" s="245"/>
      <c r="DV19" s="245"/>
      <c r="DW19" s="245"/>
      <c r="DX19" s="245"/>
      <c r="DY19" s="245"/>
      <c r="DZ19" s="245"/>
      <c r="EA19" s="245"/>
      <c r="EB19" s="245"/>
      <c r="EC19" s="245"/>
      <c r="ED19" s="294"/>
      <c r="EE19" s="245"/>
      <c r="EF19" s="245"/>
      <c r="EG19" s="245"/>
      <c r="EH19" s="245"/>
      <c r="EI19" s="245"/>
      <c r="EJ19" s="245"/>
      <c r="EK19" s="245"/>
      <c r="EL19" s="245"/>
      <c r="EM19" s="245"/>
      <c r="EN19" s="245"/>
      <c r="EO19" s="245"/>
      <c r="EP19" s="245"/>
      <c r="EQ19" s="245"/>
      <c r="ER19" s="245"/>
      <c r="ES19" s="245"/>
      <c r="ET19" s="245"/>
      <c r="EU19" s="245"/>
      <c r="EV19" s="245"/>
      <c r="EW19" s="245"/>
      <c r="EX19" s="245"/>
      <c r="EY19" s="245"/>
      <c r="EZ19" s="245"/>
      <c r="FA19" s="245"/>
      <c r="FB19" s="245"/>
      <c r="FC19" s="245"/>
      <c r="FD19" s="245"/>
      <c r="FE19" s="245"/>
      <c r="FF19" s="245"/>
      <c r="FG19" s="245"/>
      <c r="FH19" s="245"/>
      <c r="FI19" s="294"/>
      <c r="FJ19" s="245"/>
      <c r="FK19" s="245"/>
      <c r="FL19" s="245"/>
      <c r="FM19" s="245"/>
      <c r="FN19" s="245"/>
      <c r="FO19" s="245"/>
      <c r="FP19" s="245"/>
      <c r="FQ19" s="245"/>
      <c r="FR19" s="245"/>
      <c r="FS19" s="245"/>
      <c r="FT19" s="245"/>
      <c r="FU19" s="245"/>
      <c r="FV19" s="245"/>
      <c r="FW19" s="245"/>
      <c r="FX19" s="245"/>
      <c r="FY19" s="245"/>
      <c r="FZ19" s="245"/>
      <c r="GA19" s="245"/>
      <c r="GB19" s="245"/>
      <c r="GC19" s="245"/>
      <c r="GD19" s="245"/>
      <c r="GE19" s="245"/>
      <c r="GF19" s="245"/>
      <c r="GG19" s="245"/>
      <c r="GH19" s="245"/>
      <c r="GI19" s="245"/>
      <c r="GJ19" s="245"/>
      <c r="GK19" s="245"/>
      <c r="GL19" s="245"/>
      <c r="GM19" s="294"/>
      <c r="GN19" s="245"/>
      <c r="GO19" s="245"/>
      <c r="GP19" s="245"/>
      <c r="GQ19" s="245"/>
      <c r="GR19" s="245"/>
      <c r="GS19" s="245"/>
      <c r="GT19" s="245"/>
      <c r="GU19" s="245"/>
      <c r="GV19" s="245"/>
      <c r="GW19" s="245"/>
      <c r="GX19" s="245"/>
      <c r="GY19" s="245"/>
      <c r="GZ19" s="245"/>
      <c r="HA19" s="245"/>
      <c r="HB19" s="245"/>
      <c r="HC19" s="245"/>
      <c r="HD19" s="245"/>
      <c r="HE19" s="245"/>
      <c r="HF19" s="245"/>
      <c r="HG19" s="245"/>
      <c r="HH19" s="245"/>
      <c r="HI19" s="245"/>
      <c r="HJ19" s="245"/>
      <c r="HK19" s="245"/>
      <c r="HL19" s="245"/>
      <c r="HM19" s="245"/>
      <c r="HN19" s="245"/>
      <c r="HO19" s="245"/>
      <c r="HP19" s="245"/>
      <c r="HQ19" s="245"/>
      <c r="HR19" s="294"/>
      <c r="HS19" s="245"/>
      <c r="HT19" s="245"/>
      <c r="HU19" s="245"/>
      <c r="HV19" s="245"/>
      <c r="HW19" s="245"/>
      <c r="HX19" s="245"/>
      <c r="HY19" s="245"/>
      <c r="HZ19" s="245"/>
      <c r="IA19" s="245"/>
      <c r="IB19" s="245"/>
      <c r="IC19" s="245"/>
      <c r="ID19" s="245"/>
      <c r="IE19" s="245"/>
      <c r="IF19" s="245"/>
      <c r="IG19" s="245"/>
      <c r="IH19" s="245"/>
      <c r="II19" s="245"/>
      <c r="IJ19" s="245"/>
      <c r="IK19" s="245"/>
      <c r="IL19" s="245"/>
      <c r="IM19" s="245"/>
      <c r="IN19" s="245"/>
      <c r="IO19" s="245"/>
      <c r="IP19" s="245"/>
      <c r="IQ19" s="245"/>
      <c r="IR19" s="245"/>
      <c r="IS19" s="245"/>
      <c r="IT19" s="245"/>
      <c r="IU19" s="245"/>
      <c r="IV19" s="294"/>
      <c r="IW19" s="245"/>
      <c r="IX19" s="245"/>
      <c r="IY19" s="245"/>
      <c r="IZ19" s="245"/>
      <c r="JA19" s="245"/>
      <c r="JB19" s="245"/>
      <c r="JC19" s="245"/>
      <c r="JD19" s="245"/>
      <c r="JE19" s="245"/>
      <c r="JF19" s="245"/>
      <c r="JG19" s="245"/>
      <c r="JH19" s="245"/>
      <c r="JI19" s="245"/>
      <c r="JJ19" s="245"/>
      <c r="JK19" s="245"/>
      <c r="JL19" s="245"/>
      <c r="JM19" s="245"/>
      <c r="JN19" s="245"/>
      <c r="JO19" s="245"/>
      <c r="JP19" s="245"/>
      <c r="JQ19" s="245"/>
      <c r="JR19" s="245"/>
      <c r="JS19" s="245"/>
      <c r="JT19" s="245"/>
      <c r="JU19" s="245"/>
      <c r="JV19" s="245"/>
      <c r="JW19" s="245"/>
      <c r="JX19" s="245"/>
      <c r="JY19" s="245"/>
      <c r="JZ19" s="245"/>
      <c r="KA19" s="294"/>
      <c r="KB19" s="245"/>
      <c r="KC19" s="245"/>
      <c r="KD19" s="245"/>
      <c r="KE19" s="245"/>
      <c r="KF19" s="245"/>
      <c r="KG19" s="245"/>
      <c r="KH19" s="245"/>
      <c r="KI19" s="245"/>
      <c r="KJ19" s="245"/>
      <c r="KK19" s="245"/>
      <c r="KL19" s="245"/>
      <c r="KM19" s="245"/>
      <c r="KN19" s="245"/>
      <c r="KO19" s="245"/>
      <c r="KP19" s="245"/>
      <c r="KQ19" s="245"/>
      <c r="KR19" s="245"/>
      <c r="KS19" s="245"/>
      <c r="KT19" s="245"/>
      <c r="KU19" s="245"/>
      <c r="KV19" s="245"/>
      <c r="KW19" s="245"/>
      <c r="KX19" s="245"/>
      <c r="KY19" s="245"/>
      <c r="KZ19" s="245"/>
      <c r="LA19" s="245"/>
      <c r="LB19" s="245"/>
      <c r="LC19" s="245"/>
      <c r="LD19" s="245"/>
      <c r="LE19" s="245"/>
      <c r="LF19" s="294"/>
      <c r="LG19" s="245"/>
      <c r="LH19" s="245"/>
      <c r="LI19" s="245"/>
      <c r="LJ19" s="245"/>
      <c r="LK19" s="245"/>
      <c r="LL19" s="245"/>
      <c r="LM19" s="245"/>
      <c r="LN19" s="245"/>
      <c r="LO19" s="245"/>
      <c r="LP19" s="245"/>
      <c r="LQ19" s="245"/>
      <c r="LR19" s="245"/>
      <c r="LS19" s="245"/>
      <c r="LT19" s="245"/>
      <c r="LU19" s="245"/>
      <c r="LV19" s="245"/>
      <c r="LW19" s="245"/>
      <c r="LX19" s="245"/>
      <c r="LY19" s="245"/>
      <c r="LZ19" s="245"/>
      <c r="MA19" s="245"/>
      <c r="MB19" s="245"/>
      <c r="MC19" s="245"/>
      <c r="MD19" s="245"/>
      <c r="ME19" s="245"/>
      <c r="MF19" s="245"/>
      <c r="MG19" s="245"/>
      <c r="MH19" s="294"/>
      <c r="MI19" s="245"/>
      <c r="MJ19" s="245"/>
      <c r="MK19" s="245"/>
      <c r="ML19" s="245"/>
      <c r="MM19" s="245"/>
      <c r="MN19" s="245"/>
      <c r="MO19" s="245"/>
      <c r="MP19" s="245"/>
      <c r="MQ19" s="245"/>
      <c r="MR19" s="245"/>
      <c r="MS19" s="245"/>
      <c r="MT19" s="245"/>
      <c r="MU19" s="245"/>
      <c r="MV19" s="245"/>
      <c r="MW19" s="245"/>
      <c r="MX19" s="245"/>
      <c r="MY19" s="245"/>
      <c r="MZ19" s="245"/>
      <c r="NA19" s="245"/>
      <c r="NB19" s="245"/>
      <c r="NC19" s="245"/>
      <c r="ND19" s="245"/>
      <c r="NE19" s="245"/>
      <c r="NF19" s="245"/>
      <c r="NG19" s="245"/>
      <c r="NH19" s="245"/>
      <c r="NI19" s="245"/>
      <c r="NJ19" s="245"/>
      <c r="NK19" s="245"/>
      <c r="NL19" s="245"/>
    </row>
    <row r="20" spans="1:376" customFormat="1" ht="15.75" hidden="1" customHeight="1">
      <c r="A20" s="1"/>
      <c r="B20" s="278" t="s">
        <v>111</v>
      </c>
      <c r="C20" s="278" t="s">
        <v>30</v>
      </c>
      <c r="D20" s="278" t="s">
        <v>31</v>
      </c>
      <c r="E20" s="37">
        <v>0</v>
      </c>
      <c r="F20" s="29">
        <v>15</v>
      </c>
      <c r="G20" s="29">
        <v>3</v>
      </c>
      <c r="H20" s="29">
        <f t="shared" si="12"/>
        <v>15</v>
      </c>
      <c r="I20" s="30">
        <f t="shared" si="13"/>
        <v>3</v>
      </c>
      <c r="J20" s="30">
        <f t="shared" si="14"/>
        <v>0</v>
      </c>
      <c r="K20" s="71">
        <f t="shared" si="15"/>
        <v>0</v>
      </c>
      <c r="L20" s="246"/>
      <c r="M20" s="32"/>
      <c r="N20" s="32"/>
      <c r="O20" s="32"/>
      <c r="P20" s="34"/>
      <c r="Q20" s="34"/>
      <c r="R20" s="32"/>
      <c r="S20" s="32"/>
      <c r="T20" s="32"/>
      <c r="U20" s="32"/>
      <c r="V20" s="32"/>
      <c r="W20" s="34"/>
      <c r="X20" s="34"/>
      <c r="Y20" s="32"/>
      <c r="Z20" s="32"/>
      <c r="AA20" s="32"/>
      <c r="AB20" s="32"/>
      <c r="AC20" s="247"/>
      <c r="AD20" s="34"/>
      <c r="AE20" s="34"/>
      <c r="AF20" s="32"/>
      <c r="AG20" s="32"/>
      <c r="AH20" s="32"/>
      <c r="AI20" s="32"/>
      <c r="AJ20" s="32"/>
      <c r="AK20" s="34"/>
      <c r="AL20" s="34"/>
      <c r="AM20" s="32"/>
      <c r="AN20" s="32"/>
      <c r="AO20" s="245"/>
      <c r="AP20" s="301"/>
      <c r="AQ20" s="32"/>
      <c r="AR20" s="34"/>
      <c r="AS20" s="34"/>
      <c r="AT20" s="32"/>
      <c r="AU20" s="32"/>
      <c r="AV20" s="32"/>
      <c r="AW20" s="32"/>
      <c r="AX20" s="32"/>
      <c r="AY20" s="32"/>
      <c r="AZ20" s="34"/>
      <c r="BA20" s="34"/>
      <c r="BB20" s="32"/>
      <c r="BC20" s="32"/>
      <c r="BD20" s="32"/>
      <c r="BE20" s="32"/>
      <c r="BF20" s="283"/>
      <c r="BG20" s="34"/>
      <c r="BH20" s="34"/>
      <c r="BI20" s="283"/>
      <c r="BJ20" s="247"/>
      <c r="BK20" s="283"/>
      <c r="BL20" s="283"/>
      <c r="BM20" s="283"/>
      <c r="BN20" s="34"/>
      <c r="BO20" s="34"/>
      <c r="BP20" s="283"/>
      <c r="BQ20" s="283"/>
      <c r="BR20" s="283"/>
      <c r="BS20" s="283"/>
      <c r="BT20" s="316"/>
      <c r="BU20" s="311"/>
      <c r="BV20" s="34"/>
      <c r="BW20" s="283"/>
      <c r="BX20" s="283"/>
      <c r="BY20" s="283"/>
      <c r="BZ20" s="283"/>
      <c r="CA20" s="283"/>
      <c r="CB20" s="34"/>
      <c r="CC20" s="34"/>
      <c r="CD20" s="283"/>
      <c r="CE20" s="283"/>
      <c r="CF20" s="283"/>
      <c r="CG20" s="283"/>
      <c r="CH20" s="283"/>
      <c r="CI20" s="34"/>
      <c r="CJ20" s="34"/>
      <c r="CK20" s="283"/>
      <c r="CL20" s="283"/>
      <c r="CM20" s="283"/>
      <c r="CN20" s="247"/>
      <c r="CO20" s="283"/>
      <c r="CP20" s="34"/>
      <c r="CQ20" s="34"/>
      <c r="CR20" s="283"/>
      <c r="CS20" s="283"/>
      <c r="CT20" s="283"/>
      <c r="CU20" s="283"/>
      <c r="CV20" s="283"/>
      <c r="CW20" s="34"/>
      <c r="CX20" s="312"/>
      <c r="CY20" s="308"/>
      <c r="CZ20" s="32"/>
      <c r="DA20" s="32"/>
      <c r="DB20" s="32"/>
      <c r="DC20" s="32"/>
      <c r="DD20" s="34"/>
      <c r="DE20" s="34"/>
      <c r="DF20" s="32"/>
      <c r="DG20" s="32"/>
      <c r="DH20" s="32"/>
      <c r="DI20" s="32"/>
      <c r="DJ20" s="32"/>
      <c r="DK20" s="34"/>
      <c r="DL20" s="34"/>
      <c r="DM20" s="32"/>
      <c r="DN20" s="247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245"/>
      <c r="ED20" s="246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247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245"/>
      <c r="FI20" s="246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282"/>
      <c r="FY20" s="282"/>
      <c r="FZ20" s="247"/>
      <c r="GA20" s="247"/>
      <c r="GB20" s="247"/>
      <c r="GC20" s="32"/>
      <c r="GD20" s="32"/>
      <c r="GE20" s="32"/>
      <c r="GF20" s="32"/>
      <c r="GG20" s="32"/>
      <c r="GH20" s="32"/>
      <c r="GI20" s="32"/>
      <c r="GJ20" s="32"/>
      <c r="GK20" s="32"/>
      <c r="GL20" s="245"/>
      <c r="GM20" s="246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245"/>
      <c r="HR20" s="246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245"/>
      <c r="IV20" s="246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245"/>
      <c r="KA20" s="246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245"/>
      <c r="LF20" s="246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245"/>
      <c r="MH20" s="246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245"/>
    </row>
    <row r="21" spans="1:376" customFormat="1">
      <c r="A21" s="1"/>
      <c r="B21" s="29" t="s">
        <v>63</v>
      </c>
      <c r="C21" s="29" t="s">
        <v>30</v>
      </c>
      <c r="D21" s="29" t="s">
        <v>124</v>
      </c>
      <c r="E21" s="37">
        <v>0</v>
      </c>
      <c r="F21" s="29">
        <v>15</v>
      </c>
      <c r="G21" s="29">
        <v>3</v>
      </c>
      <c r="H21" s="29">
        <f t="shared" si="12"/>
        <v>-12</v>
      </c>
      <c r="I21" s="30">
        <f t="shared" si="13"/>
        <v>3</v>
      </c>
      <c r="J21" s="30">
        <f t="shared" si="14"/>
        <v>0</v>
      </c>
      <c r="K21" s="71">
        <f t="shared" si="15"/>
        <v>0</v>
      </c>
      <c r="L21" s="147"/>
      <c r="M21" s="8"/>
      <c r="N21" s="8"/>
      <c r="O21" s="8"/>
      <c r="P21" s="7"/>
      <c r="Q21" s="7"/>
      <c r="R21" s="8"/>
      <c r="S21" s="8"/>
      <c r="T21" s="8"/>
      <c r="U21" s="8"/>
      <c r="V21" s="8"/>
      <c r="W21" s="7"/>
      <c r="X21" s="7"/>
      <c r="Y21" s="8"/>
      <c r="Z21" s="8"/>
      <c r="AA21" s="8"/>
      <c r="AB21" s="8"/>
      <c r="AC21" s="69"/>
      <c r="AD21" s="7"/>
      <c r="AE21" s="7"/>
      <c r="AF21" s="8"/>
      <c r="AG21" s="8"/>
      <c r="AH21" s="8"/>
      <c r="AI21" s="8"/>
      <c r="AJ21" s="8"/>
      <c r="AK21" s="7"/>
      <c r="AL21" s="7"/>
      <c r="AM21" s="8"/>
      <c r="AN21" s="8"/>
      <c r="AO21" s="148"/>
      <c r="AP21" s="300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69"/>
      <c r="BK21" s="222"/>
      <c r="BL21" s="222"/>
      <c r="BM21" s="222"/>
      <c r="BN21" s="222"/>
      <c r="BO21" s="222"/>
      <c r="BP21" s="222"/>
      <c r="BQ21" s="222"/>
      <c r="BR21" s="222"/>
      <c r="BS21" s="222"/>
      <c r="BT21" s="148"/>
      <c r="BU21" s="292"/>
      <c r="BV21" s="222"/>
      <c r="BW21" s="222"/>
      <c r="BX21" s="222"/>
      <c r="BY21" s="222"/>
      <c r="BZ21" s="222"/>
      <c r="CA21" s="222"/>
      <c r="CB21" s="222"/>
      <c r="CC21" s="222"/>
      <c r="CD21" s="222"/>
      <c r="CE21" s="222"/>
      <c r="CF21" s="222"/>
      <c r="CG21" s="222"/>
      <c r="CH21" s="222"/>
      <c r="CI21" s="222"/>
      <c r="CJ21" s="222"/>
      <c r="CK21" s="222"/>
      <c r="CL21" s="222"/>
      <c r="CM21" s="222"/>
      <c r="CN21" s="69"/>
      <c r="CO21" s="222"/>
      <c r="CP21" s="222"/>
      <c r="CQ21" s="222"/>
      <c r="CR21" s="222"/>
      <c r="CS21" s="222"/>
      <c r="CT21" s="222"/>
      <c r="CU21" s="222"/>
      <c r="CV21" s="222"/>
      <c r="CW21" s="222"/>
      <c r="CX21" s="293"/>
      <c r="CY21" s="292"/>
      <c r="CZ21" s="222"/>
      <c r="DA21" s="222"/>
      <c r="DB21" s="222"/>
      <c r="DC21" s="222"/>
      <c r="DD21" s="222"/>
      <c r="DE21" s="222"/>
      <c r="DF21" s="222"/>
      <c r="DG21" s="222"/>
      <c r="DH21" s="222"/>
      <c r="DI21" s="222"/>
      <c r="DJ21" s="222"/>
      <c r="DK21" s="222"/>
      <c r="DL21" s="222"/>
      <c r="DM21" s="222"/>
      <c r="DN21" s="69"/>
      <c r="DO21" s="222"/>
      <c r="DP21" s="222"/>
      <c r="DQ21" s="222"/>
      <c r="DR21" s="222"/>
      <c r="DS21" s="222"/>
      <c r="DT21" s="222"/>
      <c r="DU21" s="222"/>
      <c r="DV21" s="222"/>
      <c r="DW21" s="222"/>
      <c r="DX21" s="222"/>
      <c r="DY21" s="222"/>
      <c r="DZ21" s="222"/>
      <c r="EA21" s="222"/>
      <c r="EB21" s="222"/>
      <c r="EC21" s="293"/>
      <c r="ED21" s="292"/>
      <c r="EE21" s="222"/>
      <c r="EF21" s="222"/>
      <c r="EG21" s="222"/>
      <c r="EH21" s="222"/>
      <c r="EI21" s="222"/>
      <c r="EJ21" s="222"/>
      <c r="EK21" s="222"/>
      <c r="EL21" s="222"/>
      <c r="EM21" s="222"/>
      <c r="EN21" s="222"/>
      <c r="EO21" s="222"/>
      <c r="EP21" s="222"/>
      <c r="EQ21" s="222"/>
      <c r="ER21" s="69"/>
      <c r="ES21" s="222"/>
      <c r="ET21" s="222"/>
      <c r="EU21" s="222"/>
      <c r="EV21" s="222"/>
      <c r="EW21" s="222"/>
      <c r="EX21" s="222"/>
      <c r="EY21" s="222"/>
      <c r="EZ21" s="222"/>
      <c r="FA21" s="222"/>
      <c r="FB21" s="222"/>
      <c r="FC21" s="222"/>
      <c r="FD21" s="222"/>
      <c r="FE21" s="222"/>
      <c r="FF21" s="222"/>
      <c r="FG21" s="222"/>
      <c r="FH21" s="293"/>
      <c r="FI21" s="292"/>
      <c r="FJ21" s="222"/>
      <c r="FK21" s="222"/>
      <c r="FL21" s="222"/>
      <c r="FM21" s="222"/>
      <c r="FN21" s="222"/>
      <c r="FO21" s="222"/>
      <c r="FP21" s="66" t="s">
        <v>1</v>
      </c>
      <c r="FQ21" s="66" t="s">
        <v>1</v>
      </c>
      <c r="FR21" s="66" t="s">
        <v>1</v>
      </c>
      <c r="FS21" s="66" t="s">
        <v>1</v>
      </c>
      <c r="FT21" s="66" t="s">
        <v>1</v>
      </c>
      <c r="FU21" s="222"/>
      <c r="FV21" s="222"/>
      <c r="FW21" s="66" t="s">
        <v>1</v>
      </c>
      <c r="FX21" s="66" t="s">
        <v>1</v>
      </c>
      <c r="FY21" s="66" t="s">
        <v>1</v>
      </c>
      <c r="FZ21" s="69"/>
      <c r="GA21" s="69"/>
      <c r="GB21" s="222"/>
      <c r="GC21" s="222"/>
      <c r="GD21" s="222"/>
      <c r="GE21" s="222"/>
      <c r="GF21" s="222"/>
      <c r="GG21" s="222"/>
      <c r="GH21" s="222"/>
      <c r="GI21" s="222"/>
      <c r="GJ21" s="222"/>
      <c r="GK21" s="222"/>
      <c r="GL21" s="293"/>
      <c r="GM21" s="292"/>
      <c r="GN21" s="222"/>
      <c r="GO21" s="222"/>
      <c r="GP21" s="222"/>
      <c r="GQ21" s="222"/>
      <c r="GR21" s="222"/>
      <c r="GS21" s="222"/>
      <c r="GT21" s="222"/>
      <c r="GU21" s="222"/>
      <c r="GV21" s="222"/>
      <c r="GW21" s="222"/>
      <c r="GX21" s="222"/>
      <c r="GY21" s="222"/>
      <c r="GZ21" s="222"/>
      <c r="HA21" s="222"/>
      <c r="HB21" s="222"/>
      <c r="HC21" s="222"/>
      <c r="HD21" s="222"/>
      <c r="HE21" s="222"/>
      <c r="HF21" s="222"/>
      <c r="HG21" s="222"/>
      <c r="HH21" s="222"/>
      <c r="HI21" s="222"/>
      <c r="HJ21" s="222"/>
      <c r="HK21" s="222"/>
      <c r="HL21" s="222"/>
      <c r="HM21" s="222"/>
      <c r="HN21" s="222"/>
      <c r="HO21" s="222"/>
      <c r="HP21" s="66" t="s">
        <v>1</v>
      </c>
      <c r="HQ21" s="303"/>
      <c r="HR21" s="292"/>
      <c r="HS21" s="222"/>
      <c r="HT21" s="66" t="s">
        <v>1</v>
      </c>
      <c r="HU21" s="222"/>
      <c r="HV21" s="222"/>
      <c r="HW21" s="222"/>
      <c r="HX21" s="222"/>
      <c r="HY21" s="222"/>
      <c r="HZ21" s="222"/>
      <c r="IA21" s="222"/>
      <c r="IB21" s="222"/>
      <c r="IC21" s="222"/>
      <c r="ID21" s="222"/>
      <c r="IE21" s="222"/>
      <c r="IF21" s="222"/>
      <c r="IG21" s="222"/>
      <c r="IH21" s="222"/>
      <c r="II21" s="222"/>
      <c r="IJ21" s="222"/>
      <c r="IK21" s="222"/>
      <c r="IL21" s="66" t="s">
        <v>1</v>
      </c>
      <c r="IM21" s="222"/>
      <c r="IN21" s="222"/>
      <c r="IO21" s="222"/>
      <c r="IP21" s="222"/>
      <c r="IQ21" s="222"/>
      <c r="IR21" s="222"/>
      <c r="IS21" s="222"/>
      <c r="IT21" s="222"/>
      <c r="IU21" s="293"/>
      <c r="IV21" s="292"/>
      <c r="IW21" s="222"/>
      <c r="IX21" s="222"/>
      <c r="IY21" s="222"/>
      <c r="IZ21" s="222"/>
      <c r="JA21" s="222"/>
      <c r="JB21" s="222"/>
      <c r="JC21" s="69"/>
      <c r="JD21" s="222"/>
      <c r="JE21" s="222"/>
      <c r="JF21" s="222"/>
      <c r="JG21" s="222"/>
      <c r="JH21" s="222"/>
      <c r="JI21" s="222"/>
      <c r="JJ21" s="222"/>
      <c r="JK21" s="222"/>
      <c r="JL21" s="222"/>
      <c r="JM21" s="222"/>
      <c r="JN21" s="66" t="s">
        <v>1</v>
      </c>
      <c r="JO21" s="222"/>
      <c r="JP21" s="222"/>
      <c r="JQ21" s="222"/>
      <c r="JR21" s="222"/>
      <c r="JS21" s="222"/>
      <c r="JT21" s="69"/>
      <c r="JU21" s="66" t="s">
        <v>1</v>
      </c>
      <c r="JV21" s="222"/>
      <c r="JW21" s="222"/>
      <c r="JX21" s="222"/>
      <c r="JY21" s="222"/>
      <c r="JZ21" s="293"/>
      <c r="KA21" s="300"/>
      <c r="KB21" s="66" t="s">
        <v>1</v>
      </c>
      <c r="KC21" s="222"/>
      <c r="KD21" s="222"/>
      <c r="KE21" s="222"/>
      <c r="KF21" s="222"/>
      <c r="KG21" s="222"/>
      <c r="KH21" s="222"/>
      <c r="KI21" s="222"/>
      <c r="KJ21" s="222"/>
      <c r="KK21" s="222"/>
      <c r="KL21" s="222"/>
      <c r="KM21" s="222"/>
      <c r="KN21" s="66" t="s">
        <v>1</v>
      </c>
      <c r="KO21" s="66" t="s">
        <v>1</v>
      </c>
      <c r="KP21" s="66" t="s">
        <v>1</v>
      </c>
      <c r="KQ21" s="222"/>
      <c r="KR21" s="222"/>
      <c r="KS21" s="222"/>
      <c r="KT21" s="222"/>
      <c r="KU21" s="222"/>
      <c r="KV21" s="222"/>
      <c r="KW21" s="222"/>
      <c r="KX21" s="222"/>
      <c r="KY21" s="222"/>
      <c r="KZ21" s="222"/>
      <c r="LA21" s="222"/>
      <c r="LB21" s="222"/>
      <c r="LC21" s="222"/>
      <c r="LD21" s="222"/>
      <c r="LE21" s="293"/>
      <c r="LF21" s="292"/>
      <c r="LG21" s="222"/>
      <c r="LH21" s="222"/>
      <c r="LI21" s="222"/>
      <c r="LJ21" s="222"/>
      <c r="LK21" s="222"/>
      <c r="LL21" s="222"/>
      <c r="LM21" s="222"/>
      <c r="LN21" s="222"/>
      <c r="LO21" s="222"/>
      <c r="LP21" s="222"/>
      <c r="LQ21" s="222"/>
      <c r="LR21" s="222"/>
      <c r="LS21" s="222"/>
      <c r="LT21" s="222"/>
      <c r="LU21" s="222"/>
      <c r="LV21" s="222"/>
      <c r="LW21" s="222"/>
      <c r="LX21" s="222"/>
      <c r="LY21" s="222"/>
      <c r="LZ21" s="222"/>
      <c r="MA21" s="222"/>
      <c r="MB21" s="222"/>
      <c r="MC21" s="222"/>
      <c r="MD21" s="222"/>
      <c r="ME21" s="222"/>
      <c r="MF21" s="222"/>
      <c r="MG21" s="293"/>
      <c r="MH21" s="292"/>
      <c r="MI21" s="66" t="s">
        <v>1</v>
      </c>
      <c r="MJ21" s="66" t="s">
        <v>1</v>
      </c>
      <c r="MK21" s="66" t="s">
        <v>1</v>
      </c>
      <c r="ML21" s="66" t="s">
        <v>1</v>
      </c>
      <c r="MM21" s="66" t="s">
        <v>1</v>
      </c>
      <c r="MN21" s="222"/>
      <c r="MO21" s="222"/>
      <c r="MP21" s="66" t="s">
        <v>1</v>
      </c>
      <c r="MQ21" s="66" t="s">
        <v>1</v>
      </c>
      <c r="MR21" s="66" t="s">
        <v>1</v>
      </c>
      <c r="MS21" s="66" t="s">
        <v>1</v>
      </c>
      <c r="MT21" s="66" t="s">
        <v>1</v>
      </c>
      <c r="MU21" s="222"/>
      <c r="MV21" s="222"/>
      <c r="MW21" s="222"/>
      <c r="MX21" s="222"/>
      <c r="MY21" s="222"/>
      <c r="MZ21" s="222"/>
      <c r="NA21" s="222"/>
      <c r="NB21" s="222"/>
      <c r="NC21" s="222"/>
      <c r="ND21" s="222"/>
      <c r="NE21" s="222"/>
      <c r="NF21" s="222"/>
      <c r="NG21" s="222"/>
      <c r="NH21" s="222"/>
      <c r="NI21" s="222"/>
      <c r="NJ21" s="222"/>
      <c r="NK21" s="222"/>
      <c r="NL21" s="293"/>
    </row>
    <row r="22" spans="1:376" customFormat="1" ht="15.75" hidden="1" customHeight="1">
      <c r="A22" s="1"/>
      <c r="B22" s="278" t="s">
        <v>101</v>
      </c>
      <c r="C22" s="278" t="s">
        <v>30</v>
      </c>
      <c r="D22" s="278" t="s">
        <v>49</v>
      </c>
      <c r="E22" s="37">
        <v>0</v>
      </c>
      <c r="F22" s="29">
        <v>23</v>
      </c>
      <c r="G22" s="29">
        <v>0</v>
      </c>
      <c r="H22" s="29">
        <f t="shared" si="12"/>
        <v>23</v>
      </c>
      <c r="I22" s="30">
        <f t="shared" si="13"/>
        <v>0</v>
      </c>
      <c r="J22" s="30">
        <f t="shared" si="14"/>
        <v>0</v>
      </c>
      <c r="K22" s="71">
        <f t="shared" si="15"/>
        <v>0</v>
      </c>
      <c r="L22" s="246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247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245"/>
      <c r="AP22" s="301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247"/>
      <c r="BK22" s="32"/>
      <c r="BL22" s="32"/>
      <c r="BM22" s="32"/>
      <c r="BN22" s="32"/>
      <c r="BO22" s="32"/>
      <c r="BP22" s="32"/>
      <c r="BQ22" s="32"/>
      <c r="BR22" s="32"/>
      <c r="BS22" s="32"/>
      <c r="BT22" s="245"/>
      <c r="BU22" s="246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247"/>
      <c r="CO22" s="32"/>
      <c r="CP22" s="32"/>
      <c r="CQ22" s="32"/>
      <c r="CR22" s="32"/>
      <c r="CS22" s="32"/>
      <c r="CT22" s="32"/>
      <c r="CU22" s="32"/>
      <c r="CV22" s="32"/>
      <c r="CW22" s="32"/>
      <c r="CX22" s="245"/>
      <c r="CY22" s="246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247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245"/>
      <c r="ED22" s="246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247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245"/>
      <c r="FI22" s="246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247"/>
      <c r="GA22" s="247"/>
      <c r="GB22" s="247"/>
      <c r="GC22" s="32"/>
      <c r="GD22" s="32"/>
      <c r="GE22" s="32"/>
      <c r="GF22" s="32"/>
      <c r="GG22" s="32"/>
      <c r="GH22" s="32"/>
      <c r="GI22" s="32"/>
      <c r="GJ22" s="32"/>
      <c r="GK22" s="32"/>
      <c r="GL22" s="245"/>
      <c r="GM22" s="246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04"/>
      <c r="HR22" s="301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245"/>
      <c r="IV22" s="246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245"/>
      <c r="KA22" s="301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245"/>
      <c r="LF22" s="246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245"/>
      <c r="MH22" s="246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245"/>
    </row>
    <row r="23" spans="1:376" customFormat="1" ht="15.75" hidden="1" customHeight="1">
      <c r="A23" s="1"/>
      <c r="B23" s="278" t="s">
        <v>102</v>
      </c>
      <c r="C23" s="278" t="s">
        <v>30</v>
      </c>
      <c r="D23" s="278" t="s">
        <v>49</v>
      </c>
      <c r="E23" s="37">
        <v>0</v>
      </c>
      <c r="F23" s="29">
        <v>23</v>
      </c>
      <c r="G23" s="29">
        <v>0</v>
      </c>
      <c r="H23" s="29">
        <f t="shared" si="12"/>
        <v>23</v>
      </c>
      <c r="I23" s="30">
        <f t="shared" si="13"/>
        <v>0</v>
      </c>
      <c r="J23" s="30">
        <f t="shared" si="14"/>
        <v>0</v>
      </c>
      <c r="K23" s="71">
        <f t="shared" si="15"/>
        <v>0</v>
      </c>
      <c r="L23" s="246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247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245"/>
      <c r="AP23" s="301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247"/>
      <c r="BK23" s="32"/>
      <c r="BL23" s="32"/>
      <c r="BM23" s="32"/>
      <c r="BN23" s="32"/>
      <c r="BO23" s="32"/>
      <c r="BP23" s="32"/>
      <c r="BQ23" s="32"/>
      <c r="BR23" s="32"/>
      <c r="BS23" s="32"/>
      <c r="BT23" s="245"/>
      <c r="BU23" s="246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247"/>
      <c r="CO23" s="32"/>
      <c r="CP23" s="32"/>
      <c r="CQ23" s="32"/>
      <c r="CR23" s="32"/>
      <c r="CS23" s="32"/>
      <c r="CT23" s="32"/>
      <c r="CU23" s="32"/>
      <c r="CV23" s="32"/>
      <c r="CW23" s="32"/>
      <c r="CX23" s="245"/>
      <c r="CY23" s="246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247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245"/>
      <c r="ED23" s="246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247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245"/>
      <c r="FI23" s="246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247"/>
      <c r="GA23" s="247"/>
      <c r="GB23" s="247"/>
      <c r="GC23" s="32"/>
      <c r="GD23" s="32"/>
      <c r="GE23" s="32"/>
      <c r="GF23" s="32"/>
      <c r="GG23" s="32"/>
      <c r="GH23" s="32"/>
      <c r="GI23" s="32"/>
      <c r="GJ23" s="32"/>
      <c r="GK23" s="32"/>
      <c r="GL23" s="245"/>
      <c r="GM23" s="246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04"/>
      <c r="HR23" s="301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245"/>
      <c r="IV23" s="246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245"/>
      <c r="KA23" s="301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245"/>
      <c r="LF23" s="246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245"/>
      <c r="MH23" s="246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245"/>
    </row>
    <row r="24" spans="1:376" customFormat="1" ht="15.75" hidden="1" customHeight="1">
      <c r="A24" s="1"/>
      <c r="B24" s="278" t="s">
        <v>103</v>
      </c>
      <c r="C24" s="278" t="s">
        <v>30</v>
      </c>
      <c r="D24" s="278" t="s">
        <v>49</v>
      </c>
      <c r="E24" s="37">
        <v>0</v>
      </c>
      <c r="F24" s="29">
        <v>23</v>
      </c>
      <c r="G24" s="29">
        <v>0</v>
      </c>
      <c r="H24" s="29">
        <f t="shared" si="12"/>
        <v>23</v>
      </c>
      <c r="I24" s="30">
        <f t="shared" si="13"/>
        <v>0</v>
      </c>
      <c r="J24" s="30">
        <f t="shared" si="14"/>
        <v>0</v>
      </c>
      <c r="K24" s="71">
        <f t="shared" si="15"/>
        <v>0</v>
      </c>
      <c r="L24" s="246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247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245"/>
      <c r="AP24" s="301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247"/>
      <c r="BK24" s="32"/>
      <c r="BL24" s="32"/>
      <c r="BM24" s="32"/>
      <c r="BN24" s="32"/>
      <c r="BO24" s="32"/>
      <c r="BP24" s="32"/>
      <c r="BQ24" s="32"/>
      <c r="BR24" s="32"/>
      <c r="BS24" s="32"/>
      <c r="BT24" s="245"/>
      <c r="BU24" s="246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247"/>
      <c r="CO24" s="32"/>
      <c r="CP24" s="32"/>
      <c r="CQ24" s="32"/>
      <c r="CR24" s="32"/>
      <c r="CS24" s="32"/>
      <c r="CT24" s="32"/>
      <c r="CU24" s="32"/>
      <c r="CV24" s="32"/>
      <c r="CW24" s="32"/>
      <c r="CX24" s="245"/>
      <c r="CY24" s="246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247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245"/>
      <c r="ED24" s="246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247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245"/>
      <c r="FI24" s="246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247"/>
      <c r="GA24" s="247"/>
      <c r="GB24" s="247"/>
      <c r="GC24" s="32"/>
      <c r="GD24" s="32"/>
      <c r="GE24" s="32"/>
      <c r="GF24" s="32"/>
      <c r="GG24" s="32"/>
      <c r="GH24" s="32"/>
      <c r="GI24" s="32"/>
      <c r="GJ24" s="32"/>
      <c r="GK24" s="32"/>
      <c r="GL24" s="245"/>
      <c r="GM24" s="246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04"/>
      <c r="HR24" s="301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245"/>
      <c r="IV24" s="246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245"/>
      <c r="KA24" s="301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245"/>
      <c r="LF24" s="246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245"/>
      <c r="MH24" s="246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245"/>
    </row>
    <row r="25" spans="1:376" customFormat="1" ht="15.75" hidden="1" customHeight="1">
      <c r="A25" s="1"/>
      <c r="B25" s="278" t="s">
        <v>104</v>
      </c>
      <c r="C25" s="278" t="s">
        <v>30</v>
      </c>
      <c r="D25" s="278" t="s">
        <v>49</v>
      </c>
      <c r="E25" s="37">
        <v>0</v>
      </c>
      <c r="F25" s="29">
        <v>23</v>
      </c>
      <c r="G25" s="29">
        <v>0</v>
      </c>
      <c r="H25" s="29">
        <f t="shared" si="12"/>
        <v>23</v>
      </c>
      <c r="I25" s="30">
        <f t="shared" si="13"/>
        <v>0</v>
      </c>
      <c r="J25" s="30">
        <f t="shared" si="14"/>
        <v>0</v>
      </c>
      <c r="K25" s="71">
        <f t="shared" si="15"/>
        <v>0</v>
      </c>
      <c r="L25" s="246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247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245"/>
      <c r="AP25" s="301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247"/>
      <c r="BK25" s="32"/>
      <c r="BL25" s="32"/>
      <c r="BM25" s="32"/>
      <c r="BN25" s="32"/>
      <c r="BO25" s="32"/>
      <c r="BP25" s="32"/>
      <c r="BQ25" s="32"/>
      <c r="BR25" s="32"/>
      <c r="BS25" s="32"/>
      <c r="BT25" s="245"/>
      <c r="BU25" s="246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247"/>
      <c r="CO25" s="32"/>
      <c r="CP25" s="32"/>
      <c r="CQ25" s="32"/>
      <c r="CR25" s="32"/>
      <c r="CS25" s="32"/>
      <c r="CT25" s="32"/>
      <c r="CU25" s="32"/>
      <c r="CV25" s="32"/>
      <c r="CW25" s="32"/>
      <c r="CX25" s="245"/>
      <c r="CY25" s="246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247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245"/>
      <c r="ED25" s="246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247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245"/>
      <c r="FI25" s="246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247"/>
      <c r="GA25" s="247"/>
      <c r="GB25" s="247"/>
      <c r="GC25" s="32"/>
      <c r="GD25" s="32"/>
      <c r="GE25" s="32"/>
      <c r="GF25" s="32"/>
      <c r="GG25" s="32"/>
      <c r="GH25" s="32"/>
      <c r="GI25" s="32"/>
      <c r="GJ25" s="32"/>
      <c r="GK25" s="32"/>
      <c r="GL25" s="245"/>
      <c r="GM25" s="246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04"/>
      <c r="HR25" s="301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245"/>
      <c r="IV25" s="246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245"/>
      <c r="KA25" s="301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245"/>
      <c r="LF25" s="246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245"/>
      <c r="MH25" s="246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245"/>
    </row>
    <row r="26" spans="1:376" customFormat="1" ht="15" customHeight="1">
      <c r="A26" s="1"/>
      <c r="B26" s="29" t="s">
        <v>61</v>
      </c>
      <c r="C26" s="29" t="s">
        <v>30</v>
      </c>
      <c r="D26" s="29" t="s">
        <v>124</v>
      </c>
      <c r="E26" s="37">
        <v>0</v>
      </c>
      <c r="F26" s="29">
        <v>15</v>
      </c>
      <c r="G26" s="29">
        <v>3</v>
      </c>
      <c r="H26" s="29">
        <f t="shared" si="12"/>
        <v>0</v>
      </c>
      <c r="I26" s="30">
        <f t="shared" si="13"/>
        <v>3</v>
      </c>
      <c r="J26" s="30">
        <f t="shared" si="14"/>
        <v>0</v>
      </c>
      <c r="K26" s="71">
        <f t="shared" si="15"/>
        <v>0</v>
      </c>
      <c r="L26" s="147"/>
      <c r="M26" s="8"/>
      <c r="N26" s="8"/>
      <c r="O26" s="8"/>
      <c r="P26" s="7"/>
      <c r="Q26" s="7"/>
      <c r="R26" s="8"/>
      <c r="S26" s="8"/>
      <c r="T26" s="8"/>
      <c r="U26" s="8"/>
      <c r="V26" s="8"/>
      <c r="W26" s="7"/>
      <c r="X26" s="7"/>
      <c r="Y26" s="8"/>
      <c r="Z26" s="8"/>
      <c r="AA26" s="8"/>
      <c r="AB26" s="8"/>
      <c r="AC26" s="69"/>
      <c r="AD26" s="7"/>
      <c r="AE26" s="7"/>
      <c r="AF26" s="8"/>
      <c r="AG26" s="8"/>
      <c r="AH26" s="8"/>
      <c r="AI26" s="8"/>
      <c r="AJ26" s="8"/>
      <c r="AK26" s="7"/>
      <c r="AL26" s="7"/>
      <c r="AM26" s="8"/>
      <c r="AN26" s="8"/>
      <c r="AO26" s="148"/>
      <c r="AP26" s="300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69"/>
      <c r="BK26" s="222"/>
      <c r="BL26" s="222"/>
      <c r="BM26" s="222"/>
      <c r="BN26" s="222"/>
      <c r="BO26" s="222"/>
      <c r="BP26" s="222"/>
      <c r="BQ26" s="222"/>
      <c r="BR26" s="222"/>
      <c r="BS26" s="222"/>
      <c r="BT26" s="148"/>
      <c r="BU26" s="29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  <c r="CI26" s="222"/>
      <c r="CJ26" s="222"/>
      <c r="CK26" s="222"/>
      <c r="CL26" s="222"/>
      <c r="CM26" s="222"/>
      <c r="CN26" s="69"/>
      <c r="CO26" s="222"/>
      <c r="CP26" s="222"/>
      <c r="CQ26" s="222"/>
      <c r="CR26" s="222"/>
      <c r="CS26" s="222"/>
      <c r="CT26" s="222"/>
      <c r="CU26" s="222"/>
      <c r="CV26" s="222"/>
      <c r="CW26" s="222"/>
      <c r="CX26" s="293"/>
      <c r="CY26" s="292"/>
      <c r="CZ26" s="222"/>
      <c r="DA26" s="222"/>
      <c r="DB26" s="222"/>
      <c r="DC26" s="222"/>
      <c r="DD26" s="222"/>
      <c r="DE26" s="222"/>
      <c r="DF26" s="222"/>
      <c r="DG26" s="222"/>
      <c r="DH26" s="222"/>
      <c r="DI26" s="222"/>
      <c r="DJ26" s="222"/>
      <c r="DK26" s="222"/>
      <c r="DL26" s="222"/>
      <c r="DM26" s="222"/>
      <c r="DN26" s="69"/>
      <c r="DO26" s="222"/>
      <c r="DP26" s="222"/>
      <c r="DQ26" s="222"/>
      <c r="DR26" s="222"/>
      <c r="DS26" s="222"/>
      <c r="DT26" s="222"/>
      <c r="DU26" s="222"/>
      <c r="DV26" s="222"/>
      <c r="DW26" s="222"/>
      <c r="DX26" s="222"/>
      <c r="DY26" s="222"/>
      <c r="DZ26" s="222"/>
      <c r="EA26" s="222"/>
      <c r="EB26" s="222"/>
      <c r="EC26" s="293"/>
      <c r="ED26" s="292"/>
      <c r="EE26" s="222"/>
      <c r="EF26" s="222"/>
      <c r="EG26" s="222"/>
      <c r="EH26" s="222"/>
      <c r="EI26" s="222"/>
      <c r="EJ26" s="222"/>
      <c r="EK26" s="222"/>
      <c r="EL26" s="222"/>
      <c r="EM26" s="222"/>
      <c r="EN26" s="222"/>
      <c r="EO26" s="222"/>
      <c r="EP26" s="222"/>
      <c r="EQ26" s="222"/>
      <c r="ER26" s="69"/>
      <c r="ES26" s="222"/>
      <c r="ET26" s="222"/>
      <c r="EU26" s="222"/>
      <c r="EV26" s="222"/>
      <c r="EW26" s="222"/>
      <c r="EX26" s="222"/>
      <c r="EY26" s="222"/>
      <c r="EZ26" s="222"/>
      <c r="FA26" s="222"/>
      <c r="FB26" s="222"/>
      <c r="FC26" s="222"/>
      <c r="FD26" s="222"/>
      <c r="FE26" s="222"/>
      <c r="FF26" s="222"/>
      <c r="FG26" s="222"/>
      <c r="FH26" s="293"/>
      <c r="FI26" s="292"/>
      <c r="FJ26" s="222"/>
      <c r="FK26" s="222"/>
      <c r="FL26" s="222"/>
      <c r="FM26" s="222"/>
      <c r="FN26" s="222"/>
      <c r="FO26" s="222"/>
      <c r="FP26" s="222"/>
      <c r="FQ26" s="222"/>
      <c r="FR26" s="222"/>
      <c r="FS26" s="222"/>
      <c r="FT26" s="222"/>
      <c r="FU26" s="222"/>
      <c r="FV26" s="222"/>
      <c r="FW26" s="222"/>
      <c r="FX26" s="222"/>
      <c r="FY26" s="222"/>
      <c r="FZ26" s="69"/>
      <c r="GA26" s="69"/>
      <c r="GB26" s="222"/>
      <c r="GC26" s="222"/>
      <c r="GD26" s="222"/>
      <c r="GE26" s="222"/>
      <c r="GF26" s="222"/>
      <c r="GG26" s="222"/>
      <c r="GH26" s="222"/>
      <c r="GI26" s="222"/>
      <c r="GJ26" s="222"/>
      <c r="GK26" s="222"/>
      <c r="GL26" s="293"/>
      <c r="GM26" s="292"/>
      <c r="GN26" s="222"/>
      <c r="GO26" s="222"/>
      <c r="GP26" s="222"/>
      <c r="GQ26" s="222"/>
      <c r="GR26" s="222"/>
      <c r="GS26" s="222"/>
      <c r="GT26" s="222"/>
      <c r="GU26" s="222"/>
      <c r="GV26" s="222"/>
      <c r="GW26" s="222"/>
      <c r="GX26" s="222"/>
      <c r="GY26" s="222"/>
      <c r="GZ26" s="222"/>
      <c r="HA26" s="222"/>
      <c r="HB26" s="222"/>
      <c r="HC26" s="222"/>
      <c r="HD26" s="222"/>
      <c r="HE26" s="222"/>
      <c r="HF26" s="222"/>
      <c r="HG26" s="222"/>
      <c r="HH26" s="222"/>
      <c r="HI26" s="222"/>
      <c r="HJ26" s="222"/>
      <c r="HK26" s="222"/>
      <c r="HL26" s="222"/>
      <c r="HM26" s="222"/>
      <c r="HN26" s="222"/>
      <c r="HO26" s="222"/>
      <c r="HP26" s="222"/>
      <c r="HQ26" s="303"/>
      <c r="HR26" s="292"/>
      <c r="HS26" s="222"/>
      <c r="HT26" s="222"/>
      <c r="HU26" s="222"/>
      <c r="HV26" s="222"/>
      <c r="HW26" s="222"/>
      <c r="HX26" s="222"/>
      <c r="HY26" s="222"/>
      <c r="HZ26" s="222"/>
      <c r="IA26" s="222"/>
      <c r="IB26" s="222"/>
      <c r="IC26" s="222"/>
      <c r="ID26" s="222"/>
      <c r="IE26" s="222"/>
      <c r="IF26" s="222"/>
      <c r="IG26" s="222"/>
      <c r="IH26" s="222"/>
      <c r="II26" s="222"/>
      <c r="IJ26" s="222"/>
      <c r="IK26" s="222"/>
      <c r="IL26" s="222"/>
      <c r="IM26" s="222"/>
      <c r="IN26" s="222"/>
      <c r="IO26" s="222"/>
      <c r="IP26" s="222"/>
      <c r="IQ26" s="222"/>
      <c r="IR26" s="222"/>
      <c r="IS26" s="222"/>
      <c r="IT26" s="222"/>
      <c r="IU26" s="293"/>
      <c r="IV26" s="292"/>
      <c r="IW26" s="222"/>
      <c r="IX26" s="222"/>
      <c r="IY26" s="222"/>
      <c r="IZ26" s="222"/>
      <c r="JA26" s="222"/>
      <c r="JB26" s="222"/>
      <c r="JC26" s="69"/>
      <c r="JD26" s="222"/>
      <c r="JE26" s="222"/>
      <c r="JF26" s="222"/>
      <c r="JG26" s="222"/>
      <c r="JH26" s="222"/>
      <c r="JI26" s="222"/>
      <c r="JJ26" s="222"/>
      <c r="JK26" s="222"/>
      <c r="JL26" s="222"/>
      <c r="JM26" s="222"/>
      <c r="JN26" s="222"/>
      <c r="JO26" s="222"/>
      <c r="JP26" s="222"/>
      <c r="JQ26" s="222"/>
      <c r="JR26" s="222"/>
      <c r="JS26" s="222"/>
      <c r="JT26" s="69"/>
      <c r="JU26" s="222"/>
      <c r="JV26" s="222"/>
      <c r="JW26" s="222"/>
      <c r="JX26" s="222"/>
      <c r="JY26" s="222"/>
      <c r="JZ26" s="293"/>
      <c r="KA26" s="300"/>
      <c r="KB26" s="222"/>
      <c r="KC26" s="222"/>
      <c r="KD26" s="222"/>
      <c r="KE26" s="222"/>
      <c r="KF26" s="222"/>
      <c r="KG26" s="222"/>
      <c r="KH26" s="222"/>
      <c r="KI26" s="222"/>
      <c r="KJ26" s="222"/>
      <c r="KK26" s="222"/>
      <c r="KL26" s="66" t="s">
        <v>1</v>
      </c>
      <c r="KM26" s="66" t="s">
        <v>1</v>
      </c>
      <c r="KN26" s="66" t="s">
        <v>1</v>
      </c>
      <c r="KO26" s="66" t="s">
        <v>1</v>
      </c>
      <c r="KP26" s="66" t="s">
        <v>1</v>
      </c>
      <c r="KQ26" s="222"/>
      <c r="KR26" s="222"/>
      <c r="KS26" s="66" t="s">
        <v>1</v>
      </c>
      <c r="KT26" s="66" t="s">
        <v>1</v>
      </c>
      <c r="KU26" s="66" t="s">
        <v>1</v>
      </c>
      <c r="KV26" s="66" t="s">
        <v>1</v>
      </c>
      <c r="KW26" s="66" t="s">
        <v>1</v>
      </c>
      <c r="KX26" s="222"/>
      <c r="KY26" s="222"/>
      <c r="KZ26" s="66" t="s">
        <v>1</v>
      </c>
      <c r="LA26" s="66" t="s">
        <v>1</v>
      </c>
      <c r="LB26" s="66" t="s">
        <v>1</v>
      </c>
      <c r="LC26" s="66" t="s">
        <v>1</v>
      </c>
      <c r="LD26" s="66" t="s">
        <v>1</v>
      </c>
      <c r="LE26" s="293"/>
      <c r="LF26" s="292"/>
      <c r="LG26" s="222"/>
      <c r="LH26" s="222"/>
      <c r="LI26" s="222"/>
      <c r="LJ26" s="222"/>
      <c r="LK26" s="222"/>
      <c r="LL26" s="222"/>
      <c r="LM26" s="222"/>
      <c r="LN26" s="222"/>
      <c r="LO26" s="222"/>
      <c r="LP26" s="222"/>
      <c r="LQ26" s="222"/>
      <c r="LR26" s="222"/>
      <c r="LS26" s="222"/>
      <c r="LT26" s="222"/>
      <c r="LU26" s="222"/>
      <c r="LV26" s="222"/>
      <c r="LW26" s="222"/>
      <c r="LX26" s="222"/>
      <c r="LY26" s="222"/>
      <c r="LZ26" s="222"/>
      <c r="MA26" s="222"/>
      <c r="MB26" s="222"/>
      <c r="MC26" s="222"/>
      <c r="MD26" s="222"/>
      <c r="ME26" s="222"/>
      <c r="MF26" s="222"/>
      <c r="MG26" s="293"/>
      <c r="MH26" s="292"/>
      <c r="MI26" s="222"/>
      <c r="MJ26" s="222"/>
      <c r="MK26" s="222"/>
      <c r="ML26" s="222"/>
      <c r="MM26" s="222"/>
      <c r="MN26" s="222"/>
      <c r="MO26" s="222"/>
      <c r="MP26" s="222"/>
      <c r="MQ26" s="222"/>
      <c r="MR26" s="222"/>
      <c r="MS26" s="222"/>
      <c r="MT26" s="222"/>
      <c r="MU26" s="222"/>
      <c r="MV26" s="222"/>
      <c r="MW26" s="222"/>
      <c r="MX26" s="222"/>
      <c r="MY26" s="222"/>
      <c r="MZ26" s="222"/>
      <c r="NA26" s="222"/>
      <c r="NB26" s="222"/>
      <c r="NC26" s="222"/>
      <c r="ND26" s="222"/>
      <c r="NE26" s="222"/>
      <c r="NF26" s="222"/>
      <c r="NG26" s="222"/>
      <c r="NH26" s="222"/>
      <c r="NI26" s="222"/>
      <c r="NJ26" s="222"/>
      <c r="NK26" s="222"/>
      <c r="NL26" s="293"/>
    </row>
    <row r="27" spans="1:376" customFormat="1" ht="15" customHeight="1">
      <c r="A27" s="1"/>
      <c r="B27" s="29" t="s">
        <v>112</v>
      </c>
      <c r="C27" s="29" t="s">
        <v>30</v>
      </c>
      <c r="D27" s="29" t="s">
        <v>124</v>
      </c>
      <c r="E27" s="37">
        <v>0</v>
      </c>
      <c r="F27" s="29">
        <v>15</v>
      </c>
      <c r="G27" s="29">
        <v>3</v>
      </c>
      <c r="H27" s="29">
        <f t="shared" si="12"/>
        <v>1</v>
      </c>
      <c r="I27" s="30">
        <f t="shared" si="13"/>
        <v>2</v>
      </c>
      <c r="J27" s="30">
        <f t="shared" si="14"/>
        <v>0</v>
      </c>
      <c r="K27" s="71">
        <f t="shared" si="15"/>
        <v>0</v>
      </c>
      <c r="L27" s="147"/>
      <c r="M27" s="8"/>
      <c r="N27" s="8"/>
      <c r="O27" s="8"/>
      <c r="P27" s="7"/>
      <c r="Q27" s="7"/>
      <c r="R27" s="8"/>
      <c r="S27" s="8"/>
      <c r="T27" s="8"/>
      <c r="U27" s="8"/>
      <c r="V27" s="8"/>
      <c r="W27" s="7"/>
      <c r="X27" s="7"/>
      <c r="Y27" s="8"/>
      <c r="Z27" s="8"/>
      <c r="AA27" s="8"/>
      <c r="AB27" s="8"/>
      <c r="AC27" s="69"/>
      <c r="AD27" s="7"/>
      <c r="AE27" s="7"/>
      <c r="AF27" s="8"/>
      <c r="AG27" s="8"/>
      <c r="AH27" s="8"/>
      <c r="AI27" s="8"/>
      <c r="AJ27" s="8"/>
      <c r="AK27" s="7"/>
      <c r="AL27" s="7"/>
      <c r="AM27" s="66" t="s">
        <v>1</v>
      </c>
      <c r="AN27" s="66" t="s">
        <v>1</v>
      </c>
      <c r="AO27" s="66" t="s">
        <v>1</v>
      </c>
      <c r="AP27" s="300"/>
      <c r="AQ27" s="66" t="s">
        <v>1</v>
      </c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222"/>
      <c r="BH27" s="222"/>
      <c r="BI27" s="222"/>
      <c r="BJ27" s="69"/>
      <c r="BK27" s="222"/>
      <c r="BL27" s="222"/>
      <c r="BM27" s="222"/>
      <c r="BN27" s="222"/>
      <c r="BO27" s="222"/>
      <c r="BP27" s="222"/>
      <c r="BQ27" s="222"/>
      <c r="BR27" s="222"/>
      <c r="BS27" s="222"/>
      <c r="BT27" s="148"/>
      <c r="BU27" s="292"/>
      <c r="BV27" s="222"/>
      <c r="BW27" s="222"/>
      <c r="BX27" s="222"/>
      <c r="BY27" s="222"/>
      <c r="BZ27" s="222"/>
      <c r="CA27" s="222"/>
      <c r="CB27" s="222"/>
      <c r="CC27" s="222"/>
      <c r="CD27" s="222"/>
      <c r="CE27" s="222"/>
      <c r="CF27" s="222"/>
      <c r="CG27" s="222"/>
      <c r="CH27" s="222"/>
      <c r="CI27" s="222"/>
      <c r="CJ27" s="222"/>
      <c r="CK27" s="222"/>
      <c r="CL27" s="222"/>
      <c r="CM27" s="222"/>
      <c r="CN27" s="69"/>
      <c r="CO27" s="222"/>
      <c r="CP27" s="222"/>
      <c r="CQ27" s="222"/>
      <c r="CR27" s="222"/>
      <c r="CS27" s="222"/>
      <c r="CT27" s="222"/>
      <c r="CU27" s="222"/>
      <c r="CV27" s="222"/>
      <c r="CW27" s="222"/>
      <c r="CX27" s="293"/>
      <c r="CY27" s="66" t="s">
        <v>3</v>
      </c>
      <c r="CZ27" s="222"/>
      <c r="DA27" s="222"/>
      <c r="DB27" s="222"/>
      <c r="DC27" s="222"/>
      <c r="DD27" s="222"/>
      <c r="DE27" s="222"/>
      <c r="DF27" s="222"/>
      <c r="DG27" s="222"/>
      <c r="DH27" s="222"/>
      <c r="DI27" s="222"/>
      <c r="DJ27" s="222"/>
      <c r="DK27" s="222"/>
      <c r="DL27" s="222"/>
      <c r="DM27" s="222"/>
      <c r="DN27" s="69"/>
      <c r="DO27" s="222"/>
      <c r="DP27" s="222"/>
      <c r="DQ27" s="222"/>
      <c r="DR27" s="222"/>
      <c r="DS27" s="222"/>
      <c r="DT27" s="222"/>
      <c r="DU27" s="222"/>
      <c r="DV27" s="222"/>
      <c r="DW27" s="222"/>
      <c r="DX27" s="222"/>
      <c r="DY27" s="222"/>
      <c r="DZ27" s="222"/>
      <c r="EA27" s="222"/>
      <c r="EB27" s="222"/>
      <c r="EC27" s="293"/>
      <c r="ED27" s="292"/>
      <c r="EE27" s="222"/>
      <c r="EF27" s="222"/>
      <c r="EG27" s="222"/>
      <c r="EH27" s="222"/>
      <c r="EI27" s="222"/>
      <c r="EJ27" s="222"/>
      <c r="EK27" s="222"/>
      <c r="EL27" s="222"/>
      <c r="EM27" s="222"/>
      <c r="EN27" s="222"/>
      <c r="EO27" s="222"/>
      <c r="EP27" s="222"/>
      <c r="EQ27" s="222"/>
      <c r="ER27" s="69"/>
      <c r="ES27" s="222"/>
      <c r="ET27" s="222"/>
      <c r="EU27" s="222"/>
      <c r="EV27" s="222"/>
      <c r="EW27" s="222"/>
      <c r="EX27" s="222"/>
      <c r="EY27" s="222"/>
      <c r="EZ27" s="222"/>
      <c r="FA27" s="222"/>
      <c r="FB27" s="222"/>
      <c r="FC27" s="222"/>
      <c r="FD27" s="222"/>
      <c r="FE27" s="222"/>
      <c r="FF27" s="222"/>
      <c r="FG27" s="222"/>
      <c r="FH27" s="293"/>
      <c r="FI27" s="292"/>
      <c r="FJ27" s="222"/>
      <c r="FK27" s="222"/>
      <c r="FL27" s="222"/>
      <c r="FM27" s="222"/>
      <c r="FN27" s="222"/>
      <c r="FO27" s="222"/>
      <c r="FP27" s="222"/>
      <c r="FQ27" s="222"/>
      <c r="FR27" s="222"/>
      <c r="FS27" s="222"/>
      <c r="FT27" s="222"/>
      <c r="FU27" s="222"/>
      <c r="FV27" s="222"/>
      <c r="FW27" s="222"/>
      <c r="FX27" s="222"/>
      <c r="FY27" s="222"/>
      <c r="FZ27" s="69"/>
      <c r="GA27" s="69"/>
      <c r="GB27" s="222"/>
      <c r="GC27" s="222"/>
      <c r="GD27" s="222"/>
      <c r="GE27" s="222"/>
      <c r="GF27" s="222"/>
      <c r="GG27" s="222"/>
      <c r="GH27" s="222"/>
      <c r="GI27" s="222"/>
      <c r="GJ27" s="222"/>
      <c r="GK27" s="222"/>
      <c r="GL27" s="293"/>
      <c r="GM27" s="292"/>
      <c r="GN27" s="222"/>
      <c r="GO27" s="222"/>
      <c r="GP27" s="222"/>
      <c r="GQ27" s="222"/>
      <c r="GR27" s="222"/>
      <c r="GS27" s="222"/>
      <c r="GT27" s="222"/>
      <c r="GU27" s="222"/>
      <c r="GV27" s="222"/>
      <c r="GW27" s="222"/>
      <c r="GX27" s="222"/>
      <c r="GY27" s="222"/>
      <c r="GZ27" s="222"/>
      <c r="HA27" s="222"/>
      <c r="HB27" s="222"/>
      <c r="HC27" s="222"/>
      <c r="HD27" s="222"/>
      <c r="HE27" s="222"/>
      <c r="HF27" s="222"/>
      <c r="HG27" s="222"/>
      <c r="HH27" s="222"/>
      <c r="HI27" s="222"/>
      <c r="HJ27" s="222"/>
      <c r="HK27" s="222"/>
      <c r="HL27" s="222"/>
      <c r="HM27" s="222"/>
      <c r="HN27" s="222"/>
      <c r="HO27" s="222"/>
      <c r="HP27" s="222"/>
      <c r="HQ27" s="303"/>
      <c r="HR27" s="292"/>
      <c r="HS27" s="222"/>
      <c r="HT27" s="222"/>
      <c r="HU27" s="222"/>
      <c r="HV27" s="222"/>
      <c r="HW27" s="222"/>
      <c r="HX27" s="222"/>
      <c r="HY27" s="222"/>
      <c r="HZ27" s="222"/>
      <c r="IA27" s="222"/>
      <c r="IB27" s="222"/>
      <c r="IC27" s="222"/>
      <c r="ID27" s="222"/>
      <c r="IE27" s="222"/>
      <c r="IF27" s="222"/>
      <c r="IG27" s="222"/>
      <c r="IH27" s="222"/>
      <c r="II27" s="222"/>
      <c r="IJ27" s="222"/>
      <c r="IK27" s="222"/>
      <c r="IL27" s="222"/>
      <c r="IM27" s="222"/>
      <c r="IN27" s="222"/>
      <c r="IO27" s="222"/>
      <c r="IP27" s="222"/>
      <c r="IQ27" s="222"/>
      <c r="IR27" s="222"/>
      <c r="IS27" s="222"/>
      <c r="IT27" s="222"/>
      <c r="IU27" s="293"/>
      <c r="IV27" s="292"/>
      <c r="IW27" s="222"/>
      <c r="IX27" s="222"/>
      <c r="IY27" s="222"/>
      <c r="IZ27" s="222"/>
      <c r="JA27" s="222"/>
      <c r="JB27" s="222"/>
      <c r="JC27" s="69"/>
      <c r="JD27" s="222"/>
      <c r="JE27" s="222"/>
      <c r="JF27" s="222"/>
      <c r="JG27" s="222"/>
      <c r="JH27" s="222"/>
      <c r="JI27" s="222"/>
      <c r="JJ27" s="222"/>
      <c r="JK27" s="222"/>
      <c r="JL27" s="222"/>
      <c r="JM27" s="222"/>
      <c r="JN27" s="222"/>
      <c r="JO27" s="222"/>
      <c r="JP27" s="222"/>
      <c r="JQ27" s="222"/>
      <c r="JR27" s="222"/>
      <c r="JS27" s="222"/>
      <c r="JT27" s="69"/>
      <c r="JU27" s="222"/>
      <c r="JV27" s="222"/>
      <c r="JW27" s="222"/>
      <c r="JX27" s="222"/>
      <c r="JY27" s="222"/>
      <c r="JZ27" s="293"/>
      <c r="KA27" s="300"/>
      <c r="KB27" s="222"/>
      <c r="KC27" s="222"/>
      <c r="KD27" s="222"/>
      <c r="KE27" s="222"/>
      <c r="KF27" s="222"/>
      <c r="KG27" s="222"/>
      <c r="KH27" s="222"/>
      <c r="KI27" s="222"/>
      <c r="KJ27" s="222"/>
      <c r="KK27" s="222"/>
      <c r="KL27" s="222"/>
      <c r="KM27" s="222"/>
      <c r="KN27" s="222"/>
      <c r="KO27" s="222"/>
      <c r="KP27" s="222"/>
      <c r="KQ27" s="222"/>
      <c r="KR27" s="222"/>
      <c r="KS27" s="222"/>
      <c r="KT27" s="222"/>
      <c r="KU27" s="222"/>
      <c r="KV27" s="222"/>
      <c r="KW27" s="222"/>
      <c r="KX27" s="222"/>
      <c r="KY27" s="222"/>
      <c r="KZ27" s="222"/>
      <c r="LA27" s="222"/>
      <c r="LB27" s="222"/>
      <c r="LC27" s="222"/>
      <c r="LD27" s="222"/>
      <c r="LE27" s="293"/>
      <c r="LF27" s="292"/>
      <c r="LG27" s="66" t="s">
        <v>1</v>
      </c>
      <c r="LH27" s="66" t="s">
        <v>1</v>
      </c>
      <c r="LI27" s="66" t="s">
        <v>1</v>
      </c>
      <c r="LJ27" s="66" t="s">
        <v>1</v>
      </c>
      <c r="LK27" s="66" t="s">
        <v>1</v>
      </c>
      <c r="LL27" s="222"/>
      <c r="LM27" s="222"/>
      <c r="LN27" s="66" t="s">
        <v>1</v>
      </c>
      <c r="LO27" s="66" t="s">
        <v>1</v>
      </c>
      <c r="LP27" s="66" t="s">
        <v>1</v>
      </c>
      <c r="LQ27" s="66" t="s">
        <v>1</v>
      </c>
      <c r="LR27" s="66" t="s">
        <v>1</v>
      </c>
      <c r="LS27" s="222"/>
      <c r="LT27" s="222"/>
      <c r="LU27" s="222"/>
      <c r="LV27" s="222"/>
      <c r="LW27" s="222"/>
      <c r="LX27" s="222"/>
      <c r="LY27" s="222"/>
      <c r="LZ27" s="222"/>
      <c r="MA27" s="222"/>
      <c r="MB27" s="222"/>
      <c r="MC27" s="222"/>
      <c r="MD27" s="222"/>
      <c r="ME27" s="222"/>
      <c r="MF27" s="222"/>
      <c r="MG27" s="293"/>
      <c r="MH27" s="292"/>
      <c r="MI27" s="222"/>
      <c r="MJ27" s="222"/>
      <c r="MK27" s="222"/>
      <c r="ML27" s="222"/>
      <c r="MM27" s="222"/>
      <c r="MN27" s="222"/>
      <c r="MO27" s="222"/>
      <c r="MP27" s="222"/>
      <c r="MQ27" s="222"/>
      <c r="MR27" s="222"/>
      <c r="MS27" s="222"/>
      <c r="MT27" s="222"/>
      <c r="MU27" s="222"/>
      <c r="MV27" s="222"/>
      <c r="MW27" s="222"/>
      <c r="MX27" s="222"/>
      <c r="MY27" s="222"/>
      <c r="MZ27" s="222"/>
      <c r="NA27" s="222"/>
      <c r="NB27" s="222"/>
      <c r="NC27" s="222"/>
      <c r="ND27" s="222"/>
      <c r="NE27" s="222"/>
      <c r="NF27" s="222"/>
      <c r="NG27" s="222"/>
      <c r="NH27" s="222"/>
      <c r="NI27" s="222"/>
      <c r="NJ27" s="222"/>
      <c r="NK27" s="222"/>
      <c r="NL27" s="293"/>
    </row>
    <row r="28" spans="1:376" customFormat="1" ht="15" hidden="1" customHeight="1">
      <c r="A28" s="1"/>
      <c r="B28" s="278" t="s">
        <v>59</v>
      </c>
      <c r="C28" s="278" t="s">
        <v>30</v>
      </c>
      <c r="D28" s="278" t="s">
        <v>60</v>
      </c>
      <c r="E28" s="37">
        <v>0</v>
      </c>
      <c r="F28" s="29">
        <v>23</v>
      </c>
      <c r="G28" s="29">
        <v>0</v>
      </c>
      <c r="H28" s="29">
        <f t="shared" si="12"/>
        <v>23</v>
      </c>
      <c r="I28" s="30">
        <f t="shared" si="13"/>
        <v>0</v>
      </c>
      <c r="J28" s="30">
        <f t="shared" si="14"/>
        <v>0</v>
      </c>
      <c r="K28" s="71">
        <f t="shared" si="15"/>
        <v>0</v>
      </c>
      <c r="L28" s="246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247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245"/>
      <c r="AP28" s="301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247"/>
      <c r="BK28" s="32"/>
      <c r="BL28" s="32"/>
      <c r="BM28" s="32"/>
      <c r="BN28" s="32"/>
      <c r="BO28" s="32"/>
      <c r="BP28" s="32"/>
      <c r="BQ28" s="32"/>
      <c r="BR28" s="32"/>
      <c r="BS28" s="32"/>
      <c r="BT28" s="245"/>
      <c r="BU28" s="246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247"/>
      <c r="CO28" s="32"/>
      <c r="CP28" s="32"/>
      <c r="CQ28" s="32"/>
      <c r="CR28" s="32"/>
      <c r="CS28" s="32"/>
      <c r="CT28" s="32"/>
      <c r="CU28" s="32"/>
      <c r="CV28" s="32"/>
      <c r="CW28" s="32"/>
      <c r="CX28" s="245"/>
      <c r="CY28" s="246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247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245"/>
      <c r="ED28" s="246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247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245"/>
      <c r="FI28" s="246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247"/>
      <c r="GA28" s="247"/>
      <c r="GB28" s="247"/>
      <c r="GC28" s="32"/>
      <c r="GD28" s="32"/>
      <c r="GE28" s="32"/>
      <c r="GF28" s="32"/>
      <c r="GG28" s="32"/>
      <c r="GH28" s="32"/>
      <c r="GI28" s="32"/>
      <c r="GJ28" s="32"/>
      <c r="GK28" s="32"/>
      <c r="GL28" s="245"/>
      <c r="GM28" s="246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04"/>
      <c r="HR28" s="301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245"/>
      <c r="IV28" s="246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245"/>
      <c r="KA28" s="301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245"/>
      <c r="LF28" s="246"/>
      <c r="LG28" s="32"/>
      <c r="LH28" s="32"/>
      <c r="LI28" s="32"/>
      <c r="LJ28" s="32"/>
      <c r="LK28" s="32"/>
      <c r="LL28" s="32"/>
      <c r="LM28" s="32"/>
      <c r="LN28" s="32"/>
      <c r="LO28" s="32"/>
      <c r="LP28" s="32"/>
      <c r="LQ28" s="32"/>
      <c r="LR28" s="32"/>
      <c r="LS28" s="32"/>
      <c r="LT28" s="32"/>
      <c r="LU28" s="32"/>
      <c r="LV28" s="32"/>
      <c r="LW28" s="32"/>
      <c r="LX28" s="32"/>
      <c r="LY28" s="32"/>
      <c r="LZ28" s="32"/>
      <c r="MA28" s="32"/>
      <c r="MB28" s="32"/>
      <c r="MC28" s="32"/>
      <c r="MD28" s="32"/>
      <c r="ME28" s="32"/>
      <c r="MF28" s="32"/>
      <c r="MG28" s="245"/>
      <c r="MH28" s="246"/>
      <c r="MI28" s="32"/>
      <c r="MJ28" s="32"/>
      <c r="MK28" s="32"/>
      <c r="ML28" s="32"/>
      <c r="MM28" s="32"/>
      <c r="MN28" s="32"/>
      <c r="MO28" s="32"/>
      <c r="MP28" s="32"/>
      <c r="MQ28" s="32"/>
      <c r="MR28" s="32"/>
      <c r="MS28" s="32"/>
      <c r="MT28" s="32"/>
      <c r="MU28" s="32"/>
      <c r="MV28" s="32"/>
      <c r="MW28" s="32"/>
      <c r="MX28" s="32"/>
      <c r="MY28" s="32"/>
      <c r="MZ28" s="32"/>
      <c r="NA28" s="32"/>
      <c r="NB28" s="32"/>
      <c r="NC28" s="32"/>
      <c r="ND28" s="32"/>
      <c r="NE28" s="32"/>
      <c r="NF28" s="32"/>
      <c r="NG28" s="32"/>
      <c r="NH28" s="32"/>
      <c r="NI28" s="32"/>
      <c r="NJ28" s="32"/>
      <c r="NK28" s="32"/>
      <c r="NL28" s="245"/>
    </row>
    <row r="29" spans="1:376" customFormat="1" ht="15" customHeight="1">
      <c r="A29" s="1"/>
      <c r="B29" s="29" t="s">
        <v>105</v>
      </c>
      <c r="C29" s="29" t="s">
        <v>30</v>
      </c>
      <c r="D29" s="29" t="s">
        <v>123</v>
      </c>
      <c r="E29" s="37">
        <v>0</v>
      </c>
      <c r="F29" s="29">
        <v>15</v>
      </c>
      <c r="G29" s="29">
        <v>3</v>
      </c>
      <c r="H29" s="29">
        <f t="shared" si="12"/>
        <v>-4</v>
      </c>
      <c r="I29" s="30">
        <f t="shared" si="13"/>
        <v>3</v>
      </c>
      <c r="J29" s="30">
        <f t="shared" si="14"/>
        <v>0</v>
      </c>
      <c r="K29" s="71">
        <f t="shared" si="15"/>
        <v>0</v>
      </c>
      <c r="L29" s="147"/>
      <c r="M29" s="8"/>
      <c r="N29" s="8"/>
      <c r="O29" s="8"/>
      <c r="P29" s="7"/>
      <c r="Q29" s="7"/>
      <c r="R29" s="8"/>
      <c r="S29" s="8"/>
      <c r="T29" s="8"/>
      <c r="U29" s="8"/>
      <c r="V29" s="8"/>
      <c r="W29" s="7"/>
      <c r="X29" s="7"/>
      <c r="Y29" s="8"/>
      <c r="Z29" s="8"/>
      <c r="AA29" s="8"/>
      <c r="AB29" s="8"/>
      <c r="AC29" s="69"/>
      <c r="AD29" s="7"/>
      <c r="AE29" s="7"/>
      <c r="AF29" s="8"/>
      <c r="AG29" s="8"/>
      <c r="AH29" s="8"/>
      <c r="AI29" s="8"/>
      <c r="AJ29" s="8"/>
      <c r="AK29" s="7"/>
      <c r="AL29" s="7"/>
      <c r="AM29" s="8"/>
      <c r="AN29" s="8"/>
      <c r="AO29" s="148"/>
      <c r="AP29" s="300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69"/>
      <c r="BK29" s="222"/>
      <c r="BL29" s="222"/>
      <c r="BM29" s="222"/>
      <c r="BN29" s="222"/>
      <c r="BO29" s="222"/>
      <c r="BP29" s="222"/>
      <c r="BQ29" s="222"/>
      <c r="BR29" s="222"/>
      <c r="BS29" s="222"/>
      <c r="BT29" s="148"/>
      <c r="BU29" s="29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  <c r="CI29" s="222"/>
      <c r="CJ29" s="222"/>
      <c r="CK29" s="222"/>
      <c r="CL29" s="222"/>
      <c r="CM29" s="222"/>
      <c r="CN29" s="69"/>
      <c r="CO29" s="222"/>
      <c r="CP29" s="222"/>
      <c r="CQ29" s="222"/>
      <c r="CR29" s="222"/>
      <c r="CS29" s="222"/>
      <c r="CT29" s="222"/>
      <c r="CU29" s="222"/>
      <c r="CV29" s="222"/>
      <c r="CW29" s="222"/>
      <c r="CX29" s="293"/>
      <c r="CY29" s="292"/>
      <c r="CZ29" s="222"/>
      <c r="DA29" s="222"/>
      <c r="DB29" s="222"/>
      <c r="DC29" s="222"/>
      <c r="DD29" s="222"/>
      <c r="DE29" s="222"/>
      <c r="DF29" s="222"/>
      <c r="DG29" s="222"/>
      <c r="DH29" s="222"/>
      <c r="DI29" s="222"/>
      <c r="DJ29" s="222"/>
      <c r="DK29" s="222"/>
      <c r="DL29" s="222"/>
      <c r="DM29" s="222"/>
      <c r="DN29" s="69"/>
      <c r="DO29" s="222"/>
      <c r="DP29" s="222"/>
      <c r="DQ29" s="222"/>
      <c r="DR29" s="222"/>
      <c r="DS29" s="222"/>
      <c r="DT29" s="222"/>
      <c r="DU29" s="222"/>
      <c r="DV29" s="222"/>
      <c r="DW29" s="222"/>
      <c r="DX29" s="222"/>
      <c r="DY29" s="222"/>
      <c r="DZ29" s="222"/>
      <c r="EA29" s="222"/>
      <c r="EB29" s="222"/>
      <c r="EC29" s="293"/>
      <c r="ED29" s="292"/>
      <c r="EE29" s="222"/>
      <c r="EF29" s="222"/>
      <c r="EG29" s="66" t="s">
        <v>1</v>
      </c>
      <c r="EH29" s="66" t="s">
        <v>1</v>
      </c>
      <c r="EI29" s="66" t="s">
        <v>1</v>
      </c>
      <c r="EJ29" s="66" t="s">
        <v>1</v>
      </c>
      <c r="EK29" s="66" t="s">
        <v>1</v>
      </c>
      <c r="EL29" s="222"/>
      <c r="EM29" s="222"/>
      <c r="EN29" s="222"/>
      <c r="EO29" s="222"/>
      <c r="EP29" s="222"/>
      <c r="EQ29" s="222"/>
      <c r="ER29" s="69"/>
      <c r="ES29" s="222"/>
      <c r="ET29" s="222"/>
      <c r="EU29" s="222"/>
      <c r="EV29" s="222"/>
      <c r="EW29" s="222"/>
      <c r="EX29" s="222"/>
      <c r="EY29" s="222"/>
      <c r="EZ29" s="222"/>
      <c r="FA29" s="222"/>
      <c r="FB29" s="222"/>
      <c r="FC29" s="222"/>
      <c r="FD29" s="222"/>
      <c r="FE29" s="222"/>
      <c r="FF29" s="222"/>
      <c r="FG29" s="222"/>
      <c r="FH29" s="293"/>
      <c r="FI29" s="292"/>
      <c r="FJ29" s="222"/>
      <c r="FK29" s="222"/>
      <c r="FL29" s="222"/>
      <c r="FM29" s="222"/>
      <c r="FN29" s="222"/>
      <c r="FO29" s="222"/>
      <c r="FP29" s="222"/>
      <c r="FQ29" s="222"/>
      <c r="FR29" s="222"/>
      <c r="FS29" s="222"/>
      <c r="FT29" s="222"/>
      <c r="FU29" s="222"/>
      <c r="FV29" s="222"/>
      <c r="FW29" s="222"/>
      <c r="FX29" s="222"/>
      <c r="FY29" s="222"/>
      <c r="FZ29" s="69"/>
      <c r="GA29" s="69"/>
      <c r="GB29" s="222"/>
      <c r="GC29" s="222"/>
      <c r="GD29" s="222"/>
      <c r="GE29" s="222"/>
      <c r="GF29" s="222"/>
      <c r="GG29" s="222"/>
      <c r="GH29" s="222"/>
      <c r="GI29" s="222"/>
      <c r="GJ29" s="222"/>
      <c r="GK29" s="222"/>
      <c r="GL29" s="293"/>
      <c r="GM29" s="292"/>
      <c r="GN29" s="222"/>
      <c r="GO29" s="222"/>
      <c r="GP29" s="222"/>
      <c r="GQ29" s="222"/>
      <c r="GR29" s="222"/>
      <c r="GS29" s="222"/>
      <c r="GT29" s="222"/>
      <c r="GU29" s="222"/>
      <c r="GV29" s="222"/>
      <c r="GW29" s="222"/>
      <c r="GX29" s="222"/>
      <c r="GY29" s="222"/>
      <c r="GZ29" s="222"/>
      <c r="HA29" s="222"/>
      <c r="HB29" s="222"/>
      <c r="HC29" s="222"/>
      <c r="HD29" s="222"/>
      <c r="HE29" s="222"/>
      <c r="HF29" s="222"/>
      <c r="HG29" s="222"/>
      <c r="HH29" s="222"/>
      <c r="HI29" s="222"/>
      <c r="HJ29" s="222"/>
      <c r="HK29" s="222"/>
      <c r="HL29" s="222"/>
      <c r="HM29" s="222"/>
      <c r="HN29" s="222"/>
      <c r="HO29" s="222"/>
      <c r="HP29" s="66" t="s">
        <v>1</v>
      </c>
      <c r="HQ29" s="303"/>
      <c r="HR29" s="292"/>
      <c r="HS29" s="222"/>
      <c r="HT29" s="222"/>
      <c r="HU29" s="222"/>
      <c r="HV29" s="222"/>
      <c r="HW29" s="222"/>
      <c r="HX29" s="222"/>
      <c r="HY29" s="222"/>
      <c r="HZ29" s="222"/>
      <c r="IA29" s="222"/>
      <c r="IB29" s="222"/>
      <c r="IC29" s="222"/>
      <c r="ID29" s="222"/>
      <c r="IE29" s="222"/>
      <c r="IF29" s="222"/>
      <c r="IG29" s="222"/>
      <c r="IH29" s="222"/>
      <c r="II29" s="222"/>
      <c r="IJ29" s="222"/>
      <c r="IK29" s="222"/>
      <c r="IL29" s="222"/>
      <c r="IM29" s="222"/>
      <c r="IN29" s="222"/>
      <c r="IO29" s="222"/>
      <c r="IP29" s="222"/>
      <c r="IQ29" s="222"/>
      <c r="IR29" s="222"/>
      <c r="IS29" s="222"/>
      <c r="IT29" s="222"/>
      <c r="IU29" s="293"/>
      <c r="IV29" s="292"/>
      <c r="IW29" s="222"/>
      <c r="IX29" s="222"/>
      <c r="IY29" s="222"/>
      <c r="IZ29" s="66" t="s">
        <v>1</v>
      </c>
      <c r="JA29" s="222"/>
      <c r="JB29" s="222"/>
      <c r="JC29" s="69"/>
      <c r="JD29" s="222"/>
      <c r="JE29" s="222"/>
      <c r="JF29" s="222"/>
      <c r="JG29" s="222"/>
      <c r="JH29" s="222"/>
      <c r="JI29" s="222"/>
      <c r="JJ29" s="222"/>
      <c r="JK29" s="222"/>
      <c r="JL29" s="222"/>
      <c r="JM29" s="222"/>
      <c r="JN29" s="222"/>
      <c r="JO29" s="222"/>
      <c r="JP29" s="222"/>
      <c r="JQ29" s="222"/>
      <c r="JR29" s="222"/>
      <c r="JS29" s="222"/>
      <c r="JT29" s="69"/>
      <c r="JU29" s="66" t="s">
        <v>1</v>
      </c>
      <c r="JV29" s="222"/>
      <c r="JW29" s="222"/>
      <c r="JX29" s="222"/>
      <c r="JY29" s="222"/>
      <c r="JZ29" s="293"/>
      <c r="KA29" s="300"/>
      <c r="KB29" s="66" t="s">
        <v>1</v>
      </c>
      <c r="KC29" s="222"/>
      <c r="KD29" s="222"/>
      <c r="KE29" s="222"/>
      <c r="KF29" s="222"/>
      <c r="KG29" s="222"/>
      <c r="KH29" s="222"/>
      <c r="KI29" s="222"/>
      <c r="KJ29" s="222"/>
      <c r="KK29" s="222"/>
      <c r="KL29" s="222"/>
      <c r="KM29" s="222"/>
      <c r="KN29" s="222"/>
      <c r="KO29" s="222"/>
      <c r="KP29" s="222"/>
      <c r="KQ29" s="222"/>
      <c r="KR29" s="222"/>
      <c r="KS29" s="222"/>
      <c r="KT29" s="222"/>
      <c r="KU29" s="222"/>
      <c r="KV29" s="222"/>
      <c r="KW29" s="222"/>
      <c r="KX29" s="222"/>
      <c r="KY29" s="222"/>
      <c r="KZ29" s="222"/>
      <c r="LA29" s="222"/>
      <c r="LB29" s="222"/>
      <c r="LC29" s="222"/>
      <c r="LD29" s="222"/>
      <c r="LE29" s="293"/>
      <c r="LF29" s="292"/>
      <c r="LG29" s="222"/>
      <c r="LH29" s="222"/>
      <c r="LI29" s="222"/>
      <c r="LJ29" s="222"/>
      <c r="LK29" s="222"/>
      <c r="LL29" s="222"/>
      <c r="LM29" s="222"/>
      <c r="LN29" s="222"/>
      <c r="LO29" s="222"/>
      <c r="LP29" s="222"/>
      <c r="LQ29" s="222"/>
      <c r="LR29" s="222"/>
      <c r="LS29" s="222"/>
      <c r="LT29" s="222"/>
      <c r="LU29" s="222"/>
      <c r="LV29" s="222"/>
      <c r="LW29" s="222"/>
      <c r="LX29" s="222"/>
      <c r="LY29" s="222"/>
      <c r="LZ29" s="222"/>
      <c r="MA29" s="222"/>
      <c r="MB29" s="222"/>
      <c r="MC29" s="222"/>
      <c r="MD29" s="222"/>
      <c r="ME29" s="222"/>
      <c r="MF29" s="222"/>
      <c r="MG29" s="293"/>
      <c r="MH29" s="292"/>
      <c r="MI29" s="222"/>
      <c r="MJ29" s="222"/>
      <c r="MK29" s="222"/>
      <c r="ML29" s="222"/>
      <c r="MM29" s="222"/>
      <c r="MN29" s="222"/>
      <c r="MO29" s="222"/>
      <c r="MP29" s="66" t="s">
        <v>1</v>
      </c>
      <c r="MQ29" s="66" t="s">
        <v>1</v>
      </c>
      <c r="MR29" s="66" t="s">
        <v>1</v>
      </c>
      <c r="MS29" s="66" t="s">
        <v>1</v>
      </c>
      <c r="MT29" s="66" t="s">
        <v>1</v>
      </c>
      <c r="MU29" s="222"/>
      <c r="MV29" s="222"/>
      <c r="MW29" s="66" t="s">
        <v>1</v>
      </c>
      <c r="MX29" s="66" t="s">
        <v>1</v>
      </c>
      <c r="MY29" s="66" t="s">
        <v>1</v>
      </c>
      <c r="MZ29" s="66" t="s">
        <v>1</v>
      </c>
      <c r="NA29" s="66" t="s">
        <v>1</v>
      </c>
      <c r="NB29" s="222"/>
      <c r="NC29" s="222"/>
      <c r="ND29" s="222"/>
      <c r="NE29" s="222"/>
      <c r="NF29" s="222"/>
      <c r="NG29" s="222"/>
      <c r="NH29" s="222"/>
      <c r="NI29" s="222"/>
      <c r="NJ29" s="222"/>
      <c r="NK29" s="222"/>
      <c r="NL29" s="293"/>
    </row>
    <row r="30" spans="1:376" customFormat="1" ht="15" customHeight="1">
      <c r="A30" s="1"/>
      <c r="B30" s="350" t="s">
        <v>107</v>
      </c>
      <c r="C30" s="350" t="s">
        <v>30</v>
      </c>
      <c r="D30" s="350" t="s">
        <v>106</v>
      </c>
      <c r="E30" s="37">
        <v>0</v>
      </c>
      <c r="F30" s="29">
        <v>15</v>
      </c>
      <c r="G30" s="29">
        <v>3</v>
      </c>
      <c r="H30" s="29">
        <f t="shared" si="12"/>
        <v>1</v>
      </c>
      <c r="I30" s="30">
        <f t="shared" si="13"/>
        <v>3</v>
      </c>
      <c r="J30" s="30">
        <f t="shared" si="14"/>
        <v>0</v>
      </c>
      <c r="K30" s="71">
        <f t="shared" si="15"/>
        <v>0</v>
      </c>
      <c r="L30" s="147"/>
      <c r="M30" s="8"/>
      <c r="N30" s="8"/>
      <c r="O30" s="8"/>
      <c r="P30" s="7"/>
      <c r="Q30" s="7"/>
      <c r="R30" s="8"/>
      <c r="S30" s="8"/>
      <c r="T30" s="8"/>
      <c r="U30" s="8"/>
      <c r="V30" s="8"/>
      <c r="W30" s="7"/>
      <c r="X30" s="7"/>
      <c r="Y30" s="8"/>
      <c r="Z30" s="8"/>
      <c r="AA30" s="8"/>
      <c r="AB30" s="8"/>
      <c r="AC30" s="69"/>
      <c r="AD30" s="7"/>
      <c r="AE30" s="7"/>
      <c r="AF30" s="8"/>
      <c r="AG30" s="8"/>
      <c r="AH30" s="8"/>
      <c r="AI30" s="8"/>
      <c r="AJ30" s="8"/>
      <c r="AK30" s="7"/>
      <c r="AL30" s="7"/>
      <c r="AM30" s="8"/>
      <c r="AN30" s="8"/>
      <c r="AO30" s="148"/>
      <c r="AP30" s="300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69"/>
      <c r="BK30" s="222"/>
      <c r="BL30" s="222"/>
      <c r="BM30" s="222"/>
      <c r="BN30" s="222"/>
      <c r="BO30" s="222"/>
      <c r="BP30" s="222"/>
      <c r="BQ30" s="222"/>
      <c r="BR30" s="222"/>
      <c r="BS30" s="222"/>
      <c r="BT30" s="148"/>
      <c r="BU30" s="29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  <c r="CI30" s="222"/>
      <c r="CJ30" s="222"/>
      <c r="CK30" s="222"/>
      <c r="CL30" s="222"/>
      <c r="CM30" s="222"/>
      <c r="CN30" s="69"/>
      <c r="CO30" s="222"/>
      <c r="CP30" s="222"/>
      <c r="CQ30" s="222"/>
      <c r="CR30" s="222"/>
      <c r="CS30" s="222"/>
      <c r="CT30" s="222"/>
      <c r="CU30" s="222"/>
      <c r="CV30" s="222"/>
      <c r="CW30" s="222"/>
      <c r="CX30" s="293"/>
      <c r="CY30" s="292"/>
      <c r="CZ30" s="222"/>
      <c r="DA30" s="222"/>
      <c r="DB30" s="222"/>
      <c r="DC30" s="222"/>
      <c r="DD30" s="222"/>
      <c r="DE30" s="222"/>
      <c r="DF30" s="222"/>
      <c r="DG30" s="222"/>
      <c r="DH30" s="222"/>
      <c r="DI30" s="222"/>
      <c r="DJ30" s="222"/>
      <c r="DK30" s="222"/>
      <c r="DL30" s="66" t="s">
        <v>1</v>
      </c>
      <c r="DM30" s="66" t="s">
        <v>1</v>
      </c>
      <c r="DN30" s="69"/>
      <c r="DO30" s="222"/>
      <c r="DP30" s="222"/>
      <c r="DQ30" s="222"/>
      <c r="DR30" s="222"/>
      <c r="DS30" s="222"/>
      <c r="DT30" s="222"/>
      <c r="DU30" s="222"/>
      <c r="DV30" s="222"/>
      <c r="DW30" s="222"/>
      <c r="DX30" s="222"/>
      <c r="DY30" s="222"/>
      <c r="DZ30" s="222"/>
      <c r="EA30" s="222"/>
      <c r="EB30" s="222"/>
      <c r="EC30" s="293"/>
      <c r="ED30" s="292"/>
      <c r="EE30" s="222"/>
      <c r="EF30" s="222"/>
      <c r="EG30" s="222"/>
      <c r="EH30" s="222"/>
      <c r="EI30" s="222"/>
      <c r="EJ30" s="222"/>
      <c r="EK30" s="222"/>
      <c r="EL30" s="222"/>
      <c r="EM30" s="222"/>
      <c r="EN30" s="222"/>
      <c r="EO30" s="222"/>
      <c r="EP30" s="222"/>
      <c r="EQ30" s="222"/>
      <c r="ER30" s="69"/>
      <c r="ES30" s="222"/>
      <c r="ET30" s="222"/>
      <c r="EU30" s="222"/>
      <c r="EV30" s="222"/>
      <c r="EW30" s="222"/>
      <c r="EX30" s="222"/>
      <c r="EY30" s="222"/>
      <c r="EZ30" s="222"/>
      <c r="FA30" s="222"/>
      <c r="FB30" s="222"/>
      <c r="FC30" s="222"/>
      <c r="FD30" s="222"/>
      <c r="FE30" s="222"/>
      <c r="FF30" s="222"/>
      <c r="FG30" s="222"/>
      <c r="FH30" s="293"/>
      <c r="FI30" s="292"/>
      <c r="FJ30" s="222"/>
      <c r="FK30" s="222"/>
      <c r="FL30" s="222"/>
      <c r="FM30" s="222"/>
      <c r="FN30" s="222"/>
      <c r="FO30" s="222"/>
      <c r="FP30" s="222"/>
      <c r="FQ30" s="222"/>
      <c r="FR30" s="222"/>
      <c r="FS30" s="222"/>
      <c r="FT30" s="222"/>
      <c r="FU30" s="222"/>
      <c r="FV30" s="222"/>
      <c r="FW30" s="222"/>
      <c r="FX30" s="222"/>
      <c r="FY30" s="222"/>
      <c r="FZ30" s="69"/>
      <c r="GA30" s="69"/>
      <c r="GB30" s="222"/>
      <c r="GC30" s="222"/>
      <c r="GD30" s="66" t="s">
        <v>1</v>
      </c>
      <c r="GE30" s="66" t="s">
        <v>1</v>
      </c>
      <c r="GF30" s="66" t="s">
        <v>1</v>
      </c>
      <c r="GG30" s="222"/>
      <c r="GH30" s="222"/>
      <c r="GI30" s="222"/>
      <c r="GJ30" s="222"/>
      <c r="GK30" s="222"/>
      <c r="GL30" s="293"/>
      <c r="GM30" s="292"/>
      <c r="GN30" s="222"/>
      <c r="GO30" s="222"/>
      <c r="GP30" s="222"/>
      <c r="GQ30" s="222"/>
      <c r="GR30" s="222"/>
      <c r="GS30" s="222"/>
      <c r="GT30" s="222"/>
      <c r="GU30" s="222"/>
      <c r="GV30" s="222"/>
      <c r="GW30" s="222"/>
      <c r="GX30" s="222"/>
      <c r="GY30" s="222"/>
      <c r="GZ30" s="222"/>
      <c r="HA30" s="222"/>
      <c r="HB30" s="222"/>
      <c r="HC30" s="222"/>
      <c r="HD30" s="222"/>
      <c r="HE30" s="222"/>
      <c r="HF30" s="222"/>
      <c r="HG30" s="222"/>
      <c r="HH30" s="222"/>
      <c r="HI30" s="222"/>
      <c r="HJ30" s="222"/>
      <c r="HK30" s="222"/>
      <c r="HL30" s="222"/>
      <c r="HM30" s="222"/>
      <c r="HN30" s="222"/>
      <c r="HO30" s="222"/>
      <c r="HP30" s="222"/>
      <c r="HQ30" s="303"/>
      <c r="HR30" s="292"/>
      <c r="HS30" s="222"/>
      <c r="HT30" s="222"/>
      <c r="HU30" s="222"/>
      <c r="HV30" s="222"/>
      <c r="HW30" s="222"/>
      <c r="HX30" s="222"/>
      <c r="HY30" s="222"/>
      <c r="HZ30" s="222"/>
      <c r="IA30" s="222"/>
      <c r="IB30" s="222"/>
      <c r="IC30" s="222"/>
      <c r="ID30" s="222"/>
      <c r="IE30" s="222"/>
      <c r="IF30" s="222"/>
      <c r="IG30" s="222"/>
      <c r="IH30" s="222"/>
      <c r="II30" s="222"/>
      <c r="IJ30" s="222"/>
      <c r="IK30" s="222"/>
      <c r="IL30" s="222"/>
      <c r="IM30" s="222"/>
      <c r="IN30" s="222"/>
      <c r="IO30" s="222"/>
      <c r="IP30" s="222"/>
      <c r="IQ30" s="222"/>
      <c r="IR30" s="222"/>
      <c r="IS30" s="222"/>
      <c r="IT30" s="222"/>
      <c r="IU30" s="293"/>
      <c r="IV30" s="292"/>
      <c r="IW30" s="222"/>
      <c r="IX30" s="222"/>
      <c r="IY30" s="222"/>
      <c r="IZ30" s="222"/>
      <c r="JA30" s="222"/>
      <c r="JB30" s="222"/>
      <c r="JC30" s="69"/>
      <c r="JD30" s="222"/>
      <c r="JE30" s="222"/>
      <c r="JF30" s="222"/>
      <c r="JG30" s="222"/>
      <c r="JH30" s="222"/>
      <c r="JI30" s="222"/>
      <c r="JJ30" s="66" t="s">
        <v>1</v>
      </c>
      <c r="JK30" s="66" t="s">
        <v>1</v>
      </c>
      <c r="JL30" s="66" t="s">
        <v>1</v>
      </c>
      <c r="JM30" s="222"/>
      <c r="JN30" s="222"/>
      <c r="JO30" s="222"/>
      <c r="JP30" s="222"/>
      <c r="JQ30" s="222"/>
      <c r="JR30" s="222"/>
      <c r="JS30" s="222"/>
      <c r="JT30" s="69"/>
      <c r="JU30" s="222"/>
      <c r="JV30" s="222"/>
      <c r="JW30" s="222"/>
      <c r="JX30" s="222"/>
      <c r="JY30" s="222"/>
      <c r="JZ30" s="293"/>
      <c r="KA30" s="300"/>
      <c r="KB30" s="66" t="s">
        <v>1</v>
      </c>
      <c r="KC30" s="222"/>
      <c r="KD30" s="222"/>
      <c r="KE30" s="222"/>
      <c r="KF30" s="222"/>
      <c r="KG30" s="222"/>
      <c r="KH30" s="222"/>
      <c r="KI30" s="222"/>
      <c r="KJ30" s="222"/>
      <c r="KK30" s="222"/>
      <c r="KL30" s="222"/>
      <c r="KM30" s="222"/>
      <c r="KN30" s="222"/>
      <c r="KO30" s="222"/>
      <c r="KP30" s="222"/>
      <c r="KQ30" s="222"/>
      <c r="KR30" s="222"/>
      <c r="KS30" s="222"/>
      <c r="KT30" s="222"/>
      <c r="KU30" s="222"/>
      <c r="KV30" s="222"/>
      <c r="KW30" s="222"/>
      <c r="KX30" s="222"/>
      <c r="KY30" s="222"/>
      <c r="KZ30" s="222"/>
      <c r="LA30" s="222"/>
      <c r="LB30" s="222"/>
      <c r="LC30" s="222"/>
      <c r="LD30" s="222"/>
      <c r="LE30" s="293"/>
      <c r="LF30" s="292"/>
      <c r="LG30" s="222"/>
      <c r="LH30" s="222"/>
      <c r="LI30" s="222"/>
      <c r="LJ30" s="222"/>
      <c r="LK30" s="222"/>
      <c r="LL30" s="222"/>
      <c r="LM30" s="222"/>
      <c r="LN30" s="222"/>
      <c r="LO30" s="222"/>
      <c r="LP30" s="222"/>
      <c r="LQ30" s="222"/>
      <c r="LR30" s="222"/>
      <c r="LS30" s="222"/>
      <c r="LT30" s="222"/>
      <c r="LU30" s="222"/>
      <c r="LV30" s="222"/>
      <c r="LW30" s="222"/>
      <c r="LX30" s="222"/>
      <c r="LY30" s="222"/>
      <c r="LZ30" s="222"/>
      <c r="MA30" s="222"/>
      <c r="MB30" s="66" t="s">
        <v>1</v>
      </c>
      <c r="MC30" s="66" t="s">
        <v>1</v>
      </c>
      <c r="MD30" s="66" t="s">
        <v>1</v>
      </c>
      <c r="ME30" s="66" t="s">
        <v>1</v>
      </c>
      <c r="MF30" s="66" t="s">
        <v>1</v>
      </c>
      <c r="MG30" s="293"/>
      <c r="MH30" s="292"/>
      <c r="MI30" s="222"/>
      <c r="MJ30" s="222"/>
      <c r="MK30" s="222"/>
      <c r="ML30" s="222"/>
      <c r="MM30" s="222"/>
      <c r="MN30" s="222"/>
      <c r="MO30" s="222"/>
      <c r="MP30" s="222"/>
      <c r="MQ30" s="222"/>
      <c r="MR30" s="222"/>
      <c r="MS30" s="222"/>
      <c r="MT30" s="222"/>
      <c r="MU30" s="222"/>
      <c r="MV30" s="222"/>
      <c r="MW30" s="222"/>
      <c r="MX30" s="222"/>
      <c r="MY30" s="222"/>
      <c r="MZ30" s="222"/>
      <c r="NA30" s="222"/>
      <c r="NB30" s="222"/>
      <c r="NC30" s="222"/>
      <c r="ND30" s="222"/>
      <c r="NE30" s="222"/>
      <c r="NF30" s="222"/>
      <c r="NG30" s="222"/>
      <c r="NH30" s="222"/>
      <c r="NI30" s="222"/>
      <c r="NJ30" s="222"/>
      <c r="NK30" s="222"/>
      <c r="NL30" s="293"/>
    </row>
    <row r="31" spans="1:376" customFormat="1" ht="15" hidden="1" customHeight="1">
      <c r="A31" s="1"/>
      <c r="B31" s="278" t="s">
        <v>108</v>
      </c>
      <c r="C31" s="278" t="s">
        <v>30</v>
      </c>
      <c r="D31" s="278" t="s">
        <v>106</v>
      </c>
      <c r="E31" s="37">
        <v>0</v>
      </c>
      <c r="F31" s="29">
        <v>15</v>
      </c>
      <c r="G31" s="29">
        <v>3</v>
      </c>
      <c r="H31" s="29">
        <f t="shared" si="12"/>
        <v>15</v>
      </c>
      <c r="I31" s="30">
        <f>G31-COUNTIF(L31:NL31,$C$3)</f>
        <v>3</v>
      </c>
      <c r="J31" s="30">
        <f t="shared" si="14"/>
        <v>0</v>
      </c>
      <c r="K31" s="71">
        <f t="shared" si="15"/>
        <v>0</v>
      </c>
      <c r="L31" s="246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247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245"/>
      <c r="AP31" s="301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247"/>
      <c r="BK31" s="32"/>
      <c r="BL31" s="32"/>
      <c r="BM31" s="32"/>
      <c r="BN31" s="32"/>
      <c r="BO31" s="32"/>
      <c r="BP31" s="32"/>
      <c r="BQ31" s="32"/>
      <c r="BR31" s="32"/>
      <c r="BS31" s="32"/>
      <c r="BT31" s="245"/>
      <c r="BU31" s="246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247"/>
      <c r="CO31" s="32"/>
      <c r="CP31" s="32"/>
      <c r="CQ31" s="32"/>
      <c r="CR31" s="32"/>
      <c r="CS31" s="32"/>
      <c r="CT31" s="32"/>
      <c r="CU31" s="32"/>
      <c r="CV31" s="32"/>
      <c r="CW31" s="32"/>
      <c r="CX31" s="245"/>
      <c r="CY31" s="246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247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245"/>
      <c r="ED31" s="246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247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245"/>
      <c r="FI31" s="246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247"/>
      <c r="GA31" s="247"/>
      <c r="GB31" s="247"/>
      <c r="GC31" s="32"/>
      <c r="GD31" s="32"/>
      <c r="GE31" s="32"/>
      <c r="GF31" s="32"/>
      <c r="GG31" s="32"/>
      <c r="GH31" s="32"/>
      <c r="GI31" s="32"/>
      <c r="GJ31" s="32"/>
      <c r="GK31" s="32"/>
      <c r="GL31" s="245"/>
      <c r="GM31" s="246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04"/>
      <c r="HR31" s="301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245"/>
      <c r="IV31" s="246"/>
      <c r="IW31" s="32"/>
      <c r="IX31" s="32"/>
      <c r="IY31" s="32"/>
      <c r="IZ31" s="32"/>
      <c r="JA31" s="32"/>
      <c r="JB31" s="32"/>
      <c r="JC31" s="32"/>
      <c r="JD31" s="32"/>
      <c r="JE31" s="32"/>
      <c r="JF31" s="32"/>
      <c r="JG31" s="32"/>
      <c r="JH31" s="32"/>
      <c r="JI31" s="32"/>
      <c r="JJ31" s="32"/>
      <c r="JK31" s="32"/>
      <c r="JL31" s="32"/>
      <c r="JM31" s="32"/>
      <c r="JN31" s="32"/>
      <c r="JO31" s="32"/>
      <c r="JP31" s="32"/>
      <c r="JQ31" s="32"/>
      <c r="JR31" s="32"/>
      <c r="JS31" s="32"/>
      <c r="JT31" s="32"/>
      <c r="JU31" s="32"/>
      <c r="JV31" s="32"/>
      <c r="JW31" s="32"/>
      <c r="JX31" s="32"/>
      <c r="JY31" s="32"/>
      <c r="JZ31" s="245"/>
      <c r="KA31" s="301"/>
      <c r="KB31" s="32"/>
      <c r="KC31" s="32"/>
      <c r="KD31" s="32"/>
      <c r="KE31" s="32"/>
      <c r="KF31" s="32"/>
      <c r="KG31" s="32"/>
      <c r="KH31" s="32"/>
      <c r="KI31" s="32"/>
      <c r="KJ31" s="32"/>
      <c r="KK31" s="32"/>
      <c r="KL31" s="32"/>
      <c r="KM31" s="32"/>
      <c r="KN31" s="32"/>
      <c r="KO31" s="32"/>
      <c r="KP31" s="32"/>
      <c r="KQ31" s="32"/>
      <c r="KR31" s="32"/>
      <c r="KS31" s="32"/>
      <c r="KT31" s="32"/>
      <c r="KU31" s="32"/>
      <c r="KV31" s="32"/>
      <c r="KW31" s="32"/>
      <c r="KX31" s="32"/>
      <c r="KY31" s="32"/>
      <c r="KZ31" s="32"/>
      <c r="LA31" s="32"/>
      <c r="LB31" s="32"/>
      <c r="LC31" s="32"/>
      <c r="LD31" s="32"/>
      <c r="LE31" s="245"/>
      <c r="LF31" s="246"/>
      <c r="LG31" s="32"/>
      <c r="LH31" s="32"/>
      <c r="LI31" s="32"/>
      <c r="LJ31" s="32"/>
      <c r="LK31" s="32"/>
      <c r="LL31" s="32"/>
      <c r="LM31" s="32"/>
      <c r="LN31" s="32"/>
      <c r="LO31" s="32"/>
      <c r="LP31" s="32"/>
      <c r="LQ31" s="32"/>
      <c r="LR31" s="32"/>
      <c r="LS31" s="32"/>
      <c r="LT31" s="32"/>
      <c r="LU31" s="32"/>
      <c r="LV31" s="32"/>
      <c r="LW31" s="32"/>
      <c r="LX31" s="32"/>
      <c r="LY31" s="32"/>
      <c r="LZ31" s="32"/>
      <c r="MA31" s="32"/>
      <c r="MB31" s="32"/>
      <c r="MC31" s="32"/>
      <c r="MD31" s="32"/>
      <c r="ME31" s="32"/>
      <c r="MF31" s="32"/>
      <c r="MG31" s="245"/>
      <c r="MH31" s="246"/>
      <c r="MI31" s="32"/>
      <c r="MJ31" s="32"/>
      <c r="MK31" s="32"/>
      <c r="ML31" s="32"/>
      <c r="MM31" s="32"/>
      <c r="MN31" s="32"/>
      <c r="MO31" s="32"/>
      <c r="MP31" s="32"/>
      <c r="MQ31" s="32"/>
      <c r="MR31" s="32"/>
      <c r="MS31" s="32"/>
      <c r="MT31" s="32"/>
      <c r="MU31" s="32"/>
      <c r="MV31" s="32"/>
      <c r="MW31" s="32"/>
      <c r="MX31" s="32"/>
      <c r="MY31" s="32"/>
      <c r="MZ31" s="32"/>
      <c r="NA31" s="32"/>
      <c r="NB31" s="32"/>
      <c r="NC31" s="32"/>
      <c r="ND31" s="32"/>
      <c r="NE31" s="32"/>
      <c r="NF31" s="32"/>
      <c r="NG31" s="32"/>
      <c r="NH31" s="32"/>
      <c r="NI31" s="32"/>
      <c r="NJ31" s="32"/>
      <c r="NK31" s="32"/>
      <c r="NL31" s="245"/>
    </row>
    <row r="32" spans="1:376" customFormat="1" ht="15" hidden="1" customHeight="1">
      <c r="A32" s="1"/>
      <c r="B32" s="278" t="s">
        <v>113</v>
      </c>
      <c r="C32" s="278" t="s">
        <v>30</v>
      </c>
      <c r="D32" s="278" t="s">
        <v>106</v>
      </c>
      <c r="E32" s="37">
        <v>0</v>
      </c>
      <c r="F32" s="29">
        <v>15</v>
      </c>
      <c r="G32" s="29">
        <v>3</v>
      </c>
      <c r="H32" s="29">
        <f t="shared" si="12"/>
        <v>15</v>
      </c>
      <c r="I32" s="30">
        <f>G32-COUNTIF(L32:NL32,$C$3)</f>
        <v>3</v>
      </c>
      <c r="J32" s="30">
        <f t="shared" si="14"/>
        <v>0</v>
      </c>
      <c r="K32" s="71">
        <f t="shared" si="15"/>
        <v>0</v>
      </c>
      <c r="L32" s="147"/>
      <c r="M32" s="8"/>
      <c r="N32" s="8"/>
      <c r="O32" s="8"/>
      <c r="P32" s="7"/>
      <c r="Q32" s="7"/>
      <c r="R32" s="8"/>
      <c r="S32" s="8"/>
      <c r="T32" s="8"/>
      <c r="U32" s="8"/>
      <c r="V32" s="8"/>
      <c r="W32" s="7"/>
      <c r="X32" s="7"/>
      <c r="Y32" s="8"/>
      <c r="Z32" s="8"/>
      <c r="AA32" s="8"/>
      <c r="AB32" s="8"/>
      <c r="AC32" s="69"/>
      <c r="AD32" s="7"/>
      <c r="AE32" s="7"/>
      <c r="AF32" s="8"/>
      <c r="AG32" s="8"/>
      <c r="AH32" s="8"/>
      <c r="AI32" s="8"/>
      <c r="AJ32" s="8"/>
      <c r="AK32" s="7"/>
      <c r="AL32" s="7"/>
      <c r="AM32" s="8"/>
      <c r="AN32" s="8"/>
      <c r="AO32" s="148"/>
      <c r="AP32" s="301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247"/>
      <c r="BK32" s="32"/>
      <c r="BL32" s="32"/>
      <c r="BM32" s="32"/>
      <c r="BN32" s="32"/>
      <c r="BO32" s="32"/>
      <c r="BP32" s="32"/>
      <c r="BQ32" s="32"/>
      <c r="BR32" s="32"/>
      <c r="BS32" s="32"/>
      <c r="BT32" s="245"/>
      <c r="BU32" s="246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247"/>
      <c r="CO32" s="32"/>
      <c r="CP32" s="32"/>
      <c r="CQ32" s="32"/>
      <c r="CR32" s="32"/>
      <c r="CS32" s="32"/>
      <c r="CT32" s="32"/>
      <c r="CU32" s="32"/>
      <c r="CV32" s="32"/>
      <c r="CW32" s="32"/>
      <c r="CX32" s="245"/>
      <c r="CY32" s="246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247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245"/>
      <c r="ED32" s="246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247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245"/>
      <c r="FI32" s="246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247"/>
      <c r="GA32" s="247"/>
      <c r="GB32" s="247"/>
      <c r="GC32" s="32"/>
      <c r="GD32" s="32"/>
      <c r="GE32" s="32"/>
      <c r="GF32" s="32"/>
      <c r="GG32" s="32"/>
      <c r="GH32" s="32"/>
      <c r="GI32" s="32"/>
      <c r="GJ32" s="32"/>
      <c r="GK32" s="32"/>
      <c r="GL32" s="245"/>
      <c r="GM32" s="246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04"/>
      <c r="HR32" s="301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245"/>
      <c r="IV32" s="246"/>
      <c r="IW32" s="32"/>
      <c r="IX32" s="32"/>
      <c r="IY32" s="32"/>
      <c r="IZ32" s="32"/>
      <c r="JA32" s="32"/>
      <c r="JB32" s="32"/>
      <c r="JC32" s="32"/>
      <c r="JD32" s="32"/>
      <c r="JE32" s="32"/>
      <c r="JF32" s="32"/>
      <c r="JG32" s="32"/>
      <c r="JH32" s="32"/>
      <c r="JI32" s="32"/>
      <c r="JJ32" s="32"/>
      <c r="JK32" s="32"/>
      <c r="JL32" s="32"/>
      <c r="JM32" s="32"/>
      <c r="JN32" s="32"/>
      <c r="JO32" s="32"/>
      <c r="JP32" s="32"/>
      <c r="JQ32" s="32"/>
      <c r="JR32" s="32"/>
      <c r="JS32" s="32"/>
      <c r="JT32" s="32"/>
      <c r="JU32" s="32"/>
      <c r="JV32" s="32"/>
      <c r="JW32" s="32"/>
      <c r="JX32" s="32"/>
      <c r="JY32" s="32"/>
      <c r="JZ32" s="245"/>
      <c r="KA32" s="301"/>
      <c r="KB32" s="32"/>
      <c r="KC32" s="32"/>
      <c r="KD32" s="32"/>
      <c r="KE32" s="32"/>
      <c r="KF32" s="32"/>
      <c r="KG32" s="32"/>
      <c r="KH32" s="32"/>
      <c r="KI32" s="32"/>
      <c r="KJ32" s="32"/>
      <c r="KK32" s="32"/>
      <c r="KL32" s="32"/>
      <c r="KM32" s="32"/>
      <c r="KN32" s="32"/>
      <c r="KO32" s="32"/>
      <c r="KP32" s="32"/>
      <c r="KQ32" s="32"/>
      <c r="KR32" s="32"/>
      <c r="KS32" s="32"/>
      <c r="KT32" s="32"/>
      <c r="KU32" s="32"/>
      <c r="KV32" s="32"/>
      <c r="KW32" s="32"/>
      <c r="KX32" s="32"/>
      <c r="KY32" s="32"/>
      <c r="KZ32" s="32"/>
      <c r="LA32" s="32"/>
      <c r="LB32" s="32"/>
      <c r="LC32" s="32"/>
      <c r="LD32" s="32"/>
      <c r="LE32" s="245"/>
      <c r="LF32" s="246"/>
      <c r="LG32" s="32"/>
      <c r="LH32" s="32"/>
      <c r="LI32" s="32"/>
      <c r="LJ32" s="32"/>
      <c r="LK32" s="32"/>
      <c r="LL32" s="32"/>
      <c r="LM32" s="32"/>
      <c r="LN32" s="32"/>
      <c r="LO32" s="32"/>
      <c r="LP32" s="32"/>
      <c r="LQ32" s="32"/>
      <c r="LR32" s="32"/>
      <c r="LS32" s="32"/>
      <c r="LT32" s="32"/>
      <c r="LU32" s="32"/>
      <c r="LV32" s="32"/>
      <c r="LW32" s="32"/>
      <c r="LX32" s="32"/>
      <c r="LY32" s="32"/>
      <c r="LZ32" s="32"/>
      <c r="MA32" s="32"/>
      <c r="MB32" s="32"/>
      <c r="MC32" s="32"/>
      <c r="MD32" s="32"/>
      <c r="ME32" s="32"/>
      <c r="MF32" s="32"/>
      <c r="MG32" s="245"/>
      <c r="MH32" s="246"/>
      <c r="MI32" s="32"/>
      <c r="MJ32" s="32"/>
      <c r="MK32" s="32"/>
      <c r="ML32" s="32"/>
      <c r="MM32" s="32"/>
      <c r="MN32" s="32"/>
      <c r="MO32" s="32"/>
      <c r="MP32" s="32"/>
      <c r="MQ32" s="32"/>
      <c r="MR32" s="32"/>
      <c r="MS32" s="32"/>
      <c r="MT32" s="32"/>
      <c r="MU32" s="32"/>
      <c r="MV32" s="32"/>
      <c r="MW32" s="32"/>
      <c r="MX32" s="32"/>
      <c r="MY32" s="32"/>
      <c r="MZ32" s="32"/>
      <c r="NA32" s="32"/>
      <c r="NB32" s="32"/>
      <c r="NC32" s="32"/>
      <c r="ND32" s="32"/>
      <c r="NE32" s="32"/>
      <c r="NF32" s="32"/>
      <c r="NG32" s="32"/>
      <c r="NH32" s="32"/>
      <c r="NI32" s="32"/>
      <c r="NJ32" s="32"/>
      <c r="NK32" s="32"/>
      <c r="NL32" s="245"/>
    </row>
    <row r="33" spans="2:376">
      <c r="B33" s="29" t="s">
        <v>114</v>
      </c>
      <c r="C33" s="29" t="s">
        <v>30</v>
      </c>
      <c r="D33" s="29" t="s">
        <v>124</v>
      </c>
      <c r="E33" s="37">
        <v>0</v>
      </c>
      <c r="F33" s="29">
        <v>15</v>
      </c>
      <c r="G33" s="29">
        <v>3</v>
      </c>
      <c r="H33" s="29">
        <f t="shared" si="12"/>
        <v>-4</v>
      </c>
      <c r="I33" s="30">
        <f t="shared" ref="I33:I38" si="16">G33-COUNTIF(L33:NL33,$C$3)</f>
        <v>3</v>
      </c>
      <c r="J33" s="30">
        <f t="shared" si="14"/>
        <v>0</v>
      </c>
      <c r="K33" s="71">
        <f t="shared" si="15"/>
        <v>0</v>
      </c>
      <c r="L33" s="147"/>
      <c r="M33" s="8"/>
      <c r="N33" s="8"/>
      <c r="O33" s="8"/>
      <c r="P33" s="7"/>
      <c r="Q33" s="7"/>
      <c r="R33" s="8"/>
      <c r="S33" s="8"/>
      <c r="T33" s="8"/>
      <c r="U33" s="8"/>
      <c r="V33" s="8"/>
      <c r="W33" s="7"/>
      <c r="X33" s="7"/>
      <c r="Y33" s="8"/>
      <c r="Z33" s="8"/>
      <c r="AA33" s="8"/>
      <c r="AB33" s="8"/>
      <c r="AC33" s="69"/>
      <c r="AD33" s="7"/>
      <c r="AE33" s="7"/>
      <c r="AF33" s="8"/>
      <c r="AG33" s="8"/>
      <c r="AH33" s="8"/>
      <c r="AI33" s="8"/>
      <c r="AJ33" s="8"/>
      <c r="AK33" s="7"/>
      <c r="AL33" s="7"/>
      <c r="AM33" s="8"/>
      <c r="AN33" s="8"/>
      <c r="AO33" s="148"/>
      <c r="AP33" s="300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69"/>
      <c r="BK33" s="222"/>
      <c r="BL33" s="222"/>
      <c r="BM33" s="222"/>
      <c r="BN33" s="222"/>
      <c r="BO33" s="222"/>
      <c r="BP33" s="222"/>
      <c r="BQ33" s="222"/>
      <c r="BR33" s="222"/>
      <c r="BS33" s="222"/>
      <c r="BT33" s="148"/>
      <c r="BU33" s="292"/>
      <c r="BV33" s="222"/>
      <c r="BW33" s="222"/>
      <c r="BX33" s="222"/>
      <c r="BY33" s="222"/>
      <c r="BZ33" s="222"/>
      <c r="CA33" s="222"/>
      <c r="CB33" s="222"/>
      <c r="CC33" s="66" t="s">
        <v>1</v>
      </c>
      <c r="CD33" s="222"/>
      <c r="CE33" s="222"/>
      <c r="CF33" s="222"/>
      <c r="CG33" s="222"/>
      <c r="CH33" s="222"/>
      <c r="CI33" s="222"/>
      <c r="CJ33" s="222"/>
      <c r="CK33" s="222"/>
      <c r="CL33" s="222"/>
      <c r="CM33" s="222"/>
      <c r="CN33" s="69"/>
      <c r="CO33" s="222"/>
      <c r="CP33" s="222"/>
      <c r="CQ33" s="66" t="s">
        <v>1</v>
      </c>
      <c r="CR33" s="222"/>
      <c r="CS33" s="222"/>
      <c r="CT33" s="222"/>
      <c r="CU33" s="222"/>
      <c r="CV33" s="222"/>
      <c r="CW33" s="222"/>
      <c r="CX33" s="293"/>
      <c r="CY33" s="292"/>
      <c r="CZ33" s="222"/>
      <c r="DA33" s="222"/>
      <c r="DB33" s="222"/>
      <c r="DC33" s="222"/>
      <c r="DD33" s="222"/>
      <c r="DE33" s="222"/>
      <c r="DF33" s="222"/>
      <c r="DG33" s="222"/>
      <c r="DH33" s="222"/>
      <c r="DI33" s="222"/>
      <c r="DJ33" s="222"/>
      <c r="DK33" s="222"/>
      <c r="DL33" s="222"/>
      <c r="DM33" s="222"/>
      <c r="DN33" s="69"/>
      <c r="DO33" s="222"/>
      <c r="DP33" s="222"/>
      <c r="DQ33" s="222"/>
      <c r="DR33" s="222"/>
      <c r="DS33" s="222"/>
      <c r="DT33" s="222"/>
      <c r="DU33" s="222"/>
      <c r="DV33" s="222"/>
      <c r="DW33" s="222"/>
      <c r="DX33" s="222"/>
      <c r="DY33" s="222"/>
      <c r="DZ33" s="66" t="s">
        <v>1</v>
      </c>
      <c r="EA33" s="222"/>
      <c r="EB33" s="222"/>
      <c r="EC33" s="293"/>
      <c r="ED33" s="292"/>
      <c r="EE33" s="222"/>
      <c r="EF33" s="222"/>
      <c r="EG33" s="222"/>
      <c r="EH33" s="222"/>
      <c r="EI33" s="222"/>
      <c r="EJ33" s="222"/>
      <c r="EK33" s="222"/>
      <c r="EL33" s="222"/>
      <c r="EM33" s="222"/>
      <c r="EN33" s="222"/>
      <c r="EO33" s="222"/>
      <c r="EP33" s="222"/>
      <c r="EQ33" s="222"/>
      <c r="ER33" s="69"/>
      <c r="ES33" s="222"/>
      <c r="ET33" s="222"/>
      <c r="EU33" s="66" t="s">
        <v>1</v>
      </c>
      <c r="EV33" s="222"/>
      <c r="EW33" s="222"/>
      <c r="EX33" s="222"/>
      <c r="EY33" s="222"/>
      <c r="EZ33" s="222"/>
      <c r="FA33" s="222"/>
      <c r="FB33" s="222"/>
      <c r="FC33" s="222"/>
      <c r="FD33" s="222"/>
      <c r="FE33" s="222"/>
      <c r="FF33" s="222"/>
      <c r="FG33" s="222"/>
      <c r="FH33" s="293"/>
      <c r="FI33" s="292"/>
      <c r="FJ33" s="222"/>
      <c r="FK33" s="222"/>
      <c r="FL33" s="222"/>
      <c r="FM33" s="222"/>
      <c r="FN33" s="222"/>
      <c r="FO33" s="222"/>
      <c r="FP33" s="222"/>
      <c r="FQ33" s="222"/>
      <c r="FR33" s="222"/>
      <c r="FS33" s="222"/>
      <c r="FT33" s="222"/>
      <c r="FU33" s="222"/>
      <c r="FV33" s="222"/>
      <c r="FW33" s="66" t="s">
        <v>1</v>
      </c>
      <c r="FX33" s="66" t="s">
        <v>1</v>
      </c>
      <c r="FY33" s="66" t="s">
        <v>1</v>
      </c>
      <c r="FZ33" s="69"/>
      <c r="GA33" s="69"/>
      <c r="GB33" s="222"/>
      <c r="GC33" s="222"/>
      <c r="GD33" s="222"/>
      <c r="GE33" s="222"/>
      <c r="GF33" s="222"/>
      <c r="GG33" s="222"/>
      <c r="GH33" s="222"/>
      <c r="GI33" s="222"/>
      <c r="GJ33" s="222"/>
      <c r="GK33" s="222"/>
      <c r="GL33" s="293"/>
      <c r="GM33" s="292"/>
      <c r="GN33" s="222"/>
      <c r="GO33" s="222"/>
      <c r="GP33" s="222"/>
      <c r="GQ33" s="222"/>
      <c r="GR33" s="222"/>
      <c r="GS33" s="222"/>
      <c r="GT33" s="222"/>
      <c r="GU33" s="222"/>
      <c r="GV33" s="222"/>
      <c r="GW33" s="222"/>
      <c r="GX33" s="222"/>
      <c r="GY33" s="222"/>
      <c r="GZ33" s="222"/>
      <c r="HA33" s="222"/>
      <c r="HB33" s="222"/>
      <c r="HC33" s="222"/>
      <c r="HD33" s="222"/>
      <c r="HE33" s="222"/>
      <c r="HF33" s="222"/>
      <c r="HG33" s="222"/>
      <c r="HH33" s="222"/>
      <c r="HI33" s="222"/>
      <c r="HJ33" s="222"/>
      <c r="HK33" s="222"/>
      <c r="HL33" s="222"/>
      <c r="HM33" s="66" t="s">
        <v>1</v>
      </c>
      <c r="HN33" s="66" t="s">
        <v>1</v>
      </c>
      <c r="HO33" s="66" t="s">
        <v>1</v>
      </c>
      <c r="HP33" s="66" t="s">
        <v>1</v>
      </c>
      <c r="HQ33" s="303"/>
      <c r="HR33" s="292"/>
      <c r="HS33" s="222"/>
      <c r="HT33" s="222"/>
      <c r="HU33" s="222"/>
      <c r="HV33" s="222"/>
      <c r="HW33" s="222"/>
      <c r="HX33" s="222"/>
      <c r="HY33" s="222"/>
      <c r="HZ33" s="222"/>
      <c r="IA33" s="222"/>
      <c r="IB33" s="222"/>
      <c r="IC33" s="222"/>
      <c r="ID33" s="222"/>
      <c r="IE33" s="66" t="s">
        <v>1</v>
      </c>
      <c r="IF33" s="222"/>
      <c r="IG33" s="222"/>
      <c r="IH33" s="222"/>
      <c r="II33" s="222"/>
      <c r="IJ33" s="222"/>
      <c r="IK33" s="222"/>
      <c r="IL33" s="222"/>
      <c r="IM33" s="222"/>
      <c r="IN33" s="222"/>
      <c r="IO33" s="222"/>
      <c r="IP33" s="222"/>
      <c r="IQ33" s="222"/>
      <c r="IR33" s="222"/>
      <c r="IS33" s="66" t="s">
        <v>1</v>
      </c>
      <c r="IT33" s="222"/>
      <c r="IU33" s="293"/>
      <c r="IV33" s="292"/>
      <c r="IW33" s="222"/>
      <c r="IX33" s="222"/>
      <c r="IY33" s="222"/>
      <c r="IZ33" s="222"/>
      <c r="JA33" s="222"/>
      <c r="JB33" s="222"/>
      <c r="JC33" s="69"/>
      <c r="JD33" s="222"/>
      <c r="JE33" s="222"/>
      <c r="JF33" s="222"/>
      <c r="JG33" s="222"/>
      <c r="JH33" s="222"/>
      <c r="JI33" s="222"/>
      <c r="JJ33" s="222"/>
      <c r="JK33" s="222"/>
      <c r="JL33" s="222"/>
      <c r="JM33" s="222"/>
      <c r="JN33" s="222"/>
      <c r="JO33" s="222"/>
      <c r="JP33" s="222"/>
      <c r="JQ33" s="222"/>
      <c r="JR33" s="222"/>
      <c r="JS33" s="222"/>
      <c r="JT33" s="69"/>
      <c r="JU33" s="66" t="s">
        <v>1</v>
      </c>
      <c r="JV33" s="222"/>
      <c r="JW33" s="222"/>
      <c r="JX33" s="222"/>
      <c r="JY33" s="222"/>
      <c r="JZ33" s="293"/>
      <c r="KA33" s="300"/>
      <c r="KB33" s="66" t="s">
        <v>1</v>
      </c>
      <c r="KC33" s="222"/>
      <c r="KD33" s="222"/>
      <c r="KE33" s="222"/>
      <c r="KF33" s="222"/>
      <c r="KG33" s="222"/>
      <c r="KH33" s="222"/>
      <c r="KI33" s="222"/>
      <c r="KJ33" s="222"/>
      <c r="KK33" s="222"/>
      <c r="KL33" s="222"/>
      <c r="KM33" s="222"/>
      <c r="KN33" s="222"/>
      <c r="KO33" s="222"/>
      <c r="KP33" s="222"/>
      <c r="KQ33" s="222"/>
      <c r="KR33" s="222"/>
      <c r="KS33" s="222"/>
      <c r="KT33" s="222"/>
      <c r="KU33" s="222"/>
      <c r="KV33" s="222"/>
      <c r="KW33" s="222"/>
      <c r="KX33" s="222"/>
      <c r="KY33" s="222"/>
      <c r="KZ33" s="222"/>
      <c r="LA33" s="222"/>
      <c r="LB33" s="222"/>
      <c r="LC33" s="222"/>
      <c r="LD33" s="222"/>
      <c r="LE33" s="293"/>
      <c r="LF33" s="292"/>
      <c r="LG33" s="222"/>
      <c r="LH33" s="222"/>
      <c r="LI33" s="222"/>
      <c r="LJ33" s="222"/>
      <c r="LK33" s="66" t="s">
        <v>1</v>
      </c>
      <c r="LL33" s="222"/>
      <c r="LM33" s="222"/>
      <c r="LN33" s="222"/>
      <c r="LO33" s="222"/>
      <c r="LP33" s="222"/>
      <c r="LQ33" s="222"/>
      <c r="LR33" s="222"/>
      <c r="LS33" s="222"/>
      <c r="LT33" s="222"/>
      <c r="LU33" s="222"/>
      <c r="LV33" s="222"/>
      <c r="LW33" s="222"/>
      <c r="LX33" s="222"/>
      <c r="LY33" s="66" t="s">
        <v>1</v>
      </c>
      <c r="LZ33" s="222"/>
      <c r="MA33" s="222"/>
      <c r="MB33" s="222"/>
      <c r="MC33" s="222"/>
      <c r="MD33" s="222"/>
      <c r="ME33" s="222"/>
      <c r="MF33" s="222"/>
      <c r="MG33" s="293"/>
      <c r="MH33" s="292"/>
      <c r="MI33" s="222"/>
      <c r="MJ33" s="222"/>
      <c r="MK33" s="222"/>
      <c r="ML33" s="222"/>
      <c r="MM33" s="222"/>
      <c r="MN33" s="222"/>
      <c r="MO33" s="222"/>
      <c r="MP33" s="222"/>
      <c r="MQ33" s="222"/>
      <c r="MR33" s="222"/>
      <c r="MS33" s="222"/>
      <c r="MT33" s="66" t="s">
        <v>1</v>
      </c>
      <c r="MU33" s="222"/>
      <c r="MV33" s="222"/>
      <c r="MW33" s="222"/>
      <c r="MX33" s="222"/>
      <c r="MY33" s="222"/>
      <c r="MZ33" s="222"/>
      <c r="NA33" s="66" t="s">
        <v>1</v>
      </c>
      <c r="NB33" s="222"/>
      <c r="NC33" s="222"/>
      <c r="ND33" s="222"/>
      <c r="NE33" s="222"/>
      <c r="NF33" s="222"/>
      <c r="NG33" s="222"/>
      <c r="NH33" s="222"/>
      <c r="NI33" s="222"/>
      <c r="NJ33" s="222"/>
      <c r="NK33" s="222"/>
      <c r="NL33" s="293"/>
    </row>
    <row r="34" spans="2:376" hidden="1">
      <c r="B34" s="278" t="s">
        <v>115</v>
      </c>
      <c r="C34" s="278" t="s">
        <v>30</v>
      </c>
      <c r="D34" s="278" t="s">
        <v>124</v>
      </c>
      <c r="E34" s="37">
        <v>0</v>
      </c>
      <c r="F34" s="29">
        <v>15</v>
      </c>
      <c r="G34" s="29">
        <v>3</v>
      </c>
      <c r="H34" s="29">
        <f t="shared" ref="H34" si="17">E34+F34-COUNTIF(L34:NL34,$C$2)</f>
        <v>7</v>
      </c>
      <c r="I34" s="30">
        <f t="shared" ref="I34" si="18">G34-COUNTIF(L34:NL34,$C$3)</f>
        <v>1</v>
      </c>
      <c r="J34" s="30">
        <f t="shared" ref="J34" si="19">COUNTIF(K34:NG34,$C$4)</f>
        <v>0</v>
      </c>
      <c r="K34" s="71">
        <f t="shared" ref="K34" si="20">COUNTIF(L34:NL34,$C$5)</f>
        <v>0</v>
      </c>
      <c r="L34" s="147"/>
      <c r="M34" s="8"/>
      <c r="N34" s="8"/>
      <c r="O34" s="8"/>
      <c r="P34" s="7"/>
      <c r="Q34" s="7"/>
      <c r="R34" s="8"/>
      <c r="S34" s="8"/>
      <c r="T34" s="8"/>
      <c r="U34" s="8"/>
      <c r="V34" s="8"/>
      <c r="W34" s="7"/>
      <c r="X34" s="7"/>
      <c r="Y34" s="8"/>
      <c r="Z34" s="8"/>
      <c r="AA34" s="8"/>
      <c r="AB34" s="8"/>
      <c r="AC34" s="69"/>
      <c r="AD34" s="7"/>
      <c r="AE34" s="7"/>
      <c r="AF34" s="8"/>
      <c r="AG34" s="8"/>
      <c r="AH34" s="8"/>
      <c r="AI34" s="8"/>
      <c r="AJ34" s="8"/>
      <c r="AK34" s="7"/>
      <c r="AL34" s="7"/>
      <c r="AM34" s="8"/>
      <c r="AN34" s="8"/>
      <c r="AO34" s="148"/>
      <c r="AP34" s="300"/>
      <c r="AQ34" s="222"/>
      <c r="AR34" s="222"/>
      <c r="AS34" s="222"/>
      <c r="AT34" s="222"/>
      <c r="AU34" s="222"/>
      <c r="AV34" s="222"/>
      <c r="AW34" s="222"/>
      <c r="AX34" s="222"/>
      <c r="AY34" s="222"/>
      <c r="AZ34" s="222"/>
      <c r="BA34" s="222"/>
      <c r="BB34" s="222"/>
      <c r="BC34" s="222"/>
      <c r="BD34" s="222"/>
      <c r="BE34" s="222"/>
      <c r="BF34" s="222"/>
      <c r="BG34" s="222"/>
      <c r="BH34" s="222"/>
      <c r="BI34" s="222"/>
      <c r="BJ34" s="69"/>
      <c r="BK34" s="222"/>
      <c r="BL34" s="222"/>
      <c r="BM34" s="222"/>
      <c r="BN34" s="222"/>
      <c r="BO34" s="222"/>
      <c r="BP34" s="222"/>
      <c r="BQ34" s="222"/>
      <c r="BR34" s="222"/>
      <c r="BS34" s="66" t="s">
        <v>3</v>
      </c>
      <c r="BT34" s="66" t="s">
        <v>3</v>
      </c>
      <c r="BU34" s="292"/>
      <c r="BV34" s="222"/>
      <c r="BW34" s="222"/>
      <c r="BX34" s="222"/>
      <c r="BY34" s="222"/>
      <c r="BZ34" s="222"/>
      <c r="CA34" s="222"/>
      <c r="CB34" s="222"/>
      <c r="CC34" s="222"/>
      <c r="CD34" s="222"/>
      <c r="CE34" s="222"/>
      <c r="CF34" s="222"/>
      <c r="CG34" s="222"/>
      <c r="CH34" s="222"/>
      <c r="CI34" s="222"/>
      <c r="CJ34" s="222"/>
      <c r="CK34" s="222"/>
      <c r="CL34" s="222"/>
      <c r="CM34" s="222"/>
      <c r="CN34" s="69"/>
      <c r="CO34" s="222"/>
      <c r="CP34" s="222"/>
      <c r="CQ34" s="222"/>
      <c r="CR34" s="222"/>
      <c r="CS34" s="222"/>
      <c r="CT34" s="222"/>
      <c r="CU34" s="222"/>
      <c r="CV34" s="222"/>
      <c r="CW34" s="222"/>
      <c r="CX34" s="66" t="s">
        <v>1</v>
      </c>
      <c r="CY34" s="66" t="s">
        <v>1</v>
      </c>
      <c r="CZ34" s="66" t="s">
        <v>1</v>
      </c>
      <c r="DA34" s="66" t="s">
        <v>1</v>
      </c>
      <c r="DB34" s="66" t="s">
        <v>1</v>
      </c>
      <c r="DC34" s="222"/>
      <c r="DD34" s="222"/>
      <c r="DE34" s="222"/>
      <c r="DF34" s="222"/>
      <c r="DG34" s="222"/>
      <c r="DH34" s="222"/>
      <c r="DI34" s="222"/>
      <c r="DJ34" s="222"/>
      <c r="DK34" s="222"/>
      <c r="DL34" s="222"/>
      <c r="DM34" s="222"/>
      <c r="DN34" s="69"/>
      <c r="DO34" s="222"/>
      <c r="DP34" s="222"/>
      <c r="DQ34" s="222"/>
      <c r="DR34" s="222"/>
      <c r="DS34" s="222"/>
      <c r="DT34" s="222"/>
      <c r="DU34" s="222"/>
      <c r="DV34" s="222"/>
      <c r="DW34" s="222"/>
      <c r="DX34" s="222"/>
      <c r="DY34" s="222"/>
      <c r="DZ34" s="222"/>
      <c r="EA34" s="222"/>
      <c r="EB34" s="222"/>
      <c r="EC34" s="293"/>
      <c r="ED34" s="292"/>
      <c r="EE34" s="222"/>
      <c r="EF34" s="222"/>
      <c r="EG34" s="222"/>
      <c r="EH34" s="222"/>
      <c r="EI34" s="222"/>
      <c r="EJ34" s="222"/>
      <c r="EK34" s="222"/>
      <c r="EL34" s="222"/>
      <c r="EM34" s="222"/>
      <c r="EN34" s="222"/>
      <c r="EO34" s="222"/>
      <c r="EP34" s="222"/>
      <c r="EQ34" s="222"/>
      <c r="ER34" s="69"/>
      <c r="ES34" s="222"/>
      <c r="ET34" s="222"/>
      <c r="EU34" s="222"/>
      <c r="EV34" s="222"/>
      <c r="EW34" s="222"/>
      <c r="EX34" s="222"/>
      <c r="EY34" s="222"/>
      <c r="EZ34" s="222"/>
      <c r="FA34" s="222"/>
      <c r="FB34" s="222"/>
      <c r="FC34" s="222"/>
      <c r="FD34" s="222"/>
      <c r="FE34" s="222"/>
      <c r="FF34" s="222"/>
      <c r="FG34" s="222"/>
      <c r="FH34" s="293"/>
      <c r="FI34" s="246"/>
      <c r="FJ34" s="246"/>
      <c r="FK34" s="246"/>
      <c r="FL34" s="246"/>
      <c r="FM34" s="246"/>
      <c r="FN34" s="246"/>
      <c r="FO34" s="246"/>
      <c r="FP34" s="246"/>
      <c r="FQ34" s="246"/>
      <c r="FR34" s="246"/>
      <c r="FS34" s="246"/>
      <c r="FT34" s="246"/>
      <c r="FU34" s="222"/>
      <c r="FV34" s="222"/>
      <c r="FW34" s="281" t="s">
        <v>1</v>
      </c>
      <c r="FX34" s="281" t="s">
        <v>1</v>
      </c>
      <c r="FY34" s="281" t="s">
        <v>1</v>
      </c>
      <c r="FZ34" s="69"/>
      <c r="GA34" s="69"/>
      <c r="GB34" s="222"/>
      <c r="GC34" s="222"/>
      <c r="GD34" s="246"/>
      <c r="GE34" s="246"/>
      <c r="GF34" s="246"/>
      <c r="GG34" s="246"/>
      <c r="GH34" s="246"/>
      <c r="GI34" s="222"/>
      <c r="GJ34" s="222"/>
      <c r="GK34" s="32"/>
      <c r="GL34" s="245"/>
      <c r="GM34" s="246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04"/>
      <c r="HR34" s="301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245"/>
      <c r="IV34" s="246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245"/>
      <c r="KA34" s="301"/>
      <c r="KB34" s="32"/>
      <c r="KC34" s="32"/>
      <c r="KD34" s="32"/>
      <c r="KE34" s="32"/>
      <c r="KF34" s="32"/>
      <c r="KG34" s="32"/>
      <c r="KH34" s="32"/>
      <c r="KI34" s="32"/>
      <c r="KJ34" s="32"/>
      <c r="KK34" s="32"/>
      <c r="KL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  <c r="KW34" s="32"/>
      <c r="KX34" s="32"/>
      <c r="KY34" s="32"/>
      <c r="KZ34" s="32"/>
      <c r="LA34" s="32"/>
      <c r="LB34" s="32"/>
      <c r="LC34" s="32"/>
      <c r="LD34" s="32"/>
      <c r="LE34" s="245"/>
      <c r="LF34" s="246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2"/>
      <c r="MA34" s="32"/>
      <c r="MB34" s="32"/>
      <c r="MC34" s="32"/>
      <c r="MD34" s="32"/>
      <c r="ME34" s="32"/>
      <c r="MF34" s="32"/>
      <c r="MG34" s="245"/>
      <c r="MH34" s="246"/>
      <c r="MI34" s="32"/>
      <c r="MJ34" s="32"/>
      <c r="MK34" s="32"/>
      <c r="ML34" s="32"/>
      <c r="MM34" s="32"/>
      <c r="MN34" s="32"/>
      <c r="MO34" s="32"/>
      <c r="MP34" s="32"/>
      <c r="MQ34" s="32"/>
      <c r="MR34" s="32"/>
      <c r="MS34" s="32"/>
      <c r="MT34" s="32"/>
      <c r="MU34" s="32"/>
      <c r="MV34" s="32"/>
      <c r="MW34" s="32"/>
      <c r="MX34" s="32"/>
      <c r="MY34" s="32"/>
      <c r="MZ34" s="32"/>
      <c r="NA34" s="32"/>
      <c r="NB34" s="32"/>
      <c r="NC34" s="32"/>
      <c r="ND34" s="32"/>
      <c r="NE34" s="32"/>
      <c r="NF34" s="32"/>
      <c r="NG34" s="32"/>
      <c r="NH34" s="32"/>
      <c r="NI34" s="32"/>
      <c r="NJ34" s="32"/>
      <c r="NK34" s="32"/>
      <c r="NL34" s="245"/>
    </row>
    <row r="35" spans="2:376" ht="15.75" hidden="1" thickBot="1">
      <c r="B35" s="278" t="s">
        <v>116</v>
      </c>
      <c r="C35" s="278" t="s">
        <v>30</v>
      </c>
      <c r="D35" s="278" t="s">
        <v>49</v>
      </c>
      <c r="E35" s="37">
        <v>0</v>
      </c>
      <c r="F35" s="29">
        <v>15</v>
      </c>
      <c r="G35" s="29">
        <v>3</v>
      </c>
      <c r="H35" s="29">
        <f t="shared" ref="H35" si="21">E35+F35-COUNTIF(L35:NL35,$C$2)</f>
        <v>15</v>
      </c>
      <c r="I35" s="30">
        <f t="shared" ref="I35" si="22">G35-COUNTIF(L35:NL35,$C$3)</f>
        <v>3</v>
      </c>
      <c r="J35" s="30">
        <f t="shared" ref="J35" si="23">COUNTIF(K35:NG35,$C$4)</f>
        <v>0</v>
      </c>
      <c r="K35" s="71">
        <f t="shared" ref="K35" si="24">COUNTIF(L35:NL35,$C$5)</f>
        <v>0</v>
      </c>
      <c r="L35" s="295"/>
      <c r="M35" s="296"/>
      <c r="N35" s="296"/>
      <c r="O35" s="296"/>
      <c r="P35" s="310"/>
      <c r="Q35" s="310"/>
      <c r="R35" s="296"/>
      <c r="S35" s="296"/>
      <c r="T35" s="296"/>
      <c r="U35" s="296"/>
      <c r="V35" s="296"/>
      <c r="W35" s="310"/>
      <c r="X35" s="310"/>
      <c r="Y35" s="296"/>
      <c r="Z35" s="296"/>
      <c r="AA35" s="296"/>
      <c r="AB35" s="296"/>
      <c r="AC35" s="307"/>
      <c r="AD35" s="310"/>
      <c r="AE35" s="310"/>
      <c r="AF35" s="296"/>
      <c r="AG35" s="296"/>
      <c r="AH35" s="296"/>
      <c r="AI35" s="296"/>
      <c r="AJ35" s="296"/>
      <c r="AK35" s="310"/>
      <c r="AL35" s="310"/>
      <c r="AM35" s="296"/>
      <c r="AN35" s="296"/>
      <c r="AO35" s="297"/>
      <c r="AP35" s="317"/>
      <c r="AQ35" s="296"/>
      <c r="AR35" s="310"/>
      <c r="AS35" s="310"/>
      <c r="AT35" s="296"/>
      <c r="AU35" s="296"/>
      <c r="AV35" s="296"/>
      <c r="AW35" s="296"/>
      <c r="AX35" s="296"/>
      <c r="AY35" s="296"/>
      <c r="AZ35" s="310"/>
      <c r="BA35" s="310"/>
      <c r="BB35" s="296"/>
      <c r="BC35" s="296"/>
      <c r="BD35" s="296"/>
      <c r="BE35" s="296"/>
      <c r="BF35" s="314"/>
      <c r="BG35" s="310"/>
      <c r="BH35" s="310"/>
      <c r="BI35" s="314"/>
      <c r="BJ35" s="307"/>
      <c r="BK35" s="314"/>
      <c r="BL35" s="314"/>
      <c r="BM35" s="314"/>
      <c r="BN35" s="310"/>
      <c r="BO35" s="310"/>
      <c r="BP35" s="314"/>
      <c r="BQ35" s="314"/>
      <c r="BR35" s="314"/>
      <c r="BS35" s="314"/>
      <c r="BT35" s="318"/>
      <c r="BU35" s="313"/>
      <c r="BV35" s="310"/>
      <c r="BW35" s="314"/>
      <c r="BX35" s="314"/>
      <c r="BY35" s="314"/>
      <c r="BZ35" s="314"/>
      <c r="CA35" s="314"/>
      <c r="CB35" s="310"/>
      <c r="CC35" s="310"/>
      <c r="CD35" s="314"/>
      <c r="CE35" s="314"/>
      <c r="CF35" s="314"/>
      <c r="CG35" s="314"/>
      <c r="CH35" s="314"/>
      <c r="CI35" s="310"/>
      <c r="CJ35" s="310"/>
      <c r="CK35" s="314"/>
      <c r="CL35" s="314"/>
      <c r="CM35" s="314"/>
      <c r="CN35" s="307"/>
      <c r="CO35" s="314"/>
      <c r="CP35" s="310"/>
      <c r="CQ35" s="310"/>
      <c r="CR35" s="314"/>
      <c r="CS35" s="314"/>
      <c r="CT35" s="314"/>
      <c r="CU35" s="314"/>
      <c r="CV35" s="314"/>
      <c r="CW35" s="310"/>
      <c r="CX35" s="315"/>
      <c r="CY35" s="309"/>
      <c r="CZ35" s="296"/>
      <c r="DA35" s="296"/>
      <c r="DB35" s="296"/>
      <c r="DC35" s="296"/>
      <c r="DD35" s="310"/>
      <c r="DE35" s="310"/>
      <c r="DF35" s="296"/>
      <c r="DG35" s="296"/>
      <c r="DH35" s="296"/>
      <c r="DI35" s="296"/>
      <c r="DJ35" s="296"/>
      <c r="DK35" s="310"/>
      <c r="DL35" s="310"/>
      <c r="DM35" s="296"/>
      <c r="DN35" s="307"/>
      <c r="DO35" s="296"/>
      <c r="DP35" s="296"/>
      <c r="DQ35" s="296"/>
      <c r="DR35" s="296"/>
      <c r="DS35" s="296"/>
      <c r="DT35" s="296"/>
      <c r="DU35" s="296"/>
      <c r="DV35" s="296"/>
      <c r="DW35" s="296"/>
      <c r="DX35" s="296"/>
      <c r="DY35" s="296"/>
      <c r="DZ35" s="296"/>
      <c r="EA35" s="296"/>
      <c r="EB35" s="296"/>
      <c r="EC35" s="297"/>
      <c r="ED35" s="295"/>
      <c r="EE35" s="296"/>
      <c r="EF35" s="296"/>
      <c r="EG35" s="296"/>
      <c r="EH35" s="296"/>
      <c r="EI35" s="296"/>
      <c r="EJ35" s="296"/>
      <c r="EK35" s="296"/>
      <c r="EL35" s="296"/>
      <c r="EM35" s="296"/>
      <c r="EN35" s="296"/>
      <c r="EO35" s="296"/>
      <c r="EP35" s="296"/>
      <c r="EQ35" s="296"/>
      <c r="ER35" s="307"/>
      <c r="ES35" s="296"/>
      <c r="ET35" s="296"/>
      <c r="EU35" s="296"/>
      <c r="EV35" s="296"/>
      <c r="EW35" s="296"/>
      <c r="EX35" s="296"/>
      <c r="EY35" s="296"/>
      <c r="EZ35" s="296"/>
      <c r="FA35" s="296"/>
      <c r="FB35" s="296"/>
      <c r="FC35" s="296"/>
      <c r="FD35" s="296"/>
      <c r="FE35" s="296"/>
      <c r="FF35" s="296"/>
      <c r="FG35" s="296"/>
      <c r="FH35" s="297"/>
      <c r="FI35" s="295"/>
      <c r="FJ35" s="296"/>
      <c r="FK35" s="296"/>
      <c r="FL35" s="296"/>
      <c r="FM35" s="296"/>
      <c r="FN35" s="296"/>
      <c r="FO35" s="296"/>
      <c r="FP35" s="296"/>
      <c r="FQ35" s="296"/>
      <c r="FR35" s="296"/>
      <c r="FS35" s="296"/>
      <c r="FT35" s="296"/>
      <c r="FU35" s="296"/>
      <c r="FV35" s="296"/>
      <c r="FW35" s="296"/>
      <c r="FX35" s="306"/>
      <c r="FY35" s="306"/>
      <c r="FZ35" s="307"/>
      <c r="GA35" s="307"/>
      <c r="GB35" s="307"/>
      <c r="GC35" s="296"/>
      <c r="GD35" s="296"/>
      <c r="GE35" s="296"/>
      <c r="GF35" s="296"/>
      <c r="GG35" s="296"/>
      <c r="GH35" s="296"/>
      <c r="GI35" s="296"/>
      <c r="GJ35" s="296"/>
      <c r="GK35" s="296"/>
      <c r="GL35" s="297"/>
      <c r="GM35" s="295"/>
      <c r="GN35" s="296"/>
      <c r="GO35" s="296"/>
      <c r="GP35" s="296"/>
      <c r="GQ35" s="296"/>
      <c r="GR35" s="296"/>
      <c r="GS35" s="296"/>
      <c r="GT35" s="296"/>
      <c r="GU35" s="296"/>
      <c r="GV35" s="296"/>
      <c r="GW35" s="296"/>
      <c r="GX35" s="296"/>
      <c r="GY35" s="296"/>
      <c r="GZ35" s="296"/>
      <c r="HA35" s="296"/>
      <c r="HB35" s="296"/>
      <c r="HC35" s="296"/>
      <c r="HD35" s="296"/>
      <c r="HE35" s="296"/>
      <c r="HF35" s="296"/>
      <c r="HG35" s="296"/>
      <c r="HH35" s="296"/>
      <c r="HI35" s="296"/>
      <c r="HJ35" s="296"/>
      <c r="HK35" s="296"/>
      <c r="HL35" s="296"/>
      <c r="HM35" s="296"/>
      <c r="HN35" s="296"/>
      <c r="HO35" s="296"/>
      <c r="HP35" s="296"/>
      <c r="HQ35" s="297"/>
      <c r="HR35" s="295"/>
      <c r="HS35" s="296"/>
      <c r="HT35" s="296"/>
      <c r="HU35" s="296"/>
      <c r="HV35" s="296"/>
      <c r="HW35" s="296"/>
      <c r="HX35" s="296"/>
      <c r="HY35" s="296"/>
      <c r="HZ35" s="296"/>
      <c r="IA35" s="296"/>
      <c r="IB35" s="296"/>
      <c r="IC35" s="296"/>
      <c r="ID35" s="296"/>
      <c r="IE35" s="296"/>
      <c r="IF35" s="296"/>
      <c r="IG35" s="296"/>
      <c r="IH35" s="296"/>
      <c r="II35" s="296"/>
      <c r="IJ35" s="296"/>
      <c r="IK35" s="296"/>
      <c r="IL35" s="296"/>
      <c r="IM35" s="296"/>
      <c r="IN35" s="296"/>
      <c r="IO35" s="296"/>
      <c r="IP35" s="296"/>
      <c r="IQ35" s="296"/>
      <c r="IR35" s="296"/>
      <c r="IS35" s="296"/>
      <c r="IT35" s="296"/>
      <c r="IU35" s="297"/>
      <c r="IV35" s="295"/>
      <c r="IW35" s="296"/>
      <c r="IX35" s="296"/>
      <c r="IY35" s="296"/>
      <c r="IZ35" s="296"/>
      <c r="JA35" s="296"/>
      <c r="JB35" s="296"/>
      <c r="JC35" s="296"/>
      <c r="JD35" s="296"/>
      <c r="JE35" s="296"/>
      <c r="JF35" s="296"/>
      <c r="JG35" s="296"/>
      <c r="JH35" s="296"/>
      <c r="JI35" s="296"/>
      <c r="JJ35" s="296"/>
      <c r="JK35" s="296"/>
      <c r="JL35" s="296"/>
      <c r="JM35" s="296"/>
      <c r="JN35" s="296"/>
      <c r="JO35" s="296"/>
      <c r="JP35" s="296"/>
      <c r="JQ35" s="296"/>
      <c r="JR35" s="296"/>
      <c r="JS35" s="296"/>
      <c r="JT35" s="296"/>
      <c r="JU35" s="296"/>
      <c r="JV35" s="296"/>
      <c r="JW35" s="296"/>
      <c r="JX35" s="296"/>
      <c r="JY35" s="296"/>
      <c r="JZ35" s="297"/>
      <c r="KA35" s="295"/>
      <c r="KB35" s="296"/>
      <c r="KC35" s="296"/>
      <c r="KD35" s="296"/>
      <c r="KE35" s="296"/>
      <c r="KF35" s="296"/>
      <c r="KG35" s="296"/>
      <c r="KH35" s="296"/>
      <c r="KI35" s="296"/>
      <c r="KJ35" s="296"/>
      <c r="KK35" s="296"/>
      <c r="KL35" s="296"/>
      <c r="KM35" s="296"/>
      <c r="KN35" s="296"/>
      <c r="KO35" s="296"/>
      <c r="KP35" s="296"/>
      <c r="KQ35" s="296"/>
      <c r="KR35" s="296"/>
      <c r="KS35" s="296"/>
      <c r="KT35" s="296"/>
      <c r="KU35" s="296"/>
      <c r="KV35" s="296"/>
      <c r="KW35" s="296"/>
      <c r="KX35" s="296"/>
      <c r="KY35" s="296"/>
      <c r="KZ35" s="296"/>
      <c r="LA35" s="296"/>
      <c r="LB35" s="296"/>
      <c r="LC35" s="296"/>
      <c r="LD35" s="296"/>
      <c r="LE35" s="297"/>
      <c r="LF35" s="295"/>
      <c r="LG35" s="296"/>
      <c r="LH35" s="296"/>
      <c r="LI35" s="296"/>
      <c r="LJ35" s="296"/>
      <c r="LK35" s="296"/>
      <c r="LL35" s="296"/>
      <c r="LM35" s="296"/>
      <c r="LN35" s="296"/>
      <c r="LO35" s="296"/>
      <c r="LP35" s="296"/>
      <c r="LQ35" s="296"/>
      <c r="LR35" s="296"/>
      <c r="LS35" s="296"/>
      <c r="LT35" s="296"/>
      <c r="LU35" s="296"/>
      <c r="LV35" s="296"/>
      <c r="LW35" s="296"/>
      <c r="LX35" s="296"/>
      <c r="LY35" s="296"/>
      <c r="LZ35" s="296"/>
      <c r="MA35" s="296"/>
      <c r="MB35" s="296"/>
      <c r="MC35" s="296"/>
      <c r="MD35" s="296"/>
      <c r="ME35" s="296"/>
      <c r="MF35" s="296"/>
      <c r="MG35" s="297"/>
      <c r="MH35" s="295"/>
      <c r="MI35" s="296"/>
      <c r="MJ35" s="296"/>
      <c r="MK35" s="296"/>
      <c r="ML35" s="296"/>
      <c r="MM35" s="296"/>
      <c r="MN35" s="296"/>
      <c r="MO35" s="296"/>
      <c r="MP35" s="296"/>
      <c r="MQ35" s="296"/>
      <c r="MR35" s="296"/>
      <c r="MS35" s="296"/>
      <c r="MT35" s="296"/>
      <c r="MU35" s="296"/>
      <c r="MV35" s="296"/>
      <c r="MW35" s="296"/>
      <c r="MX35" s="296"/>
      <c r="MY35" s="296"/>
      <c r="MZ35" s="296"/>
      <c r="NA35" s="296"/>
      <c r="NB35" s="296"/>
      <c r="NC35" s="296"/>
      <c r="ND35" s="296"/>
      <c r="NE35" s="296"/>
      <c r="NF35" s="296"/>
      <c r="NG35" s="296"/>
      <c r="NH35" s="296"/>
      <c r="NI35" s="296"/>
      <c r="NJ35" s="296"/>
      <c r="NK35" s="296"/>
      <c r="NL35" s="297"/>
    </row>
    <row r="36" spans="2:376" hidden="1">
      <c r="B36" s="29" t="s">
        <v>117</v>
      </c>
      <c r="C36" s="29" t="s">
        <v>118</v>
      </c>
      <c r="D36" s="29" t="s">
        <v>49</v>
      </c>
      <c r="E36" s="37">
        <v>0</v>
      </c>
      <c r="F36" s="29">
        <v>23</v>
      </c>
      <c r="G36" s="29">
        <v>0</v>
      </c>
      <c r="H36" s="29">
        <f t="shared" si="12"/>
        <v>13</v>
      </c>
      <c r="I36" s="30">
        <f t="shared" si="16"/>
        <v>0</v>
      </c>
      <c r="J36" s="30">
        <f t="shared" si="14"/>
        <v>0</v>
      </c>
      <c r="K36" s="71">
        <f t="shared" si="15"/>
        <v>0</v>
      </c>
      <c r="L36" s="61"/>
      <c r="M36" s="61"/>
      <c r="N36" s="61"/>
      <c r="O36" s="61"/>
      <c r="P36" s="61"/>
      <c r="Q36" s="135"/>
      <c r="R36" s="135"/>
      <c r="S36" s="61"/>
      <c r="T36" s="61"/>
      <c r="U36" s="61"/>
      <c r="V36" s="61"/>
      <c r="W36" s="61"/>
      <c r="X36" s="135"/>
      <c r="Y36" s="135"/>
      <c r="Z36" s="61"/>
      <c r="AA36" s="61"/>
      <c r="AB36" s="61"/>
      <c r="AC36" s="61"/>
      <c r="AD36" s="61"/>
      <c r="AE36" s="135"/>
      <c r="AF36" s="135"/>
      <c r="AG36" s="61"/>
      <c r="AH36" s="61"/>
      <c r="AI36" s="61"/>
      <c r="AJ36" s="61"/>
      <c r="AK36" s="61"/>
      <c r="AL36" s="135"/>
      <c r="AM36" s="135"/>
      <c r="AN36" s="61"/>
      <c r="AO36" s="207"/>
      <c r="AP36" s="206"/>
      <c r="AQ36" s="61"/>
      <c r="AR36" s="61"/>
      <c r="AS36" s="135"/>
      <c r="AT36" s="135"/>
      <c r="AU36" s="61"/>
      <c r="AV36" s="61"/>
      <c r="AW36" s="61"/>
      <c r="AX36" s="61"/>
      <c r="AY36" s="61"/>
      <c r="AZ36" s="135"/>
      <c r="BA36" s="135"/>
      <c r="BB36" s="61"/>
      <c r="BC36" s="61"/>
      <c r="BD36" s="61"/>
      <c r="BE36" s="61"/>
      <c r="BF36" s="61"/>
      <c r="BG36" s="135"/>
      <c r="BH36" s="135"/>
      <c r="BI36" s="61"/>
      <c r="BJ36" s="206"/>
      <c r="BK36" s="61"/>
      <c r="BL36" s="61"/>
      <c r="BM36" s="61"/>
      <c r="BN36" s="135"/>
      <c r="BO36" s="135"/>
      <c r="BP36" s="61"/>
      <c r="BQ36" s="61"/>
      <c r="BR36" s="61"/>
      <c r="BS36" s="61"/>
      <c r="BT36" s="207"/>
      <c r="BU36" s="135"/>
      <c r="BV36" s="135"/>
      <c r="BW36" s="61"/>
      <c r="BX36" s="61"/>
      <c r="BY36" s="61"/>
      <c r="BZ36" s="61"/>
      <c r="CA36" s="61"/>
      <c r="CB36" s="135"/>
      <c r="CC36" s="135"/>
      <c r="CD36" s="61"/>
      <c r="CE36" s="61"/>
      <c r="CF36" s="61"/>
      <c r="CG36" s="61"/>
      <c r="CH36" s="61"/>
      <c r="CI36" s="135"/>
      <c r="CJ36" s="135"/>
      <c r="CK36" s="61"/>
      <c r="CL36" s="61"/>
      <c r="CM36" s="61"/>
      <c r="CN36" s="206"/>
      <c r="CO36" s="61"/>
      <c r="CP36" s="135"/>
      <c r="CQ36" s="135"/>
      <c r="CR36" s="61"/>
      <c r="CS36" s="61"/>
      <c r="CT36" s="61"/>
      <c r="CU36" s="61"/>
      <c r="CV36" s="61"/>
      <c r="CW36" s="135"/>
      <c r="CX36" s="135"/>
      <c r="CY36" s="222"/>
      <c r="CZ36" s="61"/>
      <c r="DA36" s="61"/>
      <c r="DB36" s="61"/>
      <c r="DC36" s="61"/>
      <c r="DD36" s="135"/>
      <c r="DE36" s="135"/>
      <c r="DF36" s="61"/>
      <c r="DG36" s="61"/>
      <c r="DH36" s="61"/>
      <c r="DI36" s="61"/>
      <c r="DJ36" s="61"/>
      <c r="DK36" s="135"/>
      <c r="DL36" s="135"/>
      <c r="DM36" s="61"/>
      <c r="DN36" s="206"/>
      <c r="DO36" s="61"/>
      <c r="DP36" s="61"/>
      <c r="DQ36" s="61"/>
      <c r="DR36" s="135"/>
      <c r="DS36" s="135"/>
      <c r="DT36" s="61"/>
      <c r="DU36" s="61"/>
      <c r="DV36" s="61"/>
      <c r="DW36" s="61"/>
      <c r="DX36" s="61"/>
      <c r="DY36" s="135"/>
      <c r="DZ36" s="135"/>
      <c r="EA36" s="61"/>
      <c r="EB36" s="61"/>
      <c r="EC36" s="207"/>
      <c r="ED36" s="222"/>
      <c r="EE36" s="61"/>
      <c r="EF36" s="135"/>
      <c r="EG36" s="135"/>
      <c r="EH36" s="61"/>
      <c r="EI36" s="61"/>
      <c r="EJ36" s="61"/>
      <c r="EK36" s="61"/>
      <c r="EL36" s="61"/>
      <c r="EM36" s="135"/>
      <c r="EN36" s="135"/>
      <c r="EO36" s="61"/>
      <c r="EP36" s="61"/>
      <c r="EQ36" s="61"/>
      <c r="ER36" s="206"/>
      <c r="ES36" s="61"/>
      <c r="ET36" s="135"/>
      <c r="EU36" s="135"/>
      <c r="EV36" s="61"/>
      <c r="EW36" s="61"/>
      <c r="EX36" s="61"/>
      <c r="EY36" s="61"/>
      <c r="EZ36" s="61"/>
      <c r="FA36" s="135"/>
      <c r="FB36" s="135"/>
      <c r="FC36" s="305" t="s">
        <v>1</v>
      </c>
      <c r="FD36" s="305" t="s">
        <v>1</v>
      </c>
      <c r="FE36" s="305" t="s">
        <v>1</v>
      </c>
      <c r="FF36" s="305" t="s">
        <v>1</v>
      </c>
      <c r="FG36" s="305" t="s">
        <v>1</v>
      </c>
      <c r="FH36" s="302"/>
      <c r="FI36" s="291"/>
      <c r="FJ36" s="305" t="s">
        <v>1</v>
      </c>
      <c r="FK36" s="305" t="s">
        <v>1</v>
      </c>
      <c r="FL36" s="305" t="s">
        <v>1</v>
      </c>
      <c r="FM36" s="305" t="s">
        <v>1</v>
      </c>
      <c r="FN36" s="305" t="s">
        <v>1</v>
      </c>
      <c r="FO36" s="135"/>
      <c r="FP36" s="135"/>
      <c r="FQ36" s="61"/>
      <c r="FR36" s="61"/>
      <c r="FS36" s="61"/>
      <c r="FT36" s="61"/>
      <c r="FU36" s="61"/>
      <c r="FV36" s="135"/>
      <c r="FW36" s="135"/>
      <c r="FX36" s="61"/>
      <c r="FY36" s="61"/>
      <c r="FZ36" s="206"/>
      <c r="GA36" s="206"/>
      <c r="GB36" s="206"/>
      <c r="GC36" s="135"/>
      <c r="GD36" s="135"/>
      <c r="GE36" s="61"/>
      <c r="GF36" s="61"/>
      <c r="GG36" s="61"/>
      <c r="GH36" s="61"/>
      <c r="GI36" s="61"/>
      <c r="GJ36" s="135"/>
      <c r="GK36" s="135"/>
      <c r="GL36" s="207"/>
      <c r="GM36" s="222"/>
      <c r="GN36" s="61"/>
      <c r="GO36" s="61"/>
      <c r="GP36" s="61"/>
      <c r="GQ36" s="135"/>
      <c r="GR36" s="135"/>
      <c r="GS36" s="61"/>
      <c r="GT36" s="61"/>
      <c r="GU36" s="61"/>
      <c r="GV36" s="61"/>
      <c r="GW36" s="61"/>
      <c r="GX36" s="135"/>
      <c r="GY36" s="135"/>
      <c r="GZ36" s="61"/>
      <c r="HA36" s="61"/>
      <c r="HB36" s="61"/>
      <c r="HC36" s="61"/>
      <c r="HD36" s="61"/>
      <c r="HE36" s="135"/>
      <c r="HF36" s="135"/>
      <c r="HG36" s="61"/>
      <c r="HH36" s="61"/>
      <c r="HI36" s="61"/>
      <c r="HJ36" s="61"/>
      <c r="HK36" s="61"/>
      <c r="HL36" s="135"/>
      <c r="HM36" s="135"/>
      <c r="HN36" s="61"/>
      <c r="HO36" s="61"/>
      <c r="HP36" s="61"/>
      <c r="HQ36" s="206"/>
      <c r="HR36" s="206"/>
      <c r="HS36" s="135"/>
      <c r="HT36" s="135"/>
      <c r="HU36" s="61"/>
      <c r="HV36" s="61"/>
      <c r="HW36" s="61"/>
      <c r="HX36" s="61"/>
      <c r="HY36" s="61"/>
      <c r="HZ36" s="135"/>
      <c r="IA36" s="135"/>
      <c r="IB36" s="61"/>
      <c r="IC36" s="61"/>
      <c r="ID36" s="61"/>
      <c r="IE36" s="61"/>
      <c r="IF36" s="61"/>
      <c r="IG36" s="135"/>
      <c r="IH36" s="135"/>
      <c r="II36" s="61"/>
      <c r="IJ36" s="61"/>
      <c r="IK36" s="61"/>
      <c r="IL36" s="61"/>
      <c r="IM36" s="61"/>
      <c r="IN36" s="135"/>
      <c r="IO36" s="135"/>
      <c r="IP36" s="61"/>
      <c r="IQ36" s="61"/>
      <c r="IR36" s="61"/>
      <c r="IS36" s="61"/>
      <c r="IT36" s="61"/>
      <c r="IU36" s="302"/>
      <c r="IV36" s="291"/>
      <c r="IW36" s="61"/>
      <c r="IX36" s="61"/>
      <c r="IY36" s="61"/>
      <c r="IZ36" s="61"/>
      <c r="JA36" s="61"/>
      <c r="JB36" s="135"/>
      <c r="JC36" s="135"/>
      <c r="JD36" s="61"/>
      <c r="JE36" s="61"/>
      <c r="JF36" s="61"/>
      <c r="JG36" s="61"/>
      <c r="JH36" s="61"/>
      <c r="JI36" s="135"/>
      <c r="JJ36" s="135"/>
      <c r="JK36" s="61"/>
      <c r="JL36" s="61"/>
      <c r="JM36" s="61"/>
      <c r="JN36" s="61"/>
      <c r="JO36" s="61"/>
      <c r="JP36" s="135"/>
      <c r="JQ36" s="135"/>
      <c r="JR36" s="61"/>
      <c r="JS36" s="61"/>
      <c r="JT36" s="206"/>
      <c r="JU36" s="61"/>
      <c r="JV36" s="61"/>
      <c r="JW36" s="135"/>
      <c r="JX36" s="135"/>
      <c r="JY36" s="61"/>
      <c r="JZ36" s="207"/>
      <c r="KA36" s="206"/>
      <c r="KB36" s="61"/>
      <c r="KC36" s="61"/>
      <c r="KD36" s="135"/>
      <c r="KE36" s="135"/>
      <c r="KF36" s="61"/>
      <c r="KG36" s="61"/>
      <c r="KH36" s="61"/>
      <c r="KI36" s="61"/>
      <c r="KJ36" s="61"/>
      <c r="KK36" s="135"/>
      <c r="KL36" s="135"/>
      <c r="KM36" s="61"/>
      <c r="KN36" s="61"/>
      <c r="KO36" s="61"/>
      <c r="KP36" s="61"/>
      <c r="KQ36" s="61"/>
      <c r="KR36" s="135"/>
      <c r="KS36" s="135"/>
      <c r="KT36" s="61"/>
      <c r="KU36" s="61"/>
      <c r="KV36" s="61"/>
      <c r="KW36" s="61"/>
      <c r="KX36" s="61"/>
      <c r="KY36" s="135"/>
      <c r="KZ36" s="135"/>
      <c r="LA36" s="61"/>
      <c r="LB36" s="61"/>
      <c r="LC36" s="61"/>
      <c r="LD36" s="61"/>
      <c r="LE36" s="207"/>
      <c r="LF36" s="135"/>
      <c r="LG36" s="135"/>
      <c r="LH36" s="61"/>
      <c r="LI36" s="61"/>
      <c r="LJ36" s="61"/>
      <c r="LK36" s="61"/>
      <c r="LL36" s="61"/>
      <c r="LM36" s="135"/>
      <c r="LN36" s="135"/>
      <c r="LO36" s="61"/>
      <c r="LP36" s="61"/>
      <c r="LQ36" s="61"/>
      <c r="LR36" s="61"/>
      <c r="LS36" s="61"/>
      <c r="LT36" s="135"/>
      <c r="LU36" s="135"/>
      <c r="LV36" s="61"/>
      <c r="LW36" s="61"/>
      <c r="LX36" s="61"/>
      <c r="LY36" s="61"/>
      <c r="LZ36" s="61"/>
      <c r="MA36" s="135"/>
      <c r="MB36" s="135"/>
      <c r="MC36" s="61"/>
      <c r="MD36" s="61"/>
      <c r="ME36" s="61"/>
      <c r="MF36" s="61"/>
      <c r="MG36" s="61"/>
      <c r="MH36" s="291"/>
      <c r="MI36" s="135"/>
      <c r="MJ36" s="61"/>
      <c r="MK36" s="61"/>
      <c r="ML36" s="61"/>
      <c r="MM36" s="61"/>
      <c r="MN36" s="61"/>
      <c r="MO36" s="135"/>
      <c r="MP36" s="135"/>
      <c r="MQ36" s="61"/>
      <c r="MR36" s="61"/>
      <c r="MS36" s="61"/>
      <c r="MT36" s="61"/>
      <c r="MU36" s="61"/>
      <c r="MV36" s="135"/>
      <c r="MW36" s="135"/>
      <c r="MX36" s="61"/>
      <c r="MY36" s="61"/>
      <c r="MZ36" s="61"/>
      <c r="NA36" s="61"/>
      <c r="NB36" s="61"/>
      <c r="NC36" s="135"/>
      <c r="ND36" s="135"/>
      <c r="NE36" s="61"/>
      <c r="NF36" s="61"/>
      <c r="NG36" s="61"/>
      <c r="NH36" s="61"/>
      <c r="NI36" s="61"/>
      <c r="NJ36" s="135"/>
      <c r="NK36" s="135"/>
      <c r="NL36" s="207"/>
    </row>
    <row r="37" spans="2:376" hidden="1">
      <c r="B37" s="29" t="s">
        <v>119</v>
      </c>
      <c r="C37" s="29" t="s">
        <v>118</v>
      </c>
      <c r="D37" s="29" t="s">
        <v>49</v>
      </c>
      <c r="E37" s="37">
        <v>0</v>
      </c>
      <c r="F37" s="29">
        <v>23</v>
      </c>
      <c r="G37" s="29">
        <v>0</v>
      </c>
      <c r="H37" s="29">
        <f t="shared" si="12"/>
        <v>23</v>
      </c>
      <c r="I37" s="30">
        <f t="shared" si="16"/>
        <v>0</v>
      </c>
      <c r="J37" s="30">
        <f t="shared" si="14"/>
        <v>0</v>
      </c>
      <c r="K37" s="71">
        <f t="shared" si="15"/>
        <v>0</v>
      </c>
      <c r="L37" s="8"/>
      <c r="M37" s="8"/>
      <c r="N37" s="8"/>
      <c r="O37" s="8"/>
      <c r="P37" s="8"/>
      <c r="Q37" s="7"/>
      <c r="R37" s="7"/>
      <c r="S37" s="8"/>
      <c r="T37" s="8"/>
      <c r="U37" s="8"/>
      <c r="V37" s="8"/>
      <c r="W37" s="8"/>
      <c r="X37" s="7"/>
      <c r="Y37" s="7"/>
      <c r="Z37" s="8"/>
      <c r="AA37" s="8"/>
      <c r="AB37" s="8"/>
      <c r="AC37" s="8"/>
      <c r="AD37" s="8"/>
      <c r="AE37" s="7"/>
      <c r="AF37" s="7"/>
      <c r="AG37" s="8"/>
      <c r="AH37" s="8"/>
      <c r="AI37" s="8"/>
      <c r="AJ37" s="8"/>
      <c r="AK37" s="8"/>
      <c r="AL37" s="7"/>
      <c r="AM37" s="7"/>
      <c r="AN37" s="8"/>
      <c r="AO37" s="148"/>
      <c r="AP37" s="69"/>
      <c r="AQ37" s="8"/>
      <c r="AR37" s="8"/>
      <c r="AS37" s="7"/>
      <c r="AT37" s="7"/>
      <c r="AU37" s="8"/>
      <c r="AV37" s="8"/>
      <c r="AW37" s="8"/>
      <c r="AX37" s="8"/>
      <c r="AY37" s="8"/>
      <c r="AZ37" s="7"/>
      <c r="BA37" s="7"/>
      <c r="BB37" s="8"/>
      <c r="BC37" s="8"/>
      <c r="BD37" s="8"/>
      <c r="BE37" s="8"/>
      <c r="BF37" s="8"/>
      <c r="BG37" s="7"/>
      <c r="BH37" s="7"/>
      <c r="BI37" s="8"/>
      <c r="BJ37" s="69"/>
      <c r="BK37" s="8"/>
      <c r="BL37" s="8"/>
      <c r="BM37" s="8"/>
      <c r="BN37" s="7"/>
      <c r="BO37" s="7"/>
      <c r="BP37" s="8"/>
      <c r="BQ37" s="8"/>
      <c r="BR37" s="8"/>
      <c r="BS37" s="8"/>
      <c r="BT37" s="148"/>
      <c r="BU37" s="7"/>
      <c r="BV37" s="7"/>
      <c r="BW37" s="8"/>
      <c r="BX37" s="8"/>
      <c r="BY37" s="8"/>
      <c r="BZ37" s="8"/>
      <c r="CA37" s="8"/>
      <c r="CB37" s="7"/>
      <c r="CC37" s="7"/>
      <c r="CD37" s="8"/>
      <c r="CE37" s="8"/>
      <c r="CF37" s="8"/>
      <c r="CG37" s="8"/>
      <c r="CH37" s="8"/>
      <c r="CI37" s="7"/>
      <c r="CJ37" s="7"/>
      <c r="CK37" s="8"/>
      <c r="CL37" s="8"/>
      <c r="CM37" s="8"/>
      <c r="CN37" s="69"/>
      <c r="CO37" s="8"/>
      <c r="CP37" s="7"/>
      <c r="CQ37" s="7"/>
      <c r="CR37" s="8"/>
      <c r="CS37" s="8"/>
      <c r="CT37" s="8"/>
      <c r="CU37" s="8"/>
      <c r="CV37" s="8"/>
      <c r="CW37" s="7"/>
      <c r="CX37" s="7"/>
      <c r="CY37" s="28"/>
      <c r="CZ37" s="8"/>
      <c r="DA37" s="8"/>
      <c r="DB37" s="8"/>
      <c r="DC37" s="8"/>
      <c r="DD37" s="7"/>
      <c r="DE37" s="7"/>
      <c r="DF37" s="8"/>
      <c r="DG37" s="8"/>
      <c r="DH37" s="8"/>
      <c r="DI37" s="8"/>
      <c r="DJ37" s="8"/>
      <c r="DK37" s="7"/>
      <c r="DL37" s="7"/>
      <c r="DM37" s="8"/>
      <c r="DN37" s="69"/>
      <c r="DO37" s="8"/>
      <c r="DP37" s="8"/>
      <c r="DQ37" s="8"/>
      <c r="DR37" s="7"/>
      <c r="DS37" s="7"/>
      <c r="DT37" s="8"/>
      <c r="DU37" s="8"/>
      <c r="DV37" s="8"/>
      <c r="DW37" s="8"/>
      <c r="DX37" s="8"/>
      <c r="DY37" s="7"/>
      <c r="DZ37" s="7"/>
      <c r="EA37" s="8"/>
      <c r="EB37" s="8"/>
      <c r="EC37" s="148"/>
      <c r="ED37" s="28"/>
      <c r="EE37" s="8"/>
      <c r="EF37" s="7"/>
      <c r="EG37" s="7"/>
      <c r="EH37" s="8"/>
      <c r="EI37" s="8"/>
      <c r="EJ37" s="8"/>
      <c r="EK37" s="8"/>
      <c r="EL37" s="8"/>
      <c r="EM37" s="7"/>
      <c r="EN37" s="7"/>
      <c r="EO37" s="8"/>
      <c r="EP37" s="8"/>
      <c r="EQ37" s="8"/>
      <c r="ER37" s="69"/>
      <c r="ES37" s="8"/>
      <c r="ET37" s="7"/>
      <c r="EU37" s="7"/>
      <c r="EV37" s="8"/>
      <c r="EW37" s="8"/>
      <c r="EX37" s="8"/>
      <c r="EY37" s="8"/>
      <c r="EZ37" s="8"/>
      <c r="FA37" s="7"/>
      <c r="FB37" s="7"/>
      <c r="FC37" s="8"/>
      <c r="FD37" s="8"/>
      <c r="FE37" s="8"/>
      <c r="FF37" s="8"/>
      <c r="FG37" s="8"/>
      <c r="FH37" s="184"/>
      <c r="FI37" s="55"/>
      <c r="FJ37" s="8"/>
      <c r="FK37" s="8"/>
      <c r="FL37" s="8"/>
      <c r="FM37" s="8"/>
      <c r="FN37" s="8"/>
      <c r="FO37" s="7"/>
      <c r="FP37" s="7"/>
      <c r="FQ37" s="8"/>
      <c r="FR37" s="8"/>
      <c r="FS37" s="8"/>
      <c r="FT37" s="8"/>
      <c r="FU37" s="8"/>
      <c r="FV37" s="7"/>
      <c r="FW37" s="7"/>
      <c r="FX37" s="8"/>
      <c r="FY37" s="8"/>
      <c r="FZ37" s="69"/>
      <c r="GA37" s="69"/>
      <c r="GB37" s="69"/>
      <c r="GC37" s="7"/>
      <c r="GD37" s="7"/>
      <c r="GE37" s="8"/>
      <c r="GF37" s="8"/>
      <c r="GG37" s="8"/>
      <c r="GH37" s="8"/>
      <c r="GI37" s="8"/>
      <c r="GJ37" s="7"/>
      <c r="GK37" s="7"/>
      <c r="GL37" s="148"/>
      <c r="GM37" s="28"/>
      <c r="GN37" s="8"/>
      <c r="GO37" s="8"/>
      <c r="GP37" s="8"/>
      <c r="GQ37" s="7"/>
      <c r="GR37" s="7"/>
      <c r="GS37" s="8"/>
      <c r="GT37" s="8"/>
      <c r="GU37" s="8"/>
      <c r="GV37" s="8"/>
      <c r="GW37" s="8"/>
      <c r="GX37" s="7"/>
      <c r="GY37" s="7"/>
      <c r="GZ37" s="8"/>
      <c r="HA37" s="8"/>
      <c r="HB37" s="8"/>
      <c r="HC37" s="8"/>
      <c r="HD37" s="8"/>
      <c r="HE37" s="7"/>
      <c r="HF37" s="7"/>
      <c r="HG37" s="8"/>
      <c r="HH37" s="8"/>
      <c r="HI37" s="8"/>
      <c r="HJ37" s="8"/>
      <c r="HK37" s="8"/>
      <c r="HL37" s="7"/>
      <c r="HM37" s="7"/>
      <c r="HN37" s="8"/>
      <c r="HO37" s="8"/>
      <c r="HP37" s="8"/>
      <c r="HQ37" s="69"/>
      <c r="HR37" s="69"/>
      <c r="HS37" s="7"/>
      <c r="HT37" s="7"/>
      <c r="HU37" s="8"/>
      <c r="HV37" s="8"/>
      <c r="HW37" s="8"/>
      <c r="HX37" s="8"/>
      <c r="HY37" s="8"/>
      <c r="HZ37" s="7"/>
      <c r="IA37" s="7"/>
      <c r="IB37" s="8"/>
      <c r="IC37" s="8"/>
      <c r="ID37" s="8"/>
      <c r="IE37" s="8"/>
      <c r="IF37" s="8"/>
      <c r="IG37" s="7"/>
      <c r="IH37" s="7"/>
      <c r="II37" s="8"/>
      <c r="IJ37" s="8"/>
      <c r="IK37" s="8"/>
      <c r="IL37" s="8"/>
      <c r="IM37" s="8"/>
      <c r="IN37" s="7"/>
      <c r="IO37" s="7"/>
      <c r="IP37" s="8"/>
      <c r="IQ37" s="8"/>
      <c r="IR37" s="8"/>
      <c r="IS37" s="8"/>
      <c r="IT37" s="8"/>
      <c r="IU37" s="184"/>
      <c r="IV37" s="55"/>
      <c r="IW37" s="8"/>
      <c r="IX37" s="8"/>
      <c r="IY37" s="8"/>
      <c r="IZ37" s="8"/>
      <c r="JA37" s="8"/>
      <c r="JB37" s="7"/>
      <c r="JC37" s="7"/>
      <c r="JD37" s="8"/>
      <c r="JE37" s="8"/>
      <c r="JF37" s="8"/>
      <c r="JG37" s="8"/>
      <c r="JH37" s="8"/>
      <c r="JI37" s="7"/>
      <c r="JJ37" s="7"/>
      <c r="JK37" s="8"/>
      <c r="JL37" s="8"/>
      <c r="JM37" s="8"/>
      <c r="JN37" s="8"/>
      <c r="JO37" s="8"/>
      <c r="JP37" s="7"/>
      <c r="JQ37" s="7"/>
      <c r="JR37" s="8"/>
      <c r="JS37" s="8"/>
      <c r="JT37" s="69"/>
      <c r="JU37" s="8"/>
      <c r="JV37" s="8"/>
      <c r="JW37" s="7"/>
      <c r="JX37" s="7"/>
      <c r="JY37" s="8"/>
      <c r="JZ37" s="148"/>
      <c r="KA37" s="69"/>
      <c r="KB37" s="8"/>
      <c r="KC37" s="8"/>
      <c r="KD37" s="7"/>
      <c r="KE37" s="7"/>
      <c r="KF37" s="8"/>
      <c r="KG37" s="8"/>
      <c r="KH37" s="8"/>
      <c r="KI37" s="8"/>
      <c r="KJ37" s="8"/>
      <c r="KK37" s="7"/>
      <c r="KL37" s="7"/>
      <c r="KM37" s="8"/>
      <c r="KN37" s="8"/>
      <c r="KO37" s="8"/>
      <c r="KP37" s="8"/>
      <c r="KQ37" s="8"/>
      <c r="KR37" s="7"/>
      <c r="KS37" s="7"/>
      <c r="KT37" s="8"/>
      <c r="KU37" s="8"/>
      <c r="KV37" s="8"/>
      <c r="KW37" s="8"/>
      <c r="KX37" s="8"/>
      <c r="KY37" s="7"/>
      <c r="KZ37" s="7"/>
      <c r="LA37" s="8"/>
      <c r="LB37" s="8"/>
      <c r="LC37" s="8"/>
      <c r="LD37" s="8"/>
      <c r="LE37" s="148"/>
      <c r="LF37" s="7"/>
      <c r="LG37" s="7"/>
      <c r="LH37" s="8"/>
      <c r="LI37" s="8"/>
      <c r="LJ37" s="8"/>
      <c r="LK37" s="8"/>
      <c r="LL37" s="8"/>
      <c r="LM37" s="7"/>
      <c r="LN37" s="7"/>
      <c r="LO37" s="8"/>
      <c r="LP37" s="8"/>
      <c r="LQ37" s="8"/>
      <c r="LR37" s="8"/>
      <c r="LS37" s="8"/>
      <c r="LT37" s="7"/>
      <c r="LU37" s="7"/>
      <c r="LV37" s="8"/>
      <c r="LW37" s="8"/>
      <c r="LX37" s="8"/>
      <c r="LY37" s="8"/>
      <c r="LZ37" s="8"/>
      <c r="MA37" s="7"/>
      <c r="MB37" s="7"/>
      <c r="MC37" s="8"/>
      <c r="MD37" s="8"/>
      <c r="ME37" s="8"/>
      <c r="MF37" s="8"/>
      <c r="MG37" s="8"/>
      <c r="MH37" s="55"/>
      <c r="MI37" s="7"/>
      <c r="MJ37" s="8"/>
      <c r="MK37" s="8"/>
      <c r="ML37" s="8"/>
      <c r="MM37" s="8"/>
      <c r="MN37" s="8"/>
      <c r="MO37" s="7"/>
      <c r="MP37" s="7"/>
      <c r="MQ37" s="8"/>
      <c r="MR37" s="8"/>
      <c r="MS37" s="8"/>
      <c r="MT37" s="8"/>
      <c r="MU37" s="8"/>
      <c r="MV37" s="7"/>
      <c r="MW37" s="7"/>
      <c r="MX37" s="8"/>
      <c r="MY37" s="8"/>
      <c r="MZ37" s="8"/>
      <c r="NA37" s="8"/>
      <c r="NB37" s="8"/>
      <c r="NC37" s="7"/>
      <c r="ND37" s="7"/>
      <c r="NE37" s="8"/>
      <c r="NF37" s="8"/>
      <c r="NG37" s="8"/>
      <c r="NH37" s="8"/>
      <c r="NI37" s="8"/>
      <c r="NJ37" s="7"/>
      <c r="NK37" s="7"/>
      <c r="NL37" s="148"/>
    </row>
    <row r="38" spans="2:376" hidden="1">
      <c r="B38" s="29" t="s">
        <v>120</v>
      </c>
      <c r="C38" s="29" t="s">
        <v>118</v>
      </c>
      <c r="D38" s="29" t="s">
        <v>49</v>
      </c>
      <c r="E38" s="37">
        <v>0</v>
      </c>
      <c r="F38" s="29">
        <v>23</v>
      </c>
      <c r="G38" s="29">
        <v>0</v>
      </c>
      <c r="H38" s="29">
        <f t="shared" si="12"/>
        <v>23</v>
      </c>
      <c r="I38" s="30">
        <f t="shared" si="16"/>
        <v>0</v>
      </c>
      <c r="J38" s="30">
        <f t="shared" si="14"/>
        <v>0</v>
      </c>
      <c r="K38" s="71">
        <f t="shared" si="15"/>
        <v>0</v>
      </c>
      <c r="L38" s="8"/>
      <c r="M38" s="8"/>
      <c r="N38" s="8"/>
      <c r="O38" s="8"/>
      <c r="P38" s="8"/>
      <c r="Q38" s="7"/>
      <c r="R38" s="7"/>
      <c r="S38" s="8"/>
      <c r="T38" s="8"/>
      <c r="U38" s="8"/>
      <c r="V38" s="8"/>
      <c r="W38" s="8"/>
      <c r="X38" s="7"/>
      <c r="Y38" s="7"/>
      <c r="Z38" s="8"/>
      <c r="AA38" s="8"/>
      <c r="AB38" s="8"/>
      <c r="AC38" s="8"/>
      <c r="AD38" s="8"/>
      <c r="AE38" s="7"/>
      <c r="AF38" s="7"/>
      <c r="AG38" s="8"/>
      <c r="AH38" s="8"/>
      <c r="AI38" s="8"/>
      <c r="AJ38" s="8"/>
      <c r="AK38" s="8"/>
      <c r="AL38" s="7"/>
      <c r="AM38" s="7"/>
      <c r="AN38" s="8"/>
      <c r="AO38" s="148"/>
      <c r="AP38" s="69"/>
      <c r="AQ38" s="8"/>
      <c r="AR38" s="8"/>
      <c r="AS38" s="7"/>
      <c r="AT38" s="7"/>
      <c r="AU38" s="8"/>
      <c r="AV38" s="8"/>
      <c r="AW38" s="8"/>
      <c r="AX38" s="8"/>
      <c r="AY38" s="8"/>
      <c r="AZ38" s="7"/>
      <c r="BA38" s="7"/>
      <c r="BB38" s="8"/>
      <c r="BC38" s="8"/>
      <c r="BD38" s="8"/>
      <c r="BE38" s="8"/>
      <c r="BF38" s="8"/>
      <c r="BG38" s="7"/>
      <c r="BH38" s="7"/>
      <c r="BI38" s="8"/>
      <c r="BJ38" s="69"/>
      <c r="BK38" s="8"/>
      <c r="BL38" s="8"/>
      <c r="BM38" s="8"/>
      <c r="BN38" s="7"/>
      <c r="BO38" s="7"/>
      <c r="BP38" s="8"/>
      <c r="BQ38" s="8"/>
      <c r="BR38" s="8"/>
      <c r="BS38" s="8"/>
      <c r="BT38" s="148"/>
      <c r="BU38" s="7"/>
      <c r="BV38" s="7"/>
      <c r="BW38" s="8"/>
      <c r="BX38" s="8"/>
      <c r="BY38" s="8"/>
      <c r="BZ38" s="8"/>
      <c r="CA38" s="8"/>
      <c r="CB38" s="7"/>
      <c r="CC38" s="7"/>
      <c r="CD38" s="8"/>
      <c r="CE38" s="8"/>
      <c r="CF38" s="8"/>
      <c r="CG38" s="8"/>
      <c r="CH38" s="8"/>
      <c r="CI38" s="7"/>
      <c r="CJ38" s="7"/>
      <c r="CK38" s="8"/>
      <c r="CL38" s="8"/>
      <c r="CM38" s="8"/>
      <c r="CN38" s="69"/>
      <c r="CO38" s="8"/>
      <c r="CP38" s="7"/>
      <c r="CQ38" s="7"/>
      <c r="CR38" s="8"/>
      <c r="CS38" s="8"/>
      <c r="CT38" s="8"/>
      <c r="CU38" s="8"/>
      <c r="CV38" s="8"/>
      <c r="CW38" s="7"/>
      <c r="CX38" s="7"/>
      <c r="CY38" s="28"/>
      <c r="CZ38" s="8"/>
      <c r="DA38" s="8"/>
      <c r="DB38" s="8"/>
      <c r="DC38" s="8"/>
      <c r="DD38" s="7"/>
      <c r="DE38" s="7"/>
      <c r="DF38" s="8"/>
      <c r="DG38" s="8"/>
      <c r="DH38" s="8"/>
      <c r="DI38" s="8"/>
      <c r="DJ38" s="8"/>
      <c r="DK38" s="7"/>
      <c r="DL38" s="7"/>
      <c r="DM38" s="8"/>
      <c r="DN38" s="69"/>
      <c r="DO38" s="8"/>
      <c r="DP38" s="8"/>
      <c r="DQ38" s="8"/>
      <c r="DR38" s="7"/>
      <c r="DS38" s="7"/>
      <c r="DT38" s="8"/>
      <c r="DU38" s="8"/>
      <c r="DV38" s="8"/>
      <c r="DW38" s="8"/>
      <c r="DX38" s="8"/>
      <c r="DY38" s="7"/>
      <c r="DZ38" s="7"/>
      <c r="EA38" s="8"/>
      <c r="EB38" s="8"/>
      <c r="EC38" s="148"/>
      <c r="ED38" s="28"/>
      <c r="EE38" s="8"/>
      <c r="EF38" s="7"/>
      <c r="EG38" s="7"/>
      <c r="EH38" s="8"/>
      <c r="EI38" s="8"/>
      <c r="EJ38" s="8"/>
      <c r="EK38" s="8"/>
      <c r="EL38" s="8"/>
      <c r="EM38" s="7"/>
      <c r="EN38" s="7"/>
      <c r="EO38" s="8"/>
      <c r="EP38" s="8"/>
      <c r="EQ38" s="8"/>
      <c r="ER38" s="69"/>
      <c r="ES38" s="8"/>
      <c r="ET38" s="7"/>
      <c r="EU38" s="7"/>
      <c r="EV38" s="8"/>
      <c r="EW38" s="8"/>
      <c r="EX38" s="8"/>
      <c r="EY38" s="8"/>
      <c r="EZ38" s="8"/>
      <c r="FA38" s="7"/>
      <c r="FB38" s="7"/>
      <c r="FC38" s="8"/>
      <c r="FD38" s="8"/>
      <c r="FE38" s="8"/>
      <c r="FF38" s="8"/>
      <c r="FG38" s="8"/>
      <c r="FH38" s="184"/>
      <c r="FI38" s="55"/>
      <c r="FJ38" s="8"/>
      <c r="FK38" s="8"/>
      <c r="FL38" s="8"/>
      <c r="FM38" s="8"/>
      <c r="FN38" s="8"/>
      <c r="FO38" s="7"/>
      <c r="FP38" s="7"/>
      <c r="FQ38" s="8"/>
      <c r="FR38" s="8"/>
      <c r="FS38" s="8"/>
      <c r="FT38" s="8"/>
      <c r="FU38" s="8"/>
      <c r="FV38" s="7"/>
      <c r="FW38" s="7"/>
      <c r="FX38" s="8"/>
      <c r="FY38" s="8"/>
      <c r="FZ38" s="69"/>
      <c r="GA38" s="69"/>
      <c r="GB38" s="69"/>
      <c r="GC38" s="7"/>
      <c r="GD38" s="7"/>
      <c r="GE38" s="8"/>
      <c r="GF38" s="8"/>
      <c r="GG38" s="8"/>
      <c r="GH38" s="8"/>
      <c r="GI38" s="8"/>
      <c r="GJ38" s="7"/>
      <c r="GK38" s="7"/>
      <c r="GL38" s="148"/>
      <c r="GM38" s="28"/>
      <c r="GN38" s="8"/>
      <c r="GO38" s="8"/>
      <c r="GP38" s="8"/>
      <c r="GQ38" s="7"/>
      <c r="GR38" s="7"/>
      <c r="GS38" s="8"/>
      <c r="GT38" s="8"/>
      <c r="GU38" s="8"/>
      <c r="GV38" s="8"/>
      <c r="GW38" s="8"/>
      <c r="GX38" s="7"/>
      <c r="GY38" s="7"/>
      <c r="GZ38" s="8"/>
      <c r="HA38" s="8"/>
      <c r="HB38" s="8"/>
      <c r="HC38" s="8"/>
      <c r="HD38" s="8"/>
      <c r="HE38" s="7"/>
      <c r="HF38" s="7"/>
      <c r="HG38" s="8"/>
      <c r="HH38" s="8"/>
      <c r="HI38" s="8"/>
      <c r="HJ38" s="8"/>
      <c r="HK38" s="8"/>
      <c r="HL38" s="7"/>
      <c r="HM38" s="7"/>
      <c r="HN38" s="8"/>
      <c r="HO38" s="8"/>
      <c r="HP38" s="8"/>
      <c r="HQ38" s="69"/>
      <c r="HR38" s="69"/>
      <c r="HS38" s="7"/>
      <c r="HT38" s="7"/>
      <c r="HU38" s="8"/>
      <c r="HV38" s="8"/>
      <c r="HW38" s="8"/>
      <c r="HX38" s="8"/>
      <c r="HY38" s="8"/>
      <c r="HZ38" s="7"/>
      <c r="IA38" s="7"/>
      <c r="IB38" s="8"/>
      <c r="IC38" s="8"/>
      <c r="ID38" s="8"/>
      <c r="IE38" s="8"/>
      <c r="IF38" s="8"/>
      <c r="IG38" s="7"/>
      <c r="IH38" s="7"/>
      <c r="II38" s="8"/>
      <c r="IJ38" s="8"/>
      <c r="IK38" s="8"/>
      <c r="IL38" s="8"/>
      <c r="IM38" s="8"/>
      <c r="IN38" s="7"/>
      <c r="IO38" s="7"/>
      <c r="IP38" s="8"/>
      <c r="IQ38" s="8"/>
      <c r="IR38" s="8"/>
      <c r="IS38" s="8"/>
      <c r="IT38" s="8"/>
      <c r="IU38" s="184"/>
      <c r="IV38" s="55"/>
      <c r="IW38" s="8"/>
      <c r="IX38" s="8"/>
      <c r="IY38" s="8"/>
      <c r="IZ38" s="8"/>
      <c r="JA38" s="8"/>
      <c r="JB38" s="7"/>
      <c r="JC38" s="7"/>
      <c r="JD38" s="8"/>
      <c r="JE38" s="8"/>
      <c r="JF38" s="8"/>
      <c r="JG38" s="8"/>
      <c r="JH38" s="8"/>
      <c r="JI38" s="7"/>
      <c r="JJ38" s="7"/>
      <c r="JK38" s="8"/>
      <c r="JL38" s="8"/>
      <c r="JM38" s="8"/>
      <c r="JN38" s="8"/>
      <c r="JO38" s="8"/>
      <c r="JP38" s="7"/>
      <c r="JQ38" s="7"/>
      <c r="JR38" s="8"/>
      <c r="JS38" s="8"/>
      <c r="JT38" s="69"/>
      <c r="JU38" s="8"/>
      <c r="JV38" s="8"/>
      <c r="JW38" s="7"/>
      <c r="JX38" s="7"/>
      <c r="JY38" s="8"/>
      <c r="JZ38" s="148"/>
      <c r="KA38" s="69"/>
      <c r="KB38" s="8"/>
      <c r="KC38" s="8"/>
      <c r="KD38" s="7"/>
      <c r="KE38" s="7"/>
      <c r="KF38" s="8"/>
      <c r="KG38" s="8"/>
      <c r="KH38" s="8"/>
      <c r="KI38" s="8"/>
      <c r="KJ38" s="8"/>
      <c r="KK38" s="7"/>
      <c r="KL38" s="7"/>
      <c r="KM38" s="8"/>
      <c r="KN38" s="8"/>
      <c r="KO38" s="8"/>
      <c r="KP38" s="8"/>
      <c r="KQ38" s="8"/>
      <c r="KR38" s="7"/>
      <c r="KS38" s="7"/>
      <c r="KT38" s="8"/>
      <c r="KU38" s="8"/>
      <c r="KV38" s="8"/>
      <c r="KW38" s="8"/>
      <c r="KX38" s="8"/>
      <c r="KY38" s="7"/>
      <c r="KZ38" s="7"/>
      <c r="LA38" s="8"/>
      <c r="LB38" s="8"/>
      <c r="LC38" s="8"/>
      <c r="LD38" s="8"/>
      <c r="LE38" s="148"/>
      <c r="LF38" s="7"/>
      <c r="LG38" s="7"/>
      <c r="LH38" s="8"/>
      <c r="LI38" s="8"/>
      <c r="LJ38" s="8"/>
      <c r="LK38" s="8"/>
      <c r="LL38" s="8"/>
      <c r="LM38" s="7"/>
      <c r="LN38" s="7"/>
      <c r="LO38" s="8"/>
      <c r="LP38" s="8"/>
      <c r="LQ38" s="8"/>
      <c r="LR38" s="8"/>
      <c r="LS38" s="8"/>
      <c r="LT38" s="7"/>
      <c r="LU38" s="7"/>
      <c r="LV38" s="8"/>
      <c r="LW38" s="8"/>
      <c r="LX38" s="8"/>
      <c r="LY38" s="8"/>
      <c r="LZ38" s="8"/>
      <c r="MA38" s="7"/>
      <c r="MB38" s="7"/>
      <c r="MC38" s="8"/>
      <c r="MD38" s="8"/>
      <c r="ME38" s="8"/>
      <c r="MF38" s="8"/>
      <c r="MG38" s="8"/>
      <c r="MH38" s="55"/>
      <c r="MI38" s="7"/>
      <c r="MJ38" s="8"/>
      <c r="MK38" s="8"/>
      <c r="ML38" s="8"/>
      <c r="MM38" s="8"/>
      <c r="MN38" s="8"/>
      <c r="MO38" s="7"/>
      <c r="MP38" s="7"/>
      <c r="MQ38" s="8"/>
      <c r="MR38" s="8"/>
      <c r="MS38" s="8"/>
      <c r="MT38" s="8"/>
      <c r="MU38" s="8"/>
      <c r="MV38" s="7"/>
      <c r="MW38" s="7"/>
      <c r="MX38" s="8"/>
      <c r="MY38" s="8"/>
      <c r="MZ38" s="8"/>
      <c r="NA38" s="8"/>
      <c r="NB38" s="8"/>
      <c r="NC38" s="7"/>
      <c r="ND38" s="7"/>
      <c r="NE38" s="8"/>
      <c r="NF38" s="8"/>
      <c r="NG38" s="8"/>
      <c r="NH38" s="8"/>
      <c r="NI38" s="8"/>
      <c r="NJ38" s="7"/>
      <c r="NK38" s="7"/>
      <c r="NL38" s="148"/>
    </row>
  </sheetData>
  <autoFilter ref="B9:D38" xr:uid="{00000000-0009-0000-0000-000003000000}">
    <filterColumn colId="0">
      <colorFilter dxfId="0" cellColor="0"/>
    </filterColumn>
    <filterColumn colId="1">
      <filters>
        <filter val="Temuco"/>
      </filters>
    </filterColumn>
  </autoFilter>
  <mergeCells count="12">
    <mergeCell ref="MH7:NL7"/>
    <mergeCell ref="L7:AO7"/>
    <mergeCell ref="AP7:BT7"/>
    <mergeCell ref="BU7:CX7"/>
    <mergeCell ref="CY7:EC7"/>
    <mergeCell ref="ED7:FH7"/>
    <mergeCell ref="FI7:GL7"/>
    <mergeCell ref="GM7:HQ7"/>
    <mergeCell ref="HR7:IU7"/>
    <mergeCell ref="IV7:JZ7"/>
    <mergeCell ref="KA7:LE7"/>
    <mergeCell ref="LF7:MG7"/>
  </mergeCells>
  <conditionalFormatting sqref="M10:X10 Z10:AB10 AD10:AN10">
    <cfRule type="expression" dxfId="55" priority="143">
      <formula>OR(M$9="D",M$9="S")</formula>
    </cfRule>
  </conditionalFormatting>
  <conditionalFormatting sqref="AQ10:BG10 BK10:BS12 AQ11:BI12">
    <cfRule type="expression" dxfId="54" priority="152">
      <formula>OR(AQ$9="D",AQ$9="S")</formula>
    </cfRule>
  </conditionalFormatting>
  <conditionalFormatting sqref="AQ14:BG14 BK15:BS15">
    <cfRule type="expression" dxfId="53" priority="43">
      <formula>OR(AQ$9="D",AQ$9="S")</formula>
    </cfRule>
  </conditionalFormatting>
  <conditionalFormatting sqref="AQ18:BI18 BK18:BS18">
    <cfRule type="expression" dxfId="52" priority="150">
      <formula>OR(AQ$9="D",AQ$9="S")</formula>
    </cfRule>
  </conditionalFormatting>
  <conditionalFormatting sqref="AQ21:BI21 BK21:BS21">
    <cfRule type="expression" dxfId="51" priority="149">
      <formula>OR(AQ$9="D",AQ$9="S")</formula>
    </cfRule>
  </conditionalFormatting>
  <conditionalFormatting sqref="AQ26:BI26 BK26:BS27 AR27:BI27">
    <cfRule type="expression" dxfId="50" priority="147">
      <formula>OR(AQ$9="D",AQ$9="S")</formula>
    </cfRule>
  </conditionalFormatting>
  <conditionalFormatting sqref="AQ29:BI30 BK29:BS30">
    <cfRule type="expression" dxfId="49" priority="42">
      <formula>OR(AQ$9="D",AQ$9="S")</formula>
    </cfRule>
  </conditionalFormatting>
  <conditionalFormatting sqref="AR15:BI15">
    <cfRule type="expression" dxfId="48" priority="151">
      <formula>OR(AR$9="D",AR$9="S")</formula>
    </cfRule>
  </conditionalFormatting>
  <conditionalFormatting sqref="BK33:BS33 AQ33:BI34 BK34:BR34">
    <cfRule type="expression" dxfId="47" priority="144">
      <formula>OR(AQ$9="D",AQ$9="S")</formula>
    </cfRule>
  </conditionalFormatting>
  <conditionalFormatting sqref="BU33:CB33 CD33:CM33 BU34:CM34">
    <cfRule type="expression" dxfId="46" priority="134">
      <formula>OR(BU$9="D",BU$9="S")</formula>
    </cfRule>
  </conditionalFormatting>
  <conditionalFormatting sqref="BU18:CI18">
    <cfRule type="expression" dxfId="45" priority="140">
      <formula>OR(BU$9="D",BU$9="S")</formula>
    </cfRule>
  </conditionalFormatting>
  <conditionalFormatting sqref="BU15:CL15">
    <cfRule type="expression" dxfId="44" priority="12">
      <formula>OR(BU$9="D",BU$9="S")</formula>
    </cfRule>
  </conditionalFormatting>
  <conditionalFormatting sqref="BU10:CM12">
    <cfRule type="expression" dxfId="43" priority="142">
      <formula>OR(BU$9="D",BU$9="S")</formula>
    </cfRule>
  </conditionalFormatting>
  <conditionalFormatting sqref="BU21:CM21">
    <cfRule type="expression" dxfId="42" priority="139">
      <formula>OR(BU$9="D",BU$9="S")</formula>
    </cfRule>
  </conditionalFormatting>
  <conditionalFormatting sqref="BU26:CM27">
    <cfRule type="expression" dxfId="41" priority="137">
      <formula>OR(BU$9="D",BU$9="S")</formula>
    </cfRule>
  </conditionalFormatting>
  <conditionalFormatting sqref="BU29:CM30">
    <cfRule type="expression" dxfId="40" priority="30">
      <formula>OR(BU$9="D",BU$9="S")</formula>
    </cfRule>
  </conditionalFormatting>
  <conditionalFormatting sqref="CO15:CP15 CT15:EM15">
    <cfRule type="expression" dxfId="39" priority="11">
      <formula>OR(CO$9="D",CO$9="S")</formula>
    </cfRule>
  </conditionalFormatting>
  <conditionalFormatting sqref="CO33:CP33 CR33:DY33 EA33:EQ33 ES33:ET33 EV33 CO34:CW34 DC34:EQ34 ES34:EV34">
    <cfRule type="expression" dxfId="38" priority="108">
      <formula>OR(CO$9="D",CO$9="S")</formula>
    </cfRule>
  </conditionalFormatting>
  <conditionalFormatting sqref="CO10:CW10 CO11:DN12 DQ11:EQ12">
    <cfRule type="expression" dxfId="37" priority="119">
      <formula>OR(CO$9="D",CO$9="S")</formula>
    </cfRule>
  </conditionalFormatting>
  <conditionalFormatting sqref="CO29:EF29 EL29:EQ29 CO30:DK30 DN30:EQ30">
    <cfRule type="expression" dxfId="36" priority="29">
      <formula>OR(CO$9="D",CO$9="S")</formula>
    </cfRule>
  </conditionalFormatting>
  <conditionalFormatting sqref="CO21:EQ21">
    <cfRule type="expression" dxfId="35" priority="111">
      <formula>OR(CO$9="D",CO$9="S")</formula>
    </cfRule>
  </conditionalFormatting>
  <conditionalFormatting sqref="CO26:EQ26 CO27:CX27 CZ27:EQ27">
    <cfRule type="expression" dxfId="34" priority="110">
      <formula>OR(CO$9="D",CO$9="S")</formula>
    </cfRule>
  </conditionalFormatting>
  <conditionalFormatting sqref="DO12:DP12">
    <cfRule type="expression" dxfId="33" priority="5">
      <formula>OR(DO$9="D",DO$9="S")</formula>
    </cfRule>
  </conditionalFormatting>
  <conditionalFormatting sqref="ES21:FO21">
    <cfRule type="expression" dxfId="32" priority="18">
      <formula>OR(ES$9="D",ES$9="S")</formula>
    </cfRule>
  </conditionalFormatting>
  <conditionalFormatting sqref="ES11:FX12">
    <cfRule type="expression" dxfId="31" priority="20">
      <formula>OR(ES$9="D",ES$9="S")</formula>
    </cfRule>
  </conditionalFormatting>
  <conditionalFormatting sqref="ES15:FY15">
    <cfRule type="expression" dxfId="30" priority="6">
      <formula>OR(ES$9="D",ES$9="S")</formula>
    </cfRule>
  </conditionalFormatting>
  <conditionalFormatting sqref="ES26:FY27">
    <cfRule type="expression" dxfId="29" priority="17">
      <formula>OR(ES$9="D",ES$9="S")</formula>
    </cfRule>
  </conditionalFormatting>
  <conditionalFormatting sqref="ES29:FY30">
    <cfRule type="expression" dxfId="28" priority="16">
      <formula>OR(ES$9="D",ES$9="S")</formula>
    </cfRule>
  </conditionalFormatting>
  <conditionalFormatting sqref="EW33:EW34">
    <cfRule type="expression" dxfId="27" priority="15">
      <formula>OR(EW$9="D",EW$9="S")</formula>
    </cfRule>
  </conditionalFormatting>
  <conditionalFormatting sqref="EX33:FV33 EX34:FH34 FU34:FV34">
    <cfRule type="expression" dxfId="26" priority="94">
      <formula>OR(EX$9="D",EX$9="S")</formula>
    </cfRule>
  </conditionalFormatting>
  <conditionalFormatting sqref="FU21:FV21">
    <cfRule type="expression" dxfId="25" priority="3">
      <formula>OR(FU$9="D",FU$9="S")</formula>
    </cfRule>
  </conditionalFormatting>
  <conditionalFormatting sqref="FY12">
    <cfRule type="expression" dxfId="24" priority="2">
      <formula>OR(FY$9="D",FY$9="S")</formula>
    </cfRule>
  </conditionalFormatting>
  <conditionalFormatting sqref="GB33:HL33 GB34:GC34 GI34:GJ34">
    <cfRule type="expression" dxfId="23" priority="86">
      <formula>OR(GB$9="D",GB$9="S")</formula>
    </cfRule>
  </conditionalFormatting>
  <conditionalFormatting sqref="GB21:HO21">
    <cfRule type="expression" dxfId="22" priority="90">
      <formula>OR(GB$9="D",GB$9="S")</formula>
    </cfRule>
  </conditionalFormatting>
  <conditionalFormatting sqref="GB29:HO29 GB30:GC30 GG30:HP30">
    <cfRule type="expression" dxfId="21" priority="27">
      <formula>OR(GB$9="D",GB$9="S")</formula>
    </cfRule>
  </conditionalFormatting>
  <conditionalFormatting sqref="GB11:HP12">
    <cfRule type="expression" dxfId="20" priority="93">
      <formula>OR(GB$9="D",GB$9="S")</formula>
    </cfRule>
  </conditionalFormatting>
  <conditionalFormatting sqref="GB15:HP15">
    <cfRule type="expression" dxfId="19" priority="9">
      <formula>OR(GB$9="D",GB$9="S")</formula>
    </cfRule>
  </conditionalFormatting>
  <conditionalFormatting sqref="GB26:HP27">
    <cfRule type="expression" dxfId="18" priority="89">
      <formula>OR(GB$9="D",GB$9="S")</formula>
    </cfRule>
  </conditionalFormatting>
  <conditionalFormatting sqref="HR21:HS21 HU21:IK21 IM21:JB21 JD21:JM21 JV21:JZ21 JO21:JS21">
    <cfRule type="expression" dxfId="17" priority="71">
      <formula>OR(HR$9="D",HR$9="S")</formula>
    </cfRule>
  </conditionalFormatting>
  <conditionalFormatting sqref="HR33:ID33 IF33:IR33 IT33:JB33 JV33:JZ33">
    <cfRule type="expression" dxfId="16" priority="67">
      <formula>OR(HR$9="D",HR$9="S")</formula>
    </cfRule>
  </conditionalFormatting>
  <conditionalFormatting sqref="HR29:IY29 JA29:JB29 JV29:JZ29 HR30:JB30 JU30:JZ30">
    <cfRule type="expression" dxfId="15" priority="26">
      <formula>OR(HR$9="D",HR$9="S")</formula>
    </cfRule>
  </conditionalFormatting>
  <conditionalFormatting sqref="HR11:JB12 JU11:JZ12">
    <cfRule type="expression" dxfId="14" priority="75">
      <formula>OR(HR$9="D",HR$9="S")</formula>
    </cfRule>
  </conditionalFormatting>
  <conditionalFormatting sqref="HR15:JB15 JD15:JS15 JV15:JZ15">
    <cfRule type="expression" dxfId="13" priority="8">
      <formula>OR(HR$9="D",HR$9="S")</formula>
    </cfRule>
  </conditionalFormatting>
  <conditionalFormatting sqref="HR26:JB27 JU26:JZ27">
    <cfRule type="expression" dxfId="12" priority="70">
      <formula>OR(HR$9="D",HR$9="S")</formula>
    </cfRule>
  </conditionalFormatting>
  <conditionalFormatting sqref="JD11:JS12">
    <cfRule type="expression" dxfId="11" priority="24">
      <formula>OR(JD$9="D",JD$9="S")</formula>
    </cfRule>
  </conditionalFormatting>
  <conditionalFormatting sqref="JD26:JS27">
    <cfRule type="expression" dxfId="10" priority="23">
      <formula>OR(JD$9="D",JD$9="S")</formula>
    </cfRule>
  </conditionalFormatting>
  <conditionalFormatting sqref="JD29:JS29 JD30:JI30 JM30:JS30">
    <cfRule type="expression" dxfId="9" priority="21">
      <formula>OR(JD$9="D",JD$9="S")</formula>
    </cfRule>
  </conditionalFormatting>
  <conditionalFormatting sqref="JD33:JS33">
    <cfRule type="expression" dxfId="8" priority="22">
      <formula>OR(JD$9="D",JD$9="S")</formula>
    </cfRule>
  </conditionalFormatting>
  <conditionalFormatting sqref="KB26:KK26 KQ26:KR26 KX26:KY26 LE26:NL26 KB27:LF27 LL27:LM27 LS27:NL27">
    <cfRule type="expression" dxfId="7" priority="47">
      <formula>OR(KB$9="D",KB$9="S")</formula>
    </cfRule>
  </conditionalFormatting>
  <conditionalFormatting sqref="KB11:LT11 LZ11:MA11 MG11:MH11 MN11:NL11 KB12:NL12">
    <cfRule type="expression" dxfId="6" priority="51">
      <formula>OR(KB$9="D",KB$9="S")</formula>
    </cfRule>
  </conditionalFormatting>
  <conditionalFormatting sqref="KC15:LT15">
    <cfRule type="expression" dxfId="5" priority="1">
      <formula>OR(KC$9="D",KC$9="S")</formula>
    </cfRule>
  </conditionalFormatting>
  <conditionalFormatting sqref="KC21:KM21 MN21:MO21 MU21:NL21 KQ21:MH21">
    <cfRule type="expression" dxfId="4" priority="48">
      <formula>OR(KC$9="D",KC$9="S")</formula>
    </cfRule>
  </conditionalFormatting>
  <conditionalFormatting sqref="KC33:LJ33 LL33:LX33 LZ33:MS33 MU33:MZ33 NB33:NL33">
    <cfRule type="expression" dxfId="3" priority="44">
      <formula>OR(KC$9="D",KC$9="S")</formula>
    </cfRule>
  </conditionalFormatting>
  <conditionalFormatting sqref="KC29:MO29 MU29:MV29 NB29:NL29 KC30:MA30 MG30:NL30">
    <cfRule type="expression" dxfId="2" priority="25">
      <formula>OR(KC$9="D",KC$9="S")</formula>
    </cfRule>
  </conditionalFormatting>
  <conditionalFormatting sqref="LZ15:MA15 MG15:NL15">
    <cfRule type="expression" dxfId="1" priority="7">
      <formula>OR(LZ$9="D",LZ$9="S")</formula>
    </cfRule>
  </conditionalFormatting>
  <pageMargins left="0.70000000000000007" right="0.70000000000000007" top="0.75" bottom="0.75" header="0.30000000000000004" footer="0.30000000000000004"/>
  <pageSetup paperSize="9" fitToWidth="0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ogoDocuments" ma:contentTypeID="0x010100FC73BBCA21EB488382ED3C655368305800DE5A76A6BDB0AC4F8AC5F2F5D513364F" ma:contentTypeVersion="12" ma:contentTypeDescription="Crear nuevo documento." ma:contentTypeScope="" ma:versionID="98fa4033c078e20ebd584d2326a051bd">
  <xsd:schema xmlns:xsd="http://www.w3.org/2001/XMLSchema" xmlns:xs="http://www.w3.org/2001/XMLSchema" xmlns:p="http://schemas.microsoft.com/office/2006/metadata/properties" xmlns:ns2="e456ab84-9158-46ed-b5c6-47e4b49a78c1" xmlns:ns3="fc6451ab-d71d-40fd-8e96-4aa8f5203fac" targetNamespace="http://schemas.microsoft.com/office/2006/metadata/properties" ma:root="true" ma:fieldsID="b3f42ef686ff4b5c18b9eaa74e7d0946" ns2:_="" ns3:_="">
    <xsd:import namespace="e456ab84-9158-46ed-b5c6-47e4b49a78c1"/>
    <xsd:import namespace="fc6451ab-d71d-40fd-8e96-4aa8f5203fac"/>
    <xsd:element name="properties">
      <xsd:complexType>
        <xsd:sequence>
          <xsd:element name="documentManagement">
            <xsd:complexType>
              <xsd:all>
                <xsd:element ref="ns2:a01feae194714aa882aedc460c3c0dc2" minOccurs="0"/>
                <xsd:element ref="ns2:TaxCatchAll" minOccurs="0"/>
                <xsd:element ref="ns2:TaxCatchAllLabel" minOccurs="0"/>
                <xsd:element ref="ns2:fa99d158c7f14474ab98801009d80b56" minOccurs="0"/>
                <xsd:element ref="ns2:TogoImageUrl" minOccurs="0"/>
                <xsd:element ref="ns2:TogoHighlight" minOccurs="0"/>
                <xsd:element ref="ns2:TogoAuthor" minOccurs="0"/>
                <xsd:element ref="ns2:gd3a7737cb0047dc8ce44bed1647af23" minOccurs="0"/>
                <xsd:element ref="ns2:n63ae9402be240f1a4937184116f6bcc" minOccurs="0"/>
                <xsd:element ref="ns3:MediaServiceMetadata" minOccurs="0"/>
                <xsd:element ref="ns3:MediaServiceFastMetadata" minOccurs="0"/>
                <xsd:element ref="ns2:TogoPublishingDate" minOccurs="0"/>
                <xsd:element ref="ns2:TogoDueDate" minOccurs="0"/>
                <xsd:element ref="ns3:lcf76f155ced4ddcb4097134ff3c332f" minOccurs="0"/>
                <xsd:element ref="ns3:Comentar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6ab84-9158-46ed-b5c6-47e4b49a78c1" elementFormDefault="qualified">
    <xsd:import namespace="http://schemas.microsoft.com/office/2006/documentManagement/types"/>
    <xsd:import namespace="http://schemas.microsoft.com/office/infopath/2007/PartnerControls"/>
    <xsd:element name="a01feae194714aa882aedc460c3c0dc2" ma:index="8" nillable="true" ma:taxonomy="true" ma:internalName="a01feae194714aa882aedc460c3c0dc2" ma:taxonomyFieldName="TogoDocumentsCategory" ma:displayName="Category" ma:fieldId="{a01feae1-9471-4aa8-82ae-dc460c3c0dc2}" ma:sspId="d85e823d-31db-440c-980d-283f89df7c2e" ma:termSetId="f58b149d-283d-4f74-94f4-9b0d05bb91e7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6a4a758d-70b5-4b89-af5c-17640fc8edaf}" ma:internalName="TaxCatchAll" ma:showField="CatchAllData" ma:web="e456ab84-9158-46ed-b5c6-47e4b49a78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6a4a758d-70b5-4b89-af5c-17640fc8edaf}" ma:internalName="TaxCatchAllLabel" ma:readOnly="true" ma:showField="CatchAllDataLabel" ma:web="e456ab84-9158-46ed-b5c6-47e4b49a78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a99d158c7f14474ab98801009d80b56" ma:index="12" nillable="true" ma:taxonomy="true" ma:internalName="fa99d158c7f14474ab98801009d80b56" ma:taxonomyFieldName="TogoTags" ma:displayName="Tags" ma:fieldId="{fa99d158-c7f1-4474-ab98-801009d80b56}" ma:taxonomyMulti="true" ma:sspId="d85e823d-31db-440c-980d-283f89df7c2e" ma:termSetId="8ed7ce38-efb7-4d06-97ea-c211d216cdc7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ogoImageUrl" ma:index="14" nillable="true" ma:displayName="Image URL" ma:default="" ma:description="Image URL" ma:internalName="TogoImageUrl">
      <xsd:simpleType>
        <xsd:restriction base="dms:Note"/>
      </xsd:simpleType>
    </xsd:element>
    <xsd:element name="TogoHighlight" ma:index="15" nillable="true" ma:displayName="Highlight" ma:default="False" ma:description="Highlight" ma:internalName="TogoHighlight">
      <xsd:simpleType>
        <xsd:restriction base="dms:Boolean"/>
      </xsd:simpleType>
    </xsd:element>
    <xsd:element name="TogoAuthor" ma:index="16" nillable="true" ma:displayName="Author" ma:default="" ma:description="Author" ma:internalName="TogoAuth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d3a7737cb0047dc8ce44bed1647af23" ma:index="17" nillable="true" ma:taxonomy="true" ma:internalName="gd3a7737cb0047dc8ce44bed1647af23" ma:taxonomyFieldName="TogoLocations" ma:displayName="Locations" ma:fieldId="{0d3a7737-cb00-47dc-8ce4-4bed1647af23}" ma:taxonomyMulti="true" ma:sspId="d85e823d-31db-440c-980d-283f89df7c2e" ma:termSetId="b49f64b3-4722-4336-9a5c-56c326b344d4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n63ae9402be240f1a4937184116f6bcc" ma:index="19" nillable="true" ma:taxonomy="true" ma:internalName="n63ae9402be240f1a4937184116f6bcc" ma:taxonomyFieldName="TogoDepartments" ma:displayName="Departments" ma:fieldId="{763ae940-2be2-40f1-a493-7184116f6bcc}" ma:taxonomyMulti="true" ma:sspId="d85e823d-31db-440c-980d-283f89df7c2e" ma:termSetId="8ed8c9ea-7052-4c1d-a4d7-b9c10bffea6f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ogoPublishingDate" ma:index="23" nillable="true" ma:displayName="Publishing Date" ma:default="" ma:description="Publishing Date" ma:internalName="TogoPublishingDate">
      <xsd:simpleType>
        <xsd:restriction base="dms:DateTime"/>
      </xsd:simpleType>
    </xsd:element>
    <xsd:element name="TogoDueDate" ma:index="24" nillable="true" ma:displayName="Due Date" ma:default="2099-12-31T00:00:00Z" ma:description="Due Date" ma:internalName="TogoDue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451ab-d71d-40fd-8e96-4aa8f5203f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5" nillable="true" ma:displayName="Etiquetas de imagen_0" ma:hidden="true" ma:internalName="lcf76f155ced4ddcb4097134ff3c332f">
      <xsd:simpleType>
        <xsd:restriction base="dms:Note"/>
      </xsd:simpleType>
    </xsd:element>
    <xsd:element name="Comentario" ma:index="26" nillable="true" ma:displayName="Comentario" ma:format="Dropdown" ma:internalName="Comentario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6451ab-d71d-40fd-8e96-4aa8f5203fac" xsi:nil="true"/>
    <n63ae9402be240f1a4937184116f6bcc xmlns="e456ab84-9158-46ed-b5c6-47e4b49a78c1">
      <Terms xmlns="http://schemas.microsoft.com/office/infopath/2007/PartnerControls"/>
    </n63ae9402be240f1a4937184116f6bcc>
    <fa99d158c7f14474ab98801009d80b56 xmlns="e456ab84-9158-46ed-b5c6-47e4b49a78c1">
      <Terms xmlns="http://schemas.microsoft.com/office/infopath/2007/PartnerControls"/>
    </fa99d158c7f14474ab98801009d80b56>
    <a01feae194714aa882aedc460c3c0dc2 xmlns="e456ab84-9158-46ed-b5c6-47e4b49a78c1">
      <Terms xmlns="http://schemas.microsoft.com/office/infopath/2007/PartnerControls"/>
    </a01feae194714aa882aedc460c3c0dc2>
    <gd3a7737cb0047dc8ce44bed1647af23 xmlns="e456ab84-9158-46ed-b5c6-47e4b49a78c1">
      <Terms xmlns="http://schemas.microsoft.com/office/infopath/2007/PartnerControls"/>
    </gd3a7737cb0047dc8ce44bed1647af23>
    <TaxCatchAll xmlns="e456ab84-9158-46ed-b5c6-47e4b49a78c1" xsi:nil="true"/>
    <TogoAuthor xmlns="e456ab84-9158-46ed-b5c6-47e4b49a78c1">
      <UserInfo>
        <DisplayName/>
        <AccountId xsi:nil="true"/>
        <AccountType/>
      </UserInfo>
    </TogoAuthor>
    <TogoPublishingDate xmlns="e456ab84-9158-46ed-b5c6-47e4b49a78c1" xsi:nil="true"/>
    <TogoDueDate xmlns="e456ab84-9158-46ed-b5c6-47e4b49a78c1">2099-12-31T00:00:00+00:00</TogoDueDate>
    <TogoImageUrl xmlns="e456ab84-9158-46ed-b5c6-47e4b49a78c1" xsi:nil="true"/>
    <TogoHighlight xmlns="e456ab84-9158-46ed-b5c6-47e4b49a78c1">false</TogoHighlight>
    <Comentario xmlns="fc6451ab-d71d-40fd-8e96-4aa8f5203fac" xsi:nil="true"/>
  </documentManagement>
</p:properties>
</file>

<file path=customXml/itemProps1.xml><?xml version="1.0" encoding="utf-8"?>
<ds:datastoreItem xmlns:ds="http://schemas.openxmlformats.org/officeDocument/2006/customXml" ds:itemID="{A52D2228-00E4-4EBE-AEE1-232CBF1C032D}"/>
</file>

<file path=customXml/itemProps2.xml><?xml version="1.0" encoding="utf-8"?>
<ds:datastoreItem xmlns:ds="http://schemas.openxmlformats.org/officeDocument/2006/customXml" ds:itemID="{F696048E-B9D4-433B-85B5-AF297B92D4EC}"/>
</file>

<file path=customXml/itemProps3.xml><?xml version="1.0" encoding="utf-8"?>
<ds:datastoreItem xmlns:ds="http://schemas.openxmlformats.org/officeDocument/2006/customXml" ds:itemID="{5C9B124D-78A7-4137-9346-EEC5E917FF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Isabel Rueda Lopez</dc:creator>
  <cp:keywords/>
  <dc:description/>
  <cp:lastModifiedBy>Luis Roberto Galvan Mena</cp:lastModifiedBy>
  <cp:revision/>
  <dcterms:created xsi:type="dcterms:W3CDTF">2013-12-20T15:08:09Z</dcterms:created>
  <dcterms:modified xsi:type="dcterms:W3CDTF">2026-02-15T19:18:49Z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62111c12-721d-4d16-97ae-53147a9a7dac</vt:lpwstr>
  </property>
  <property fmtid="{D5CDD505-2E9C-101B-9397-08002B2CF9AE}" pid="3" name="ContentTypeId">
    <vt:lpwstr>0x010100FC73BBCA21EB488382ED3C655368305800DE5A76A6BDB0AC4F8AC5F2F5D513364F</vt:lpwstr>
  </property>
  <property fmtid="{D5CDD505-2E9C-101B-9397-08002B2CF9AE}" pid="4" name="TogoLocations">
    <vt:lpwstr/>
  </property>
  <property fmtid="{D5CDD505-2E9C-101B-9397-08002B2CF9AE}" pid="5" name="n63ae9402be240f1a4937184116f6bcc">
    <vt:lpwstr/>
  </property>
  <property fmtid="{D5CDD505-2E9C-101B-9397-08002B2CF9AE}" pid="6" name="fa99d158c7f14474ab98801009d80b56">
    <vt:lpwstr/>
  </property>
  <property fmtid="{D5CDD505-2E9C-101B-9397-08002B2CF9AE}" pid="7" name="MediaServiceImageTags">
    <vt:lpwstr/>
  </property>
  <property fmtid="{D5CDD505-2E9C-101B-9397-08002B2CF9AE}" pid="8" name="TogoTags">
    <vt:lpwstr/>
  </property>
  <property fmtid="{D5CDD505-2E9C-101B-9397-08002B2CF9AE}" pid="9" name="TaxCatchAll">
    <vt:lpwstr/>
  </property>
  <property fmtid="{D5CDD505-2E9C-101B-9397-08002B2CF9AE}" pid="10" name="a01feae194714aa882aedc460c3c0dc2">
    <vt:lpwstr/>
  </property>
  <property fmtid="{D5CDD505-2E9C-101B-9397-08002B2CF9AE}" pid="11" name="gd3a7737cb0047dc8ce44bed1647af23">
    <vt:lpwstr/>
  </property>
  <property fmtid="{D5CDD505-2E9C-101B-9397-08002B2CF9AE}" pid="12" name="TogoDepartments">
    <vt:lpwstr/>
  </property>
  <property fmtid="{D5CDD505-2E9C-101B-9397-08002B2CF9AE}" pid="13" name="TogoDocumentsCategory">
    <vt:lpwstr/>
  </property>
  <property fmtid="{D5CDD505-2E9C-101B-9397-08002B2CF9AE}" pid="14" name="SharedWithUsers">
    <vt:lpwstr>30;#Jaime Godoy Echeverria;#17;#Marta Ruiz Server;#1899;#Sandra El Jurdi Rafeh;#8916;#Ramon Alejandro Flores Avila;#16;#Aida Sastre Baixauli;#4185;#Marcela Alejandra Alvarado Jara;#3486;#Aida Llopis Martín;#1821;#Jose Manuel Gomez Monton;#534;#Susana Casino Gonzalez</vt:lpwstr>
  </property>
</Properties>
</file>